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pivotTables/pivotTable10.xml" ContentType="application/vnd.openxmlformats-officedocument.spreadsheetml.pivot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136a7207b28b605/Desktop/10Alytics/"/>
    </mc:Choice>
  </mc:AlternateContent>
  <xr:revisionPtr revIDLastSave="24" documentId="8_{A99D3A3A-450B-40F6-97AE-F3E9388046E4}" xr6:coauthVersionLast="47" xr6:coauthVersionMax="47" xr10:uidLastSave="{D3EEE8D1-7CBE-4920-93C8-4475369E1C03}"/>
  <bookViews>
    <workbookView xWindow="-108" yWindow="-108" windowWidth="23256" windowHeight="13176" activeTab="2" xr2:uid="{321A61DE-0ADE-4744-8A84-6FF170A00BF6}"/>
  </bookViews>
  <sheets>
    <sheet name="Data (2)" sheetId="5" r:id="rId1"/>
    <sheet name="Pivot" sheetId="6" r:id="rId2"/>
    <sheet name="Lightmode dashboard" sheetId="8" r:id="rId3"/>
    <sheet name="Sheet4" sheetId="7" r:id="rId4"/>
    <sheet name="Data" sheetId="1" r:id="rId5"/>
    <sheet name="Darkmode Dashboard" sheetId="9" state="hidden" r:id="rId6"/>
  </sheets>
  <definedNames>
    <definedName name="_xlchart.v5.0" hidden="1">Pivot!$D$47</definedName>
    <definedName name="_xlchart.v5.1" hidden="1">Pivot!$D$48:$D$51</definedName>
    <definedName name="_xlchart.v5.10" hidden="1">Pivot!$E$47</definedName>
    <definedName name="_xlchart.v5.11" hidden="1">Pivot!$E$48:$E$51</definedName>
    <definedName name="_xlchart.v5.2" hidden="1">Pivot!$E$47</definedName>
    <definedName name="_xlchart.v5.3" hidden="1">Pivot!$E$48:$E$51</definedName>
    <definedName name="_xlchart.v5.4" hidden="1">Pivot!$D$47</definedName>
    <definedName name="_xlchart.v5.5" hidden="1">Pivot!$D$48:$D$51</definedName>
    <definedName name="_xlchart.v5.6" hidden="1">Pivot!$E$47</definedName>
    <definedName name="_xlchart.v5.7" hidden="1">Pivot!$E$48:$E$51</definedName>
    <definedName name="_xlchart.v5.8" hidden="1">Pivot!$D$47</definedName>
    <definedName name="_xlchart.v5.9" hidden="1">Pivot!$D$48:$D$51</definedName>
    <definedName name="Orders">Pivot!$G$4</definedName>
    <definedName name="OrdersMoM">Pivot!$K$4</definedName>
    <definedName name="QtyMoM">Pivot!$K$5</definedName>
    <definedName name="Quanity">Pivot!$G$5</definedName>
    <definedName name="Revenue">Pivot!$G$3</definedName>
    <definedName name="RevenueMoM">Pivot!$K$3</definedName>
    <definedName name="Slicer_Month">#N/A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 i="6" l="1"/>
  <c r="K12" i="6"/>
  <c r="K10" i="6"/>
  <c r="J11" i="6"/>
  <c r="J12" i="6"/>
  <c r="J10" i="6"/>
  <c r="I5" i="6"/>
  <c r="I4" i="6"/>
  <c r="I3" i="6"/>
  <c r="H5" i="6"/>
  <c r="H4" i="6"/>
  <c r="H3" i="6"/>
  <c r="J3" i="6" s="1"/>
  <c r="K3" i="6" s="1"/>
  <c r="G5" i="6"/>
  <c r="G4" i="6"/>
  <c r="G3" i="6"/>
  <c r="D76" i="6" a="1"/>
  <c r="D76" i="6"/>
  <c r="D62" i="6" a="1"/>
  <c r="F60" i="6" s="1"/>
  <c r="D62" i="6"/>
  <c r="D48" i="6" a="1"/>
  <c r="D48" i="6" s="1"/>
  <c r="D31" i="6" a="1"/>
  <c r="D31" i="6" s="1"/>
  <c r="D19" i="6" a="1"/>
  <c r="D19" i="6" s="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J5" i="6" l="1"/>
  <c r="K5" i="6" s="1"/>
  <c r="J4" i="6"/>
  <c r="K4" i="6" s="1"/>
  <c r="F63" i="6"/>
  <c r="F64" i="6"/>
  <c r="F65" i="6"/>
  <c r="F66" i="6"/>
  <c r="F6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<sst xmlns="http://schemas.openxmlformats.org/spreadsheetml/2006/main" count="20111" uniqueCount="73">
  <si>
    <t>Sales_ID</t>
  </si>
  <si>
    <t>Movie_Name</t>
  </si>
  <si>
    <t>Show_Date</t>
  </si>
  <si>
    <t>Show_Time</t>
  </si>
  <si>
    <t>Ticket_Category</t>
  </si>
  <si>
    <t>Tickets_Sold</t>
  </si>
  <si>
    <t>Ticket_Price</t>
  </si>
  <si>
    <t>Payment_Method</t>
  </si>
  <si>
    <t>Cinema_Branch</t>
  </si>
  <si>
    <t>Total_Revenue</t>
  </si>
  <si>
    <t>Barbie</t>
  </si>
  <si>
    <t>Evening</t>
  </si>
  <si>
    <t>VIP</t>
  </si>
  <si>
    <t>Mobile Wallet</t>
  </si>
  <si>
    <t>California</t>
  </si>
  <si>
    <t>Oppenheimer</t>
  </si>
  <si>
    <t>Late Night</t>
  </si>
  <si>
    <t>Regular</t>
  </si>
  <si>
    <t>New York</t>
  </si>
  <si>
    <t>John Wick 5</t>
  </si>
  <si>
    <t>Afternoon</t>
  </si>
  <si>
    <t>Card</t>
  </si>
  <si>
    <t>Couple</t>
  </si>
  <si>
    <t>Cash</t>
  </si>
  <si>
    <t>Guardians of the Galaxy Vol. 4</t>
  </si>
  <si>
    <t>Texas</t>
  </si>
  <si>
    <t>Avatar 3</t>
  </si>
  <si>
    <t>Florida</t>
  </si>
  <si>
    <t>Fast X</t>
  </si>
  <si>
    <t>Family</t>
  </si>
  <si>
    <t>Student</t>
  </si>
  <si>
    <t>The Flash</t>
  </si>
  <si>
    <t>Mission Impossible 8</t>
  </si>
  <si>
    <t>Morning</t>
  </si>
  <si>
    <t>Row Labels</t>
  </si>
  <si>
    <t>Grand Total</t>
  </si>
  <si>
    <t>Sum of Total_Revenue</t>
  </si>
  <si>
    <t>Sum of Tickets_Sold</t>
  </si>
  <si>
    <t>Sep</t>
  </si>
  <si>
    <t>Count of Sales_ID</t>
  </si>
  <si>
    <t>Month</t>
  </si>
  <si>
    <t>Values</t>
  </si>
  <si>
    <t>Weekday</t>
  </si>
  <si>
    <t>Mon</t>
  </si>
  <si>
    <t>Tue</t>
  </si>
  <si>
    <t>Wed</t>
  </si>
  <si>
    <t>Thu</t>
  </si>
  <si>
    <t>Fri</t>
  </si>
  <si>
    <t>Sat</t>
  </si>
  <si>
    <t>Sun</t>
  </si>
  <si>
    <t>Key Performance Indicators</t>
  </si>
  <si>
    <t>Month on Month Growth</t>
  </si>
  <si>
    <t>Weekly Sales Trend</t>
  </si>
  <si>
    <t>Movie Analysis by Revenue</t>
  </si>
  <si>
    <t>Location Based Analysis</t>
  </si>
  <si>
    <t>Showtime Based Analysis</t>
  </si>
  <si>
    <t>Revenue by Ticket Ticket Category</t>
  </si>
  <si>
    <t>Revenue</t>
  </si>
  <si>
    <t>Padding</t>
  </si>
  <si>
    <t>Movies</t>
  </si>
  <si>
    <t>State</t>
  </si>
  <si>
    <t>Ticket Category</t>
  </si>
  <si>
    <t>%Revenue</t>
  </si>
  <si>
    <t>Showtime</t>
  </si>
  <si>
    <t>Sales</t>
  </si>
  <si>
    <t>Orders</t>
  </si>
  <si>
    <t>Quantity</t>
  </si>
  <si>
    <t>Total</t>
  </si>
  <si>
    <t>Current Month (Sep)</t>
  </si>
  <si>
    <t>Previous Month (Aug)</t>
  </si>
  <si>
    <t>MoM</t>
  </si>
  <si>
    <t>CM (Aug)</t>
  </si>
  <si>
    <t>PM (July)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</si>
</sst>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_-[$$-409]* #,##0.00_ ;_-[$$-409]* \-#,##0.00\ ;_-[$$-409]* &quot;-&quot;??_ ;_-@_ "/>
    <numFmt numFmtId="166" formatCode="_-[$$-409]* #,##0_ ;_-[$$-409]* \-#,##0\ ;_-[$$-409]* &quot;-&quot;??_ ;_-@_ "/>
  </numFmts>
  <fonts count="4" x14ac:knownFonts="1">
    <font>
      <sz val="11"/>
      <color theme="1"/>
      <name val="Calibri"/>
      <family val="2"/>
      <scheme val="minor"/>
    </font>
    <font>
      <sz val="11"/>
      <color theme="1"/>
      <name val="Calibri"/>
      <family val="2"/>
      <scheme val="minor"/>
    </font>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91A08E"/>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66" fontId="0" fillId="0" borderId="0" xfId="0" applyNumberFormat="1"/>
    <xf numFmtId="0" fontId="3" fillId="0" borderId="0" xfId="0" applyFont="1"/>
    <xf numFmtId="0" fontId="2" fillId="0" borderId="0" xfId="0" applyFont="1"/>
    <xf numFmtId="0" fontId="3" fillId="0" borderId="0" xfId="0" applyFont="1" applyAlignment="1">
      <alignment horizontal="left"/>
    </xf>
    <xf numFmtId="165" fontId="0" fillId="0" borderId="0" xfId="1" applyNumberFormat="1" applyFont="1"/>
    <xf numFmtId="10" fontId="0" fillId="0" borderId="0" xfId="0" applyNumberFormat="1"/>
    <xf numFmtId="9" fontId="0" fillId="0" borderId="0" xfId="2" applyFont="1"/>
    <xf numFmtId="9" fontId="0" fillId="0" borderId="0" xfId="0" applyNumberFormat="1"/>
    <xf numFmtId="0" fontId="0" fillId="2" borderId="0" xfId="0" applyFill="1"/>
    <xf numFmtId="0" fontId="0" fillId="0" borderId="0" xfId="0" applyNumberFormat="1"/>
  </cellXfs>
  <cellStyles count="3">
    <cellStyle name="Comma" xfId="1" builtinId="3"/>
    <cellStyle name="Normal" xfId="0" builtinId="0"/>
    <cellStyle name="Per cent" xfId="2" builtinId="5"/>
  </cellStyles>
  <dxfs count="39">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9" formatCode="dd/mm/yyyy"/>
    </dxf>
    <dxf>
      <numFmt numFmtId="19" formatCode="dd/mm/yyyy"/>
    </dxf>
    <dxf>
      <numFmt numFmtId="19" formatCode="dd/mm/yyyy"/>
    </dxf>
    <dxf>
      <numFmt numFmtId="164" formatCode="_-* #,##0_-;\-* #,##0_-;_-* &quot;-&quot;??_-;_-@_-"/>
    </dxf>
    <dxf>
      <numFmt numFmtId="164" formatCode="_-* #,##0_-;\-* #,##0_-;_-* &quot;-&quot;??_-;_-@_-"/>
    </dxf>
    <dxf>
      <numFmt numFmtId="166" formatCode="_-[$$-409]* #,##0_ ;_-[$$-409]* \-#,##0\ ;_-[$$-409]* &quot;-&quot;??_ ;_-@_ "/>
    </dxf>
    <dxf>
      <numFmt numFmtId="166" formatCode="_-[$$-409]* #,##0_ ;_-[$$-409]* \-#,##0\ ;_-[$$-409]* &quot;-&quot;??_ ;_-@_ "/>
    </dxf>
    <dxf>
      <numFmt numFmtId="35" formatCode="_-* #,##0.00_-;\-* #,##0.00_-;_-* &quot;-&quot;??_-;_-@_-"/>
    </dxf>
    <dxf>
      <numFmt numFmtId="164" formatCode="_-* #,##0_-;\-* #,##0_-;_-* &quot;-&quot;??_-;_-@_-"/>
    </dxf>
    <dxf>
      <numFmt numFmtId="164" formatCode="_-* #,##0_-;\-* #,##0_-;_-* &quot;-&quot;??_-;_-@_-"/>
    </dxf>
    <dxf>
      <numFmt numFmtId="19" formatCode="dd/mm/yyyy"/>
    </dxf>
  </dxfs>
  <tableStyles count="2" defaultTableStyle="TableStyleMedium2" defaultPivotStyle="PivotStyleLight16">
    <tableStyle name="Slicer Style 1" pivot="0" table="0" count="3" xr9:uid="{062E4CC4-61B1-4312-8879-FC0A73C14BA9}"/>
    <tableStyle name="Slicer Style 2" pivot="0" table="0" count="3" xr9:uid="{8CA0E8A5-862E-4279-88CF-FDF778AAA7E8}"/>
  </tableStyles>
  <colors>
    <mruColors>
      <color rgb="FF42573E"/>
      <color rgb="FF161616"/>
      <color rgb="FF91A08E"/>
    </mruColors>
  </colors>
  <extLst>
    <ext xmlns:x14="http://schemas.microsoft.com/office/spreadsheetml/2009/9/main" uri="{46F421CA-312F-682f-3DD2-61675219B42D}">
      <x14:dxfs count="6">
        <dxf>
          <border>
            <left style="thin">
              <color auto="1"/>
            </left>
            <right style="thin">
              <color auto="1"/>
            </right>
            <top style="thin">
              <color auto="1"/>
            </top>
            <bottom style="thin">
              <color auto="1"/>
            </bottom>
          </border>
        </dxf>
        <dxf>
          <font>
            <b/>
            <i val="0"/>
            <color theme="0"/>
          </font>
          <fill>
            <patternFill>
              <bgColor rgb="FF42573E"/>
            </patternFill>
          </fill>
        </dxf>
        <dxf>
          <font>
            <b/>
            <i val="0"/>
            <color rgb="FF42573E"/>
          </font>
        </dxf>
        <dxf>
          <border>
            <left style="thin">
              <color auto="1"/>
            </left>
            <right style="thin">
              <color auto="1"/>
            </right>
            <top style="thin">
              <color auto="1"/>
            </top>
            <bottom style="thin">
              <color auto="1"/>
            </bottom>
          </border>
        </dxf>
        <dxf>
          <font>
            <b/>
            <i val="0"/>
            <color theme="0"/>
          </font>
          <fill>
            <patternFill>
              <bgColor rgb="FF42573E"/>
            </patternFill>
          </fill>
        </dxf>
        <dxf>
          <font>
            <b/>
            <i val="0"/>
            <color rgb="FF42573E"/>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s>
        </x14:slicerStyle>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Pivot!$E$18</c:f>
              <c:strCache>
                <c:ptCount val="1"/>
                <c:pt idx="0">
                  <c:v>Revenue</c:v>
                </c:pt>
              </c:strCache>
            </c:strRef>
          </c:tx>
          <c:spPr>
            <a:solidFill>
              <a:srgbClr val="42573E"/>
            </a:solidFill>
            <a:ln>
              <a:noFill/>
            </a:ln>
            <a:effectLst/>
          </c:spPr>
          <c:invertIfNegative val="0"/>
          <c:cat>
            <c:strRef>
              <c:f>Pivot!$D$19:$D$25</c:f>
              <c:strCache>
                <c:ptCount val="7"/>
                <c:pt idx="0">
                  <c:v>Mon</c:v>
                </c:pt>
                <c:pt idx="1">
                  <c:v>Tue</c:v>
                </c:pt>
                <c:pt idx="2">
                  <c:v>Wed</c:v>
                </c:pt>
                <c:pt idx="3">
                  <c:v>Thu</c:v>
                </c:pt>
                <c:pt idx="4">
                  <c:v>Fri</c:v>
                </c:pt>
                <c:pt idx="5">
                  <c:v>Sat</c:v>
                </c:pt>
                <c:pt idx="6">
                  <c:v>Sun</c:v>
                </c:pt>
              </c:strCache>
            </c:strRef>
          </c:cat>
          <c:val>
            <c:numRef>
              <c:f>Pivot!$E$19:$E$25</c:f>
              <c:numCache>
                <c:formatCode>General</c:formatCode>
                <c:ptCount val="7"/>
                <c:pt idx="0">
                  <c:v>4406</c:v>
                </c:pt>
                <c:pt idx="1">
                  <c:v>3872</c:v>
                </c:pt>
                <c:pt idx="2">
                  <c:v>3027</c:v>
                </c:pt>
                <c:pt idx="3">
                  <c:v>3047</c:v>
                </c:pt>
                <c:pt idx="4">
                  <c:v>2952</c:v>
                </c:pt>
                <c:pt idx="5">
                  <c:v>6666</c:v>
                </c:pt>
                <c:pt idx="6">
                  <c:v>6791</c:v>
                </c:pt>
              </c:numCache>
            </c:numRef>
          </c:val>
          <c:extLst>
            <c:ext xmlns:c16="http://schemas.microsoft.com/office/drawing/2014/chart" uri="{C3380CC4-5D6E-409C-BE32-E72D297353CC}">
              <c16:uniqueId val="{00000000-45BE-4D07-91CD-6EE4E86C7791}"/>
            </c:ext>
          </c:extLst>
        </c:ser>
        <c:ser>
          <c:idx val="1"/>
          <c:order val="1"/>
          <c:tx>
            <c:strRef>
              <c:f>Pivot!$F$18</c:f>
              <c:strCache>
                <c:ptCount val="1"/>
                <c:pt idx="0">
                  <c:v>Padding</c:v>
                </c:pt>
              </c:strCache>
            </c:strRef>
          </c:tx>
          <c:spPr>
            <a:blipFill>
              <a:blip xmlns:r="http://schemas.openxmlformats.org/officeDocument/2006/relationships" r:embed="rId3"/>
              <a:stretch>
                <a:fillRect/>
              </a:stretch>
            </a:blipFill>
            <a:ln>
              <a:noFill/>
            </a:ln>
            <a:effectLst/>
          </c:spPr>
          <c:invertIfNegative val="0"/>
          <c:cat>
            <c:strRef>
              <c:f>Pivot!$D$19:$D$25</c:f>
              <c:strCache>
                <c:ptCount val="7"/>
                <c:pt idx="0">
                  <c:v>Mon</c:v>
                </c:pt>
                <c:pt idx="1">
                  <c:v>Tue</c:v>
                </c:pt>
                <c:pt idx="2">
                  <c:v>Wed</c:v>
                </c:pt>
                <c:pt idx="3">
                  <c:v>Thu</c:v>
                </c:pt>
                <c:pt idx="4">
                  <c:v>Fri</c:v>
                </c:pt>
                <c:pt idx="5">
                  <c:v>Sat</c:v>
                </c:pt>
                <c:pt idx="6">
                  <c:v>Sun</c:v>
                </c:pt>
              </c:strCache>
            </c:strRef>
          </c:cat>
          <c:val>
            <c:numRef>
              <c:f>Pivot!$F$19:$F$25</c:f>
              <c:numCache>
                <c:formatCode>General</c:formatCode>
                <c:ptCount val="7"/>
                <c:pt idx="0">
                  <c:v>1500</c:v>
                </c:pt>
                <c:pt idx="1">
                  <c:v>1500</c:v>
                </c:pt>
                <c:pt idx="2">
                  <c:v>1500</c:v>
                </c:pt>
                <c:pt idx="3">
                  <c:v>1500</c:v>
                </c:pt>
                <c:pt idx="4">
                  <c:v>1500</c:v>
                </c:pt>
                <c:pt idx="5">
                  <c:v>1500</c:v>
                </c:pt>
                <c:pt idx="6">
                  <c:v>1500</c:v>
                </c:pt>
              </c:numCache>
            </c:numRef>
          </c:val>
          <c:extLst>
            <c:ext xmlns:c16="http://schemas.microsoft.com/office/drawing/2014/chart" uri="{C3380CC4-5D6E-409C-BE32-E72D297353CC}">
              <c16:uniqueId val="{00000001-45BE-4D07-91CD-6EE4E86C7791}"/>
            </c:ext>
          </c:extLst>
        </c:ser>
        <c:dLbls>
          <c:showLegendKey val="0"/>
          <c:showVal val="0"/>
          <c:showCatName val="0"/>
          <c:showSerName val="0"/>
          <c:showPercent val="0"/>
          <c:showBubbleSize val="0"/>
        </c:dLbls>
        <c:gapWidth val="370"/>
        <c:overlap val="100"/>
        <c:axId val="610309360"/>
        <c:axId val="610302160"/>
      </c:barChart>
      <c:catAx>
        <c:axId val="61030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02160"/>
        <c:crosses val="autoZero"/>
        <c:auto val="1"/>
        <c:lblAlgn val="ctr"/>
        <c:lblOffset val="100"/>
        <c:noMultiLvlLbl val="0"/>
      </c:catAx>
      <c:valAx>
        <c:axId val="61030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09360"/>
        <c:crosses val="autoZero"/>
        <c:crossBetween val="between"/>
        <c:majorUnit val="3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Pivot!$E$30</c:f>
              <c:strCache>
                <c:ptCount val="1"/>
                <c:pt idx="0">
                  <c:v>Revenue</c:v>
                </c:pt>
              </c:strCache>
            </c:strRef>
          </c:tx>
          <c:spPr>
            <a:solidFill>
              <a:srgbClr val="42573E"/>
            </a:solidFill>
            <a:ln>
              <a:noFill/>
            </a:ln>
            <a:effectLst/>
          </c:spPr>
          <c:invertIfNegative val="0"/>
          <c:cat>
            <c:strRef>
              <c:f>Pivot!$D$31:$D$38</c:f>
              <c:strCache>
                <c:ptCount val="8"/>
                <c:pt idx="0">
                  <c:v>The Flash</c:v>
                </c:pt>
                <c:pt idx="1">
                  <c:v>Fast X</c:v>
                </c:pt>
                <c:pt idx="2">
                  <c:v>Oppenheimer</c:v>
                </c:pt>
                <c:pt idx="3">
                  <c:v>Mission Impossible 8</c:v>
                </c:pt>
                <c:pt idx="4">
                  <c:v>John Wick 5</c:v>
                </c:pt>
                <c:pt idx="5">
                  <c:v>Barbie</c:v>
                </c:pt>
                <c:pt idx="6">
                  <c:v>Avatar 3</c:v>
                </c:pt>
                <c:pt idx="7">
                  <c:v>Guardians of the Galaxy Vol. 4</c:v>
                </c:pt>
              </c:strCache>
            </c:strRef>
          </c:cat>
          <c:val>
            <c:numRef>
              <c:f>Pivot!$E$31:$E$38</c:f>
              <c:numCache>
                <c:formatCode>General</c:formatCode>
                <c:ptCount val="8"/>
                <c:pt idx="0">
                  <c:v>2743</c:v>
                </c:pt>
                <c:pt idx="1">
                  <c:v>2760</c:v>
                </c:pt>
                <c:pt idx="2">
                  <c:v>3297</c:v>
                </c:pt>
                <c:pt idx="3">
                  <c:v>3612</c:v>
                </c:pt>
                <c:pt idx="4">
                  <c:v>3773</c:v>
                </c:pt>
                <c:pt idx="5">
                  <c:v>3991</c:v>
                </c:pt>
                <c:pt idx="6">
                  <c:v>4390</c:v>
                </c:pt>
                <c:pt idx="7">
                  <c:v>6195</c:v>
                </c:pt>
              </c:numCache>
            </c:numRef>
          </c:val>
          <c:extLst>
            <c:ext xmlns:c16="http://schemas.microsoft.com/office/drawing/2014/chart" uri="{C3380CC4-5D6E-409C-BE32-E72D297353CC}">
              <c16:uniqueId val="{00000000-E5C0-4FEF-B449-32F21BD44BC1}"/>
            </c:ext>
          </c:extLst>
        </c:ser>
        <c:ser>
          <c:idx val="1"/>
          <c:order val="1"/>
          <c:tx>
            <c:strRef>
              <c:f>Pivot!$F$30</c:f>
              <c:strCache>
                <c:ptCount val="1"/>
                <c:pt idx="0">
                  <c:v>Padding</c:v>
                </c:pt>
              </c:strCache>
            </c:strRef>
          </c:tx>
          <c:spPr>
            <a:blipFill>
              <a:blip xmlns:r="http://schemas.openxmlformats.org/officeDocument/2006/relationships" r:embed="rId3"/>
              <a:stretch>
                <a:fillRect/>
              </a:stretch>
            </a:blipFill>
            <a:ln>
              <a:noFill/>
            </a:ln>
            <a:effectLst/>
          </c:spPr>
          <c:invertIfNegative val="0"/>
          <c:cat>
            <c:strRef>
              <c:f>Pivot!$D$31:$D$38</c:f>
              <c:strCache>
                <c:ptCount val="8"/>
                <c:pt idx="0">
                  <c:v>The Flash</c:v>
                </c:pt>
                <c:pt idx="1">
                  <c:v>Fast X</c:v>
                </c:pt>
                <c:pt idx="2">
                  <c:v>Oppenheimer</c:v>
                </c:pt>
                <c:pt idx="3">
                  <c:v>Mission Impossible 8</c:v>
                </c:pt>
                <c:pt idx="4">
                  <c:v>John Wick 5</c:v>
                </c:pt>
                <c:pt idx="5">
                  <c:v>Barbie</c:v>
                </c:pt>
                <c:pt idx="6">
                  <c:v>Avatar 3</c:v>
                </c:pt>
                <c:pt idx="7">
                  <c:v>Guardians of the Galaxy Vol. 4</c:v>
                </c:pt>
              </c:strCache>
            </c:strRef>
          </c:cat>
          <c:val>
            <c:numRef>
              <c:f>Pivot!$F$31:$F$38</c:f>
              <c:numCache>
                <c:formatCode>General</c:formatCode>
                <c:ptCount val="8"/>
                <c:pt idx="0">
                  <c:v>1500</c:v>
                </c:pt>
                <c:pt idx="1">
                  <c:v>1500</c:v>
                </c:pt>
                <c:pt idx="2">
                  <c:v>1500</c:v>
                </c:pt>
                <c:pt idx="3">
                  <c:v>1500</c:v>
                </c:pt>
                <c:pt idx="4">
                  <c:v>1500</c:v>
                </c:pt>
                <c:pt idx="5">
                  <c:v>1500</c:v>
                </c:pt>
                <c:pt idx="6">
                  <c:v>1500</c:v>
                </c:pt>
                <c:pt idx="7">
                  <c:v>1500</c:v>
                </c:pt>
              </c:numCache>
            </c:numRef>
          </c:val>
          <c:extLst>
            <c:ext xmlns:c16="http://schemas.microsoft.com/office/drawing/2014/chart" uri="{C3380CC4-5D6E-409C-BE32-E72D297353CC}">
              <c16:uniqueId val="{00000001-E5C0-4FEF-B449-32F21BD44BC1}"/>
            </c:ext>
          </c:extLst>
        </c:ser>
        <c:dLbls>
          <c:showLegendKey val="0"/>
          <c:showVal val="0"/>
          <c:showCatName val="0"/>
          <c:showSerName val="0"/>
          <c:showPercent val="0"/>
          <c:showBubbleSize val="0"/>
        </c:dLbls>
        <c:gapWidth val="225"/>
        <c:overlap val="100"/>
        <c:axId val="610207120"/>
        <c:axId val="610209040"/>
      </c:barChart>
      <c:catAx>
        <c:axId val="610207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10209040"/>
        <c:crosses val="autoZero"/>
        <c:auto val="1"/>
        <c:lblAlgn val="ctr"/>
        <c:lblOffset val="100"/>
        <c:noMultiLvlLbl val="0"/>
      </c:catAx>
      <c:valAx>
        <c:axId val="610209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07120"/>
        <c:crosses val="autoZero"/>
        <c:crossBetween val="between"/>
        <c:majorUnit val="25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78958880139982"/>
          <c:y val="2.7777777777777776E-2"/>
          <c:w val="0.84809930008748902"/>
          <c:h val="0.89814814814814814"/>
        </c:manualLayout>
      </c:layout>
      <c:barChart>
        <c:barDir val="bar"/>
        <c:grouping val="stacked"/>
        <c:varyColors val="0"/>
        <c:ser>
          <c:idx val="0"/>
          <c:order val="0"/>
          <c:tx>
            <c:strRef>
              <c:f>Pivot!$E$61</c:f>
              <c:strCache>
                <c:ptCount val="1"/>
                <c:pt idx="0">
                  <c:v>%Revenue</c:v>
                </c:pt>
              </c:strCache>
            </c:strRef>
          </c:tx>
          <c:spPr>
            <a:solidFill>
              <a:srgbClr val="42573E"/>
            </a:solidFill>
            <a:ln>
              <a:noFill/>
            </a:ln>
            <a:effectLst/>
          </c:spPr>
          <c:invertIfNegative val="0"/>
          <c:dLbls>
            <c:dLbl>
              <c:idx val="0"/>
              <c:layout>
                <c:manualLayout>
                  <c:x val="0.7000000000000000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14-4561-A9F1-74E1569929D5}"/>
                </c:ext>
              </c:extLst>
            </c:dLbl>
            <c:dLbl>
              <c:idx val="1"/>
              <c:layout>
                <c:manualLayout>
                  <c:x val="0.65555555555555545"/>
                  <c:y val="1.38888888888888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114-4561-A9F1-74E1569929D5}"/>
                </c:ext>
              </c:extLst>
            </c:dLbl>
            <c:dLbl>
              <c:idx val="2"/>
              <c:layout>
                <c:manualLayout>
                  <c:x val="0.48888888888888898"/>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14-4561-A9F1-74E1569929D5}"/>
                </c:ext>
              </c:extLst>
            </c:dLbl>
            <c:dLbl>
              <c:idx val="3"/>
              <c:layout>
                <c:manualLayout>
                  <c:x val="0.75277777777777766"/>
                  <c:y val="1.8226888301384685E-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6.1097331583552059E-2"/>
                      <c:h val="6.4745552639253412E-2"/>
                    </c:manualLayout>
                  </c15:layout>
                </c:ext>
                <c:ext xmlns:c16="http://schemas.microsoft.com/office/drawing/2014/chart" uri="{C3380CC4-5D6E-409C-BE32-E72D297353CC}">
                  <c16:uniqueId val="{00000004-D114-4561-A9F1-74E1569929D5}"/>
                </c:ext>
              </c:extLst>
            </c:dLbl>
            <c:dLbl>
              <c:idx val="4"/>
              <c:layout>
                <c:manualLayout>
                  <c:x val="0.625"/>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14-4561-A9F1-74E1569929D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Pivot!$D$62:$D$66</c:f>
              <c:strCache>
                <c:ptCount val="5"/>
                <c:pt idx="0">
                  <c:v>Couple</c:v>
                </c:pt>
                <c:pt idx="1">
                  <c:v>Family</c:v>
                </c:pt>
                <c:pt idx="2">
                  <c:v>Regular</c:v>
                </c:pt>
                <c:pt idx="3">
                  <c:v>Student</c:v>
                </c:pt>
                <c:pt idx="4">
                  <c:v>VIP</c:v>
                </c:pt>
              </c:strCache>
            </c:strRef>
          </c:cat>
          <c:val>
            <c:numRef>
              <c:f>Pivot!$E$62:$E$66</c:f>
              <c:numCache>
                <c:formatCode>0%</c:formatCode>
                <c:ptCount val="5"/>
                <c:pt idx="0">
                  <c:v>0.13282514488591865</c:v>
                </c:pt>
                <c:pt idx="1">
                  <c:v>0.18702031013418263</c:v>
                </c:pt>
                <c:pt idx="2">
                  <c:v>0.37967942358899387</c:v>
                </c:pt>
                <c:pt idx="3">
                  <c:v>7.5184044275048295E-2</c:v>
                </c:pt>
                <c:pt idx="4">
                  <c:v>0.22529107711585653</c:v>
                </c:pt>
              </c:numCache>
            </c:numRef>
          </c:val>
          <c:extLst>
            <c:ext xmlns:c16="http://schemas.microsoft.com/office/drawing/2014/chart" uri="{C3380CC4-5D6E-409C-BE32-E72D297353CC}">
              <c16:uniqueId val="{00000000-D114-4561-A9F1-74E1569929D5}"/>
            </c:ext>
          </c:extLst>
        </c:ser>
        <c:ser>
          <c:idx val="1"/>
          <c:order val="1"/>
          <c:tx>
            <c:strRef>
              <c:f>Pivot!$F$61</c:f>
              <c:strCache>
                <c:ptCount val="1"/>
                <c:pt idx="0">
                  <c:v>Padding</c:v>
                </c:pt>
              </c:strCache>
            </c:strRef>
          </c:tx>
          <c:spPr>
            <a:solidFill>
              <a:schemeClr val="accent6">
                <a:lumMod val="40000"/>
                <a:lumOff val="60000"/>
                <a:alpha val="50000"/>
              </a:schemeClr>
            </a:solidFill>
            <a:ln>
              <a:noFill/>
            </a:ln>
            <a:effectLst/>
          </c:spPr>
          <c:invertIfNegative val="0"/>
          <c:dLbls>
            <c:delete val="1"/>
          </c:dLbls>
          <c:cat>
            <c:strRef>
              <c:f>Pivot!$D$62:$D$66</c:f>
              <c:strCache>
                <c:ptCount val="5"/>
                <c:pt idx="0">
                  <c:v>Couple</c:v>
                </c:pt>
                <c:pt idx="1">
                  <c:v>Family</c:v>
                </c:pt>
                <c:pt idx="2">
                  <c:v>Regular</c:v>
                </c:pt>
                <c:pt idx="3">
                  <c:v>Student</c:v>
                </c:pt>
                <c:pt idx="4">
                  <c:v>VIP</c:v>
                </c:pt>
              </c:strCache>
            </c:strRef>
          </c:cat>
          <c:val>
            <c:numRef>
              <c:f>Pivot!$F$62:$F$66</c:f>
              <c:numCache>
                <c:formatCode>0%</c:formatCode>
                <c:ptCount val="5"/>
                <c:pt idx="0">
                  <c:v>0.32279016342087397</c:v>
                </c:pt>
                <c:pt idx="1">
                  <c:v>0.26859499817261001</c:v>
                </c:pt>
                <c:pt idx="2">
                  <c:v>7.5935884717798774E-2</c:v>
                </c:pt>
                <c:pt idx="3">
                  <c:v>0.38043126403174432</c:v>
                </c:pt>
                <c:pt idx="4">
                  <c:v>0.23032423119093612</c:v>
                </c:pt>
              </c:numCache>
            </c:numRef>
          </c:val>
          <c:extLst>
            <c:ext xmlns:c16="http://schemas.microsoft.com/office/drawing/2014/chart" uri="{C3380CC4-5D6E-409C-BE32-E72D297353CC}">
              <c16:uniqueId val="{00000001-D114-4561-A9F1-74E1569929D5}"/>
            </c:ext>
          </c:extLst>
        </c:ser>
        <c:dLbls>
          <c:dLblPos val="ctr"/>
          <c:showLegendKey val="0"/>
          <c:showVal val="1"/>
          <c:showCatName val="0"/>
          <c:showSerName val="0"/>
          <c:showPercent val="0"/>
          <c:showBubbleSize val="0"/>
        </c:dLbls>
        <c:gapWidth val="150"/>
        <c:overlap val="100"/>
        <c:axId val="661298256"/>
        <c:axId val="661313136"/>
      </c:barChart>
      <c:catAx>
        <c:axId val="66129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61313136"/>
        <c:crosses val="autoZero"/>
        <c:auto val="1"/>
        <c:lblAlgn val="ctr"/>
        <c:lblOffset val="100"/>
        <c:noMultiLvlLbl val="0"/>
      </c:catAx>
      <c:valAx>
        <c:axId val="661313136"/>
        <c:scaling>
          <c:orientation val="minMax"/>
        </c:scaling>
        <c:delete val="1"/>
        <c:axPos val="b"/>
        <c:numFmt formatCode="0%" sourceLinked="1"/>
        <c:majorTickMark val="none"/>
        <c:minorTickMark val="none"/>
        <c:tickLblPos val="nextTo"/>
        <c:crossAx val="661298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7346784776902889"/>
          <c:y val="4.3693929945977025E-2"/>
          <c:w val="0.4475087489063867"/>
          <c:h val="0.78213663699709934"/>
        </c:manualLayout>
      </c:layout>
      <c:doughnutChart>
        <c:varyColors val="1"/>
        <c:ser>
          <c:idx val="1"/>
          <c:order val="0"/>
          <c:dPt>
            <c:idx val="0"/>
            <c:bubble3D val="0"/>
            <c:spPr>
              <a:solidFill>
                <a:srgbClr val="42573E">
                  <a:alpha val="60000"/>
                </a:srgbClr>
              </a:solidFill>
            </c:spPr>
            <c:extLst>
              <c:ext xmlns:c16="http://schemas.microsoft.com/office/drawing/2014/chart" uri="{C3380CC4-5D6E-409C-BE32-E72D297353CC}">
                <c16:uniqueId val="{0000008D-F0E5-469D-AF57-B140739FD22B}"/>
              </c:ext>
            </c:extLst>
          </c:dPt>
          <c:dPt>
            <c:idx val="1"/>
            <c:bubble3D val="0"/>
            <c:spPr>
              <a:solidFill>
                <a:schemeClr val="accent6">
                  <a:lumMod val="75000"/>
                  <a:alpha val="60000"/>
                </a:schemeClr>
              </a:solidFill>
            </c:spPr>
            <c:extLst>
              <c:ext xmlns:c16="http://schemas.microsoft.com/office/drawing/2014/chart" uri="{C3380CC4-5D6E-409C-BE32-E72D297353CC}">
                <c16:uniqueId val="{0000008E-F0E5-469D-AF57-B140739FD22B}"/>
              </c:ext>
            </c:extLst>
          </c:dPt>
          <c:dPt>
            <c:idx val="2"/>
            <c:bubble3D val="0"/>
            <c:spPr>
              <a:solidFill>
                <a:schemeClr val="accent6">
                  <a:lumMod val="60000"/>
                  <a:lumOff val="40000"/>
                  <a:alpha val="60000"/>
                </a:schemeClr>
              </a:solidFill>
            </c:spPr>
            <c:extLst>
              <c:ext xmlns:c16="http://schemas.microsoft.com/office/drawing/2014/chart" uri="{C3380CC4-5D6E-409C-BE32-E72D297353CC}">
                <c16:uniqueId val="{0000008F-F0E5-469D-AF57-B140739FD22B}"/>
              </c:ext>
            </c:extLst>
          </c:dPt>
          <c:dPt>
            <c:idx val="3"/>
            <c:bubble3D val="0"/>
            <c:spPr>
              <a:solidFill>
                <a:schemeClr val="accent6">
                  <a:lumMod val="20000"/>
                  <a:lumOff val="80000"/>
                  <a:alpha val="60000"/>
                </a:schemeClr>
              </a:solidFill>
            </c:spPr>
            <c:extLst>
              <c:ext xmlns:c16="http://schemas.microsoft.com/office/drawing/2014/chart" uri="{C3380CC4-5D6E-409C-BE32-E72D297353CC}">
                <c16:uniqueId val="{00000090-F0E5-469D-AF57-B140739FD22B}"/>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8C-F0E5-469D-AF57-B140739FD22B}"/>
            </c:ext>
          </c:extLst>
        </c:ser>
        <c:ser>
          <c:idx val="2"/>
          <c:order val="1"/>
          <c:dPt>
            <c:idx val="0"/>
            <c:bubble3D val="0"/>
            <c:spPr>
              <a:solidFill>
                <a:srgbClr val="42573E">
                  <a:alpha val="60000"/>
                </a:srgbClr>
              </a:solidFill>
              <a:ln w="19050">
                <a:solidFill>
                  <a:schemeClr val="lt1"/>
                </a:solidFill>
              </a:ln>
              <a:effectLst/>
            </c:spPr>
            <c:extLst>
              <c:ext xmlns:c16="http://schemas.microsoft.com/office/drawing/2014/chart" uri="{C3380CC4-5D6E-409C-BE32-E72D297353CC}">
                <c16:uniqueId val="{00000092-F0E5-469D-AF57-B140739FD22B}"/>
              </c:ext>
            </c:extLst>
          </c:dPt>
          <c:dPt>
            <c:idx val="1"/>
            <c:bubble3D val="0"/>
            <c:spPr>
              <a:solidFill>
                <a:schemeClr val="accent6">
                  <a:lumMod val="75000"/>
                  <a:alpha val="60000"/>
                </a:schemeClr>
              </a:solidFill>
              <a:ln w="19050">
                <a:solidFill>
                  <a:schemeClr val="lt1"/>
                </a:solidFill>
              </a:ln>
              <a:effectLst/>
            </c:spPr>
            <c:extLst>
              <c:ext xmlns:c16="http://schemas.microsoft.com/office/drawing/2014/chart" uri="{C3380CC4-5D6E-409C-BE32-E72D297353CC}">
                <c16:uniqueId val="{00000093-F0E5-469D-AF57-B140739FD22B}"/>
              </c:ext>
            </c:extLst>
          </c:dPt>
          <c:dPt>
            <c:idx val="2"/>
            <c:bubble3D val="0"/>
            <c:spPr>
              <a:solidFill>
                <a:schemeClr val="accent6">
                  <a:lumMod val="60000"/>
                  <a:lumOff val="40000"/>
                  <a:alpha val="60000"/>
                </a:schemeClr>
              </a:solidFill>
              <a:ln w="19050">
                <a:solidFill>
                  <a:schemeClr val="lt1"/>
                </a:solidFill>
              </a:ln>
              <a:effectLst/>
            </c:spPr>
            <c:extLst>
              <c:ext xmlns:c16="http://schemas.microsoft.com/office/drawing/2014/chart" uri="{C3380CC4-5D6E-409C-BE32-E72D297353CC}">
                <c16:uniqueId val="{00000094-F0E5-469D-AF57-B140739FD22B}"/>
              </c:ext>
            </c:extLst>
          </c:dPt>
          <c:dPt>
            <c:idx val="3"/>
            <c:bubble3D val="0"/>
            <c:spPr>
              <a:solidFill>
                <a:schemeClr val="accent6">
                  <a:lumMod val="20000"/>
                  <a:lumOff val="80000"/>
                  <a:alpha val="60000"/>
                </a:schemeClr>
              </a:solidFill>
              <a:ln w="19050">
                <a:solidFill>
                  <a:schemeClr val="lt1"/>
                </a:solidFill>
              </a:ln>
              <a:effectLst/>
            </c:spPr>
            <c:extLst>
              <c:ext xmlns:c16="http://schemas.microsoft.com/office/drawing/2014/chart" uri="{C3380CC4-5D6E-409C-BE32-E72D297353CC}">
                <c16:uniqueId val="{00000095-F0E5-469D-AF57-B140739FD22B}"/>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91-F0E5-469D-AF57-B140739FD22B}"/>
            </c:ext>
          </c:extLst>
        </c:ser>
        <c:ser>
          <c:idx val="3"/>
          <c:order val="2"/>
          <c:dPt>
            <c:idx val="0"/>
            <c:bubble3D val="0"/>
            <c:spPr>
              <a:solidFill>
                <a:srgbClr val="42573E">
                  <a:alpha val="60000"/>
                </a:srgbClr>
              </a:solidFill>
              <a:ln w="19050">
                <a:solidFill>
                  <a:schemeClr val="lt1"/>
                </a:solidFill>
              </a:ln>
              <a:effectLst/>
            </c:spPr>
            <c:extLst>
              <c:ext xmlns:c16="http://schemas.microsoft.com/office/drawing/2014/chart" uri="{C3380CC4-5D6E-409C-BE32-E72D297353CC}">
                <c16:uniqueId val="{00000097-F0E5-469D-AF57-B140739FD22B}"/>
              </c:ext>
            </c:extLst>
          </c:dPt>
          <c:dPt>
            <c:idx val="1"/>
            <c:bubble3D val="0"/>
            <c:spPr>
              <a:solidFill>
                <a:schemeClr val="accent6">
                  <a:lumMod val="75000"/>
                  <a:alpha val="60000"/>
                </a:schemeClr>
              </a:solidFill>
              <a:ln w="19050">
                <a:solidFill>
                  <a:schemeClr val="lt1"/>
                </a:solidFill>
              </a:ln>
              <a:effectLst/>
            </c:spPr>
            <c:extLst>
              <c:ext xmlns:c16="http://schemas.microsoft.com/office/drawing/2014/chart" uri="{C3380CC4-5D6E-409C-BE32-E72D297353CC}">
                <c16:uniqueId val="{00000098-F0E5-469D-AF57-B140739FD22B}"/>
              </c:ext>
            </c:extLst>
          </c:dPt>
          <c:dPt>
            <c:idx val="2"/>
            <c:bubble3D val="0"/>
            <c:spPr>
              <a:solidFill>
                <a:schemeClr val="accent6">
                  <a:lumMod val="60000"/>
                  <a:lumOff val="40000"/>
                  <a:alpha val="60000"/>
                </a:schemeClr>
              </a:solidFill>
              <a:ln w="19050">
                <a:solidFill>
                  <a:schemeClr val="lt1"/>
                </a:solidFill>
              </a:ln>
              <a:effectLst/>
            </c:spPr>
            <c:extLst>
              <c:ext xmlns:c16="http://schemas.microsoft.com/office/drawing/2014/chart" uri="{C3380CC4-5D6E-409C-BE32-E72D297353CC}">
                <c16:uniqueId val="{00000099-F0E5-469D-AF57-B140739FD22B}"/>
              </c:ext>
            </c:extLst>
          </c:dPt>
          <c:dPt>
            <c:idx val="3"/>
            <c:bubble3D val="0"/>
            <c:spPr>
              <a:solidFill>
                <a:schemeClr val="accent6">
                  <a:lumMod val="20000"/>
                  <a:lumOff val="80000"/>
                  <a:alpha val="60000"/>
                </a:schemeClr>
              </a:solidFill>
              <a:ln w="19050">
                <a:solidFill>
                  <a:schemeClr val="lt1"/>
                </a:solidFill>
              </a:ln>
              <a:effectLst/>
            </c:spPr>
            <c:extLst>
              <c:ext xmlns:c16="http://schemas.microsoft.com/office/drawing/2014/chart" uri="{C3380CC4-5D6E-409C-BE32-E72D297353CC}">
                <c16:uniqueId val="{0000009A-F0E5-469D-AF57-B140739FD22B}"/>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96-F0E5-469D-AF57-B140739FD22B}"/>
            </c:ext>
          </c:extLst>
        </c:ser>
        <c:ser>
          <c:idx val="4"/>
          <c:order val="3"/>
          <c:dPt>
            <c:idx val="0"/>
            <c:bubble3D val="0"/>
            <c:spPr>
              <a:solidFill>
                <a:srgbClr val="42573E">
                  <a:alpha val="60000"/>
                </a:srgbClr>
              </a:solidFill>
              <a:ln w="19050">
                <a:solidFill>
                  <a:schemeClr val="lt1"/>
                </a:solidFill>
              </a:ln>
              <a:effectLst/>
            </c:spPr>
            <c:extLst>
              <c:ext xmlns:c16="http://schemas.microsoft.com/office/drawing/2014/chart" uri="{C3380CC4-5D6E-409C-BE32-E72D297353CC}">
                <c16:uniqueId val="{0000009C-F0E5-469D-AF57-B140739FD22B}"/>
              </c:ext>
            </c:extLst>
          </c:dPt>
          <c:dPt>
            <c:idx val="1"/>
            <c:bubble3D val="0"/>
            <c:spPr>
              <a:solidFill>
                <a:schemeClr val="accent6">
                  <a:lumMod val="75000"/>
                  <a:alpha val="60000"/>
                </a:schemeClr>
              </a:solidFill>
              <a:ln w="19050">
                <a:solidFill>
                  <a:schemeClr val="lt1"/>
                </a:solidFill>
              </a:ln>
              <a:effectLst/>
            </c:spPr>
            <c:extLst>
              <c:ext xmlns:c16="http://schemas.microsoft.com/office/drawing/2014/chart" uri="{C3380CC4-5D6E-409C-BE32-E72D297353CC}">
                <c16:uniqueId val="{0000009D-F0E5-469D-AF57-B140739FD22B}"/>
              </c:ext>
            </c:extLst>
          </c:dPt>
          <c:dPt>
            <c:idx val="2"/>
            <c:bubble3D val="0"/>
            <c:spPr>
              <a:solidFill>
                <a:schemeClr val="accent6">
                  <a:lumMod val="60000"/>
                  <a:lumOff val="40000"/>
                  <a:alpha val="60000"/>
                </a:schemeClr>
              </a:solidFill>
              <a:ln w="19050">
                <a:solidFill>
                  <a:schemeClr val="lt1"/>
                </a:solidFill>
              </a:ln>
              <a:effectLst/>
            </c:spPr>
            <c:extLst>
              <c:ext xmlns:c16="http://schemas.microsoft.com/office/drawing/2014/chart" uri="{C3380CC4-5D6E-409C-BE32-E72D297353CC}">
                <c16:uniqueId val="{0000009E-F0E5-469D-AF57-B140739FD22B}"/>
              </c:ext>
            </c:extLst>
          </c:dPt>
          <c:dPt>
            <c:idx val="3"/>
            <c:bubble3D val="0"/>
            <c:spPr>
              <a:noFill/>
              <a:ln w="19050">
                <a:solidFill>
                  <a:schemeClr val="lt1"/>
                </a:solidFill>
              </a:ln>
              <a:effectLst/>
            </c:spPr>
            <c:extLst>
              <c:ext xmlns:c16="http://schemas.microsoft.com/office/drawing/2014/chart" uri="{C3380CC4-5D6E-409C-BE32-E72D297353CC}">
                <c16:uniqueId val="{0000009F-F0E5-469D-AF57-B140739FD22B}"/>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9B-F0E5-469D-AF57-B140739FD22B}"/>
            </c:ext>
          </c:extLst>
        </c:ser>
        <c:ser>
          <c:idx val="5"/>
          <c:order val="4"/>
          <c:dPt>
            <c:idx val="0"/>
            <c:bubble3D val="0"/>
            <c:spPr>
              <a:solidFill>
                <a:srgbClr val="42573E">
                  <a:alpha val="60000"/>
                </a:srgbClr>
              </a:solidFill>
              <a:ln w="19050">
                <a:solidFill>
                  <a:schemeClr val="lt1"/>
                </a:solidFill>
              </a:ln>
              <a:effectLst/>
            </c:spPr>
            <c:extLst>
              <c:ext xmlns:c16="http://schemas.microsoft.com/office/drawing/2014/chart" uri="{C3380CC4-5D6E-409C-BE32-E72D297353CC}">
                <c16:uniqueId val="{000000A1-F0E5-469D-AF57-B140739FD22B}"/>
              </c:ext>
            </c:extLst>
          </c:dPt>
          <c:dPt>
            <c:idx val="1"/>
            <c:bubble3D val="0"/>
            <c:spPr>
              <a:solidFill>
                <a:schemeClr val="accent6">
                  <a:lumMod val="75000"/>
                  <a:alpha val="60000"/>
                </a:schemeClr>
              </a:solidFill>
              <a:ln w="19050">
                <a:solidFill>
                  <a:schemeClr val="lt1"/>
                </a:solidFill>
              </a:ln>
              <a:effectLst/>
            </c:spPr>
            <c:extLst>
              <c:ext xmlns:c16="http://schemas.microsoft.com/office/drawing/2014/chart" uri="{C3380CC4-5D6E-409C-BE32-E72D297353CC}">
                <c16:uniqueId val="{000000A2-F0E5-469D-AF57-B140739FD22B}"/>
              </c:ext>
            </c:extLst>
          </c:dPt>
          <c:dPt>
            <c:idx val="2"/>
            <c:bubble3D val="0"/>
            <c:spPr>
              <a:noFill/>
              <a:ln w="19050">
                <a:solidFill>
                  <a:schemeClr val="lt1"/>
                </a:solidFill>
              </a:ln>
              <a:effectLst/>
            </c:spPr>
            <c:extLst>
              <c:ext xmlns:c16="http://schemas.microsoft.com/office/drawing/2014/chart" uri="{C3380CC4-5D6E-409C-BE32-E72D297353CC}">
                <c16:uniqueId val="{000000A3-F0E5-469D-AF57-B140739FD22B}"/>
              </c:ext>
            </c:extLst>
          </c:dPt>
          <c:dPt>
            <c:idx val="3"/>
            <c:bubble3D val="0"/>
            <c:spPr>
              <a:noFill/>
              <a:ln w="19050">
                <a:solidFill>
                  <a:schemeClr val="lt1"/>
                </a:solidFill>
              </a:ln>
              <a:effectLst/>
            </c:spPr>
            <c:extLst>
              <c:ext xmlns:c16="http://schemas.microsoft.com/office/drawing/2014/chart" uri="{C3380CC4-5D6E-409C-BE32-E72D297353CC}">
                <c16:uniqueId val="{000000A4-F0E5-469D-AF57-B140739FD22B}"/>
              </c:ext>
            </c:extLst>
          </c:dPt>
          <c:dLbls>
            <c:dLbl>
              <c:idx val="0"/>
              <c:layout>
                <c:manualLayout>
                  <c:x val="-0.7749999623813697"/>
                  <c:y val="-0.192776762682951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1-F0E5-469D-AF57-B140739FD22B}"/>
                </c:ext>
              </c:extLst>
            </c:dLbl>
            <c:dLbl>
              <c:idx val="1"/>
              <c:layout>
                <c:manualLayout>
                  <c:x val="-0.51111103866041563"/>
                  <c:y val="-0.242700372372760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2-F0E5-469D-AF57-B140739FD22B}"/>
                </c:ext>
              </c:extLst>
            </c:dLbl>
            <c:dLbl>
              <c:idx val="2"/>
              <c:layout>
                <c:manualLayout>
                  <c:x val="-0.42222222779535262"/>
                  <c:y val="0.286481773459636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3-F0E5-469D-AF57-B140739FD22B}"/>
                </c:ext>
              </c:extLst>
            </c:dLbl>
            <c:dLbl>
              <c:idx val="3"/>
              <c:layout>
                <c:manualLayout>
                  <c:x val="-0.50914784773784127"/>
                  <c:y val="0.751132108324558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A4-F0E5-469D-AF57-B140739FD22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extLst>
          </c:dLbls>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A0-F0E5-469D-AF57-B140739FD22B}"/>
            </c:ext>
          </c:extLst>
        </c:ser>
        <c:ser>
          <c:idx val="6"/>
          <c:order val="5"/>
          <c:dPt>
            <c:idx val="0"/>
            <c:bubble3D val="0"/>
            <c:spPr>
              <a:solidFill>
                <a:srgbClr val="42573E">
                  <a:alpha val="81000"/>
                </a:srgbClr>
              </a:solidFill>
              <a:ln w="19050">
                <a:solidFill>
                  <a:schemeClr val="lt1"/>
                </a:solidFill>
              </a:ln>
              <a:effectLst/>
            </c:spPr>
            <c:extLst>
              <c:ext xmlns:c16="http://schemas.microsoft.com/office/drawing/2014/chart" uri="{C3380CC4-5D6E-409C-BE32-E72D297353CC}">
                <c16:uniqueId val="{000000A6-F0E5-469D-AF57-B140739FD22B}"/>
              </c:ext>
            </c:extLst>
          </c:dPt>
          <c:dPt>
            <c:idx val="1"/>
            <c:bubble3D val="0"/>
            <c:spPr>
              <a:noFill/>
              <a:ln w="19050">
                <a:solidFill>
                  <a:schemeClr val="lt1"/>
                </a:solidFill>
              </a:ln>
              <a:effectLst/>
            </c:spPr>
            <c:extLst>
              <c:ext xmlns:c16="http://schemas.microsoft.com/office/drawing/2014/chart" uri="{C3380CC4-5D6E-409C-BE32-E72D297353CC}">
                <c16:uniqueId val="{000000A7-F0E5-469D-AF57-B140739FD22B}"/>
              </c:ext>
            </c:extLst>
          </c:dPt>
          <c:dPt>
            <c:idx val="2"/>
            <c:bubble3D val="0"/>
            <c:spPr>
              <a:noFill/>
              <a:ln w="19050">
                <a:solidFill>
                  <a:schemeClr val="lt1"/>
                </a:solidFill>
              </a:ln>
              <a:effectLst/>
            </c:spPr>
            <c:extLst>
              <c:ext xmlns:c16="http://schemas.microsoft.com/office/drawing/2014/chart" uri="{C3380CC4-5D6E-409C-BE32-E72D297353CC}">
                <c16:uniqueId val="{000000A8-F0E5-469D-AF57-B140739FD22B}"/>
              </c:ext>
            </c:extLst>
          </c:dPt>
          <c:dPt>
            <c:idx val="3"/>
            <c:bubble3D val="0"/>
            <c:spPr>
              <a:noFill/>
              <a:ln w="19050">
                <a:solidFill>
                  <a:schemeClr val="lt1"/>
                </a:solidFill>
              </a:ln>
              <a:effectLst/>
            </c:spPr>
            <c:extLst>
              <c:ext xmlns:c16="http://schemas.microsoft.com/office/drawing/2014/chart" uri="{C3380CC4-5D6E-409C-BE32-E72D297353CC}">
                <c16:uniqueId val="{000000A9-F0E5-469D-AF57-B140739FD22B}"/>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A5-F0E5-469D-AF57-B140739FD22B}"/>
            </c:ext>
          </c:extLst>
        </c:ser>
        <c:ser>
          <c:idx val="0"/>
          <c:order val="6"/>
          <c:dPt>
            <c:idx val="0"/>
            <c:bubble3D val="0"/>
            <c:spPr>
              <a:noFill/>
              <a:ln w="19050">
                <a:solidFill>
                  <a:schemeClr val="lt1"/>
                </a:solidFill>
              </a:ln>
              <a:effectLst/>
            </c:spPr>
            <c:extLst>
              <c:ext xmlns:c16="http://schemas.microsoft.com/office/drawing/2014/chart" uri="{C3380CC4-5D6E-409C-BE32-E72D297353CC}">
                <c16:uniqueId val="{00000084-F0E5-469D-AF57-B140739FD22B}"/>
              </c:ext>
            </c:extLst>
          </c:dPt>
          <c:dPt>
            <c:idx val="1"/>
            <c:bubble3D val="0"/>
            <c:spPr>
              <a:noFill/>
              <a:ln w="19050">
                <a:solidFill>
                  <a:schemeClr val="lt1"/>
                </a:solidFill>
              </a:ln>
              <a:effectLst/>
            </c:spPr>
            <c:extLst>
              <c:ext xmlns:c16="http://schemas.microsoft.com/office/drawing/2014/chart" uri="{C3380CC4-5D6E-409C-BE32-E72D297353CC}">
                <c16:uniqueId val="{00000086-F0E5-469D-AF57-B140739FD22B}"/>
              </c:ext>
            </c:extLst>
          </c:dPt>
          <c:dPt>
            <c:idx val="2"/>
            <c:bubble3D val="0"/>
            <c:spPr>
              <a:noFill/>
              <a:ln w="19050">
                <a:solidFill>
                  <a:schemeClr val="lt1"/>
                </a:solidFill>
              </a:ln>
              <a:effectLst/>
            </c:spPr>
            <c:extLst>
              <c:ext xmlns:c16="http://schemas.microsoft.com/office/drawing/2014/chart" uri="{C3380CC4-5D6E-409C-BE32-E72D297353CC}">
                <c16:uniqueId val="{00000088-F0E5-469D-AF57-B140739FD22B}"/>
              </c:ext>
            </c:extLst>
          </c:dPt>
          <c:dPt>
            <c:idx val="3"/>
            <c:bubble3D val="0"/>
            <c:spPr>
              <a:noFill/>
              <a:ln w="19050">
                <a:solidFill>
                  <a:schemeClr val="lt1"/>
                </a:solidFill>
              </a:ln>
              <a:effectLst/>
            </c:spPr>
            <c:extLst>
              <c:ext xmlns:c16="http://schemas.microsoft.com/office/drawing/2014/chart" uri="{C3380CC4-5D6E-409C-BE32-E72D297353CC}">
                <c16:uniqueId val="{0000008A-F0E5-469D-AF57-B140739FD22B}"/>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8B-F0E5-469D-AF57-B140739FD22B}"/>
            </c:ext>
          </c:extLst>
        </c:ser>
        <c:dLbls>
          <c:showLegendKey val="0"/>
          <c:showVal val="0"/>
          <c:showCatName val="0"/>
          <c:showSerName val="0"/>
          <c:showPercent val="0"/>
          <c:showBubbleSize val="0"/>
          <c:showLeaderLines val="1"/>
        </c:dLbls>
        <c:firstSliceAng val="0"/>
        <c:holeSize val="38"/>
      </c:doughnutChart>
    </c:plotArea>
    <c:legend>
      <c:legendPos val="b"/>
      <c:layout>
        <c:manualLayout>
          <c:xMode val="edge"/>
          <c:yMode val="edge"/>
          <c:x val="1.5358683608760228E-2"/>
          <c:y val="6.5032788265959596E-2"/>
          <c:w val="0.24868949231401224"/>
          <c:h val="0.914173162715942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85569953438986"/>
          <c:y val="9.2734701626553895E-2"/>
          <c:w val="0.81898161115401702"/>
          <c:h val="0.80178961544762972"/>
        </c:manualLayout>
      </c:layout>
      <c:barChart>
        <c:barDir val="col"/>
        <c:grouping val="stacked"/>
        <c:varyColors val="0"/>
        <c:ser>
          <c:idx val="0"/>
          <c:order val="0"/>
          <c:tx>
            <c:strRef>
              <c:f>Pivot!$E$18</c:f>
              <c:strCache>
                <c:ptCount val="1"/>
                <c:pt idx="0">
                  <c:v>Revenue</c:v>
                </c:pt>
              </c:strCache>
            </c:strRef>
          </c:tx>
          <c:spPr>
            <a:solidFill>
              <a:srgbClr val="42573E"/>
            </a:solidFill>
            <a:ln>
              <a:noFill/>
            </a:ln>
            <a:effectLst/>
          </c:spPr>
          <c:invertIfNegative val="0"/>
          <c:cat>
            <c:strRef>
              <c:f>Pivot!$D$19:$D$25</c:f>
              <c:strCache>
                <c:ptCount val="7"/>
                <c:pt idx="0">
                  <c:v>Mon</c:v>
                </c:pt>
                <c:pt idx="1">
                  <c:v>Tue</c:v>
                </c:pt>
                <c:pt idx="2">
                  <c:v>Wed</c:v>
                </c:pt>
                <c:pt idx="3">
                  <c:v>Thu</c:v>
                </c:pt>
                <c:pt idx="4">
                  <c:v>Fri</c:v>
                </c:pt>
                <c:pt idx="5">
                  <c:v>Sat</c:v>
                </c:pt>
                <c:pt idx="6">
                  <c:v>Sun</c:v>
                </c:pt>
              </c:strCache>
            </c:strRef>
          </c:cat>
          <c:val>
            <c:numRef>
              <c:f>Pivot!$E$19:$E$25</c:f>
              <c:numCache>
                <c:formatCode>General</c:formatCode>
                <c:ptCount val="7"/>
                <c:pt idx="0">
                  <c:v>4406</c:v>
                </c:pt>
                <c:pt idx="1">
                  <c:v>3872</c:v>
                </c:pt>
                <c:pt idx="2">
                  <c:v>3027</c:v>
                </c:pt>
                <c:pt idx="3">
                  <c:v>3047</c:v>
                </c:pt>
                <c:pt idx="4">
                  <c:v>2952</c:v>
                </c:pt>
                <c:pt idx="5">
                  <c:v>6666</c:v>
                </c:pt>
                <c:pt idx="6">
                  <c:v>6791</c:v>
                </c:pt>
              </c:numCache>
            </c:numRef>
          </c:val>
          <c:extLst>
            <c:ext xmlns:c16="http://schemas.microsoft.com/office/drawing/2014/chart" uri="{C3380CC4-5D6E-409C-BE32-E72D297353CC}">
              <c16:uniqueId val="{00000000-4737-4C23-90BB-7B62BFF05660}"/>
            </c:ext>
          </c:extLst>
        </c:ser>
        <c:ser>
          <c:idx val="1"/>
          <c:order val="1"/>
          <c:tx>
            <c:strRef>
              <c:f>Pivot!$F$18</c:f>
              <c:strCache>
                <c:ptCount val="1"/>
                <c:pt idx="0">
                  <c:v>Padding</c:v>
                </c:pt>
              </c:strCache>
            </c:strRef>
          </c:tx>
          <c:spPr>
            <a:blipFill>
              <a:blip xmlns:r="http://schemas.openxmlformats.org/officeDocument/2006/relationships" r:embed="rId3"/>
              <a:stretch>
                <a:fillRect/>
              </a:stretch>
            </a:blipFill>
            <a:ln>
              <a:noFill/>
            </a:ln>
            <a:effectLst/>
          </c:spPr>
          <c:invertIfNegative val="0"/>
          <c:cat>
            <c:strRef>
              <c:f>Pivot!$D$19:$D$25</c:f>
              <c:strCache>
                <c:ptCount val="7"/>
                <c:pt idx="0">
                  <c:v>Mon</c:v>
                </c:pt>
                <c:pt idx="1">
                  <c:v>Tue</c:v>
                </c:pt>
                <c:pt idx="2">
                  <c:v>Wed</c:v>
                </c:pt>
                <c:pt idx="3">
                  <c:v>Thu</c:v>
                </c:pt>
                <c:pt idx="4">
                  <c:v>Fri</c:v>
                </c:pt>
                <c:pt idx="5">
                  <c:v>Sat</c:v>
                </c:pt>
                <c:pt idx="6">
                  <c:v>Sun</c:v>
                </c:pt>
              </c:strCache>
            </c:strRef>
          </c:cat>
          <c:val>
            <c:numRef>
              <c:f>Pivot!$F$19:$F$25</c:f>
              <c:numCache>
                <c:formatCode>General</c:formatCode>
                <c:ptCount val="7"/>
                <c:pt idx="0">
                  <c:v>1500</c:v>
                </c:pt>
                <c:pt idx="1">
                  <c:v>1500</c:v>
                </c:pt>
                <c:pt idx="2">
                  <c:v>1500</c:v>
                </c:pt>
                <c:pt idx="3">
                  <c:v>1500</c:v>
                </c:pt>
                <c:pt idx="4">
                  <c:v>1500</c:v>
                </c:pt>
                <c:pt idx="5">
                  <c:v>1500</c:v>
                </c:pt>
                <c:pt idx="6">
                  <c:v>1500</c:v>
                </c:pt>
              </c:numCache>
            </c:numRef>
          </c:val>
          <c:extLst>
            <c:ext xmlns:c16="http://schemas.microsoft.com/office/drawing/2014/chart" uri="{C3380CC4-5D6E-409C-BE32-E72D297353CC}">
              <c16:uniqueId val="{00000001-4737-4C23-90BB-7B62BFF05660}"/>
            </c:ext>
          </c:extLst>
        </c:ser>
        <c:dLbls>
          <c:showLegendKey val="0"/>
          <c:showVal val="0"/>
          <c:showCatName val="0"/>
          <c:showSerName val="0"/>
          <c:showPercent val="0"/>
          <c:showBubbleSize val="0"/>
        </c:dLbls>
        <c:gapWidth val="370"/>
        <c:overlap val="100"/>
        <c:axId val="610309360"/>
        <c:axId val="610302160"/>
      </c:barChart>
      <c:catAx>
        <c:axId val="6103093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02160"/>
        <c:crosses val="autoZero"/>
        <c:auto val="1"/>
        <c:lblAlgn val="ctr"/>
        <c:lblOffset val="100"/>
        <c:noMultiLvlLbl val="0"/>
      </c:catAx>
      <c:valAx>
        <c:axId val="61030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09360"/>
        <c:crosses val="autoZero"/>
        <c:crossBetween val="between"/>
        <c:majorUnit val="300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1631753860791593"/>
          <c:y val="4.1176486192613403E-2"/>
          <c:w val="0.52382985050937536"/>
          <c:h val="0.87198504559625289"/>
        </c:manualLayout>
      </c:layout>
      <c:barChart>
        <c:barDir val="bar"/>
        <c:grouping val="stacked"/>
        <c:varyColors val="0"/>
        <c:ser>
          <c:idx val="0"/>
          <c:order val="0"/>
          <c:tx>
            <c:strRef>
              <c:f>Pivot!$E$30</c:f>
              <c:strCache>
                <c:ptCount val="1"/>
                <c:pt idx="0">
                  <c:v>Revenue</c:v>
                </c:pt>
              </c:strCache>
            </c:strRef>
          </c:tx>
          <c:spPr>
            <a:solidFill>
              <a:srgbClr val="42573E"/>
            </a:solidFill>
            <a:ln>
              <a:noFill/>
            </a:ln>
            <a:effectLst/>
          </c:spPr>
          <c:invertIfNegative val="0"/>
          <c:cat>
            <c:strRef>
              <c:f>Pivot!$D$31:$D$38</c:f>
              <c:strCache>
                <c:ptCount val="8"/>
                <c:pt idx="0">
                  <c:v>The Flash</c:v>
                </c:pt>
                <c:pt idx="1">
                  <c:v>Fast X</c:v>
                </c:pt>
                <c:pt idx="2">
                  <c:v>Oppenheimer</c:v>
                </c:pt>
                <c:pt idx="3">
                  <c:v>Mission Impossible 8</c:v>
                </c:pt>
                <c:pt idx="4">
                  <c:v>John Wick 5</c:v>
                </c:pt>
                <c:pt idx="5">
                  <c:v>Barbie</c:v>
                </c:pt>
                <c:pt idx="6">
                  <c:v>Avatar 3</c:v>
                </c:pt>
                <c:pt idx="7">
                  <c:v>Guardians of the Galaxy Vol. 4</c:v>
                </c:pt>
              </c:strCache>
            </c:strRef>
          </c:cat>
          <c:val>
            <c:numRef>
              <c:f>Pivot!$E$31:$E$38</c:f>
              <c:numCache>
                <c:formatCode>General</c:formatCode>
                <c:ptCount val="8"/>
                <c:pt idx="0">
                  <c:v>2743</c:v>
                </c:pt>
                <c:pt idx="1">
                  <c:v>2760</c:v>
                </c:pt>
                <c:pt idx="2">
                  <c:v>3297</c:v>
                </c:pt>
                <c:pt idx="3">
                  <c:v>3612</c:v>
                </c:pt>
                <c:pt idx="4">
                  <c:v>3773</c:v>
                </c:pt>
                <c:pt idx="5">
                  <c:v>3991</c:v>
                </c:pt>
                <c:pt idx="6">
                  <c:v>4390</c:v>
                </c:pt>
                <c:pt idx="7">
                  <c:v>6195</c:v>
                </c:pt>
              </c:numCache>
            </c:numRef>
          </c:val>
          <c:extLst>
            <c:ext xmlns:c16="http://schemas.microsoft.com/office/drawing/2014/chart" uri="{C3380CC4-5D6E-409C-BE32-E72D297353CC}">
              <c16:uniqueId val="{00000000-8E65-4B05-9E95-3C81E1448560}"/>
            </c:ext>
          </c:extLst>
        </c:ser>
        <c:ser>
          <c:idx val="1"/>
          <c:order val="1"/>
          <c:tx>
            <c:strRef>
              <c:f>Pivot!$F$30</c:f>
              <c:strCache>
                <c:ptCount val="1"/>
                <c:pt idx="0">
                  <c:v>Padding</c:v>
                </c:pt>
              </c:strCache>
            </c:strRef>
          </c:tx>
          <c:spPr>
            <a:blipFill>
              <a:blip xmlns:r="http://schemas.openxmlformats.org/officeDocument/2006/relationships" r:embed="rId3"/>
              <a:stretch>
                <a:fillRect/>
              </a:stretch>
            </a:blipFill>
            <a:ln>
              <a:noFill/>
            </a:ln>
            <a:effectLst/>
          </c:spPr>
          <c:invertIfNegative val="0"/>
          <c:cat>
            <c:strRef>
              <c:f>Pivot!$D$31:$D$38</c:f>
              <c:strCache>
                <c:ptCount val="8"/>
                <c:pt idx="0">
                  <c:v>The Flash</c:v>
                </c:pt>
                <c:pt idx="1">
                  <c:v>Fast X</c:v>
                </c:pt>
                <c:pt idx="2">
                  <c:v>Oppenheimer</c:v>
                </c:pt>
                <c:pt idx="3">
                  <c:v>Mission Impossible 8</c:v>
                </c:pt>
                <c:pt idx="4">
                  <c:v>John Wick 5</c:v>
                </c:pt>
                <c:pt idx="5">
                  <c:v>Barbie</c:v>
                </c:pt>
                <c:pt idx="6">
                  <c:v>Avatar 3</c:v>
                </c:pt>
                <c:pt idx="7">
                  <c:v>Guardians of the Galaxy Vol. 4</c:v>
                </c:pt>
              </c:strCache>
            </c:strRef>
          </c:cat>
          <c:val>
            <c:numRef>
              <c:f>Pivot!$F$31:$F$38</c:f>
              <c:numCache>
                <c:formatCode>General</c:formatCode>
                <c:ptCount val="8"/>
                <c:pt idx="0">
                  <c:v>1500</c:v>
                </c:pt>
                <c:pt idx="1">
                  <c:v>1500</c:v>
                </c:pt>
                <c:pt idx="2">
                  <c:v>1500</c:v>
                </c:pt>
                <c:pt idx="3">
                  <c:v>1500</c:v>
                </c:pt>
                <c:pt idx="4">
                  <c:v>1500</c:v>
                </c:pt>
                <c:pt idx="5">
                  <c:v>1500</c:v>
                </c:pt>
                <c:pt idx="6">
                  <c:v>1500</c:v>
                </c:pt>
                <c:pt idx="7">
                  <c:v>1500</c:v>
                </c:pt>
              </c:numCache>
            </c:numRef>
          </c:val>
          <c:extLst>
            <c:ext xmlns:c16="http://schemas.microsoft.com/office/drawing/2014/chart" uri="{C3380CC4-5D6E-409C-BE32-E72D297353CC}">
              <c16:uniqueId val="{00000001-8E65-4B05-9E95-3C81E1448560}"/>
            </c:ext>
          </c:extLst>
        </c:ser>
        <c:dLbls>
          <c:showLegendKey val="0"/>
          <c:showVal val="0"/>
          <c:showCatName val="0"/>
          <c:showSerName val="0"/>
          <c:showPercent val="0"/>
          <c:showBubbleSize val="0"/>
        </c:dLbls>
        <c:gapWidth val="225"/>
        <c:overlap val="100"/>
        <c:axId val="610207120"/>
        <c:axId val="610209040"/>
      </c:barChart>
      <c:catAx>
        <c:axId val="6102071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10209040"/>
        <c:crosses val="autoZero"/>
        <c:auto val="1"/>
        <c:lblAlgn val="ctr"/>
        <c:lblOffset val="100"/>
        <c:noMultiLvlLbl val="0"/>
      </c:catAx>
      <c:valAx>
        <c:axId val="610209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07120"/>
        <c:crosses val="autoZero"/>
        <c:crossBetween val="between"/>
        <c:majorUnit val="250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78958880139982"/>
          <c:y val="2.7777777777777776E-2"/>
          <c:w val="0.84809930008748902"/>
          <c:h val="0.89814814814814814"/>
        </c:manualLayout>
      </c:layout>
      <c:barChart>
        <c:barDir val="bar"/>
        <c:grouping val="stacked"/>
        <c:varyColors val="0"/>
        <c:ser>
          <c:idx val="0"/>
          <c:order val="0"/>
          <c:tx>
            <c:strRef>
              <c:f>Pivot!$E$61</c:f>
              <c:strCache>
                <c:ptCount val="1"/>
                <c:pt idx="0">
                  <c:v>%Revenue</c:v>
                </c:pt>
              </c:strCache>
            </c:strRef>
          </c:tx>
          <c:spPr>
            <a:solidFill>
              <a:srgbClr val="42573E"/>
            </a:solidFill>
            <a:ln>
              <a:noFill/>
            </a:ln>
            <a:effectLst/>
          </c:spPr>
          <c:invertIfNegative val="0"/>
          <c:dLbls>
            <c:dLbl>
              <c:idx val="0"/>
              <c:layout>
                <c:manualLayout>
                  <c:x val="0.7000000000000000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95-473F-9FB5-0011FF7467E7}"/>
                </c:ext>
              </c:extLst>
            </c:dLbl>
            <c:dLbl>
              <c:idx val="1"/>
              <c:layout>
                <c:manualLayout>
                  <c:x val="0.65555555555555545"/>
                  <c:y val="1.38888888888888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95-473F-9FB5-0011FF7467E7}"/>
                </c:ext>
              </c:extLst>
            </c:dLbl>
            <c:dLbl>
              <c:idx val="2"/>
              <c:layout>
                <c:manualLayout>
                  <c:x val="0.48888888888888898"/>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95-473F-9FB5-0011FF7467E7}"/>
                </c:ext>
              </c:extLst>
            </c:dLbl>
            <c:dLbl>
              <c:idx val="3"/>
              <c:layout>
                <c:manualLayout>
                  <c:x val="0.75277777777777766"/>
                  <c:y val="1.8226888301384685E-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6.1097331583552059E-2"/>
                      <c:h val="6.4745552639253412E-2"/>
                    </c:manualLayout>
                  </c15:layout>
                </c:ext>
                <c:ext xmlns:c16="http://schemas.microsoft.com/office/drawing/2014/chart" uri="{C3380CC4-5D6E-409C-BE32-E72D297353CC}">
                  <c16:uniqueId val="{00000003-9295-473F-9FB5-0011FF7467E7}"/>
                </c:ext>
              </c:extLst>
            </c:dLbl>
            <c:dLbl>
              <c:idx val="4"/>
              <c:layout>
                <c:manualLayout>
                  <c:x val="0.625"/>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95-473F-9FB5-0011FF7467E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Pivot!$D$62:$D$66</c:f>
              <c:strCache>
                <c:ptCount val="5"/>
                <c:pt idx="0">
                  <c:v>Couple</c:v>
                </c:pt>
                <c:pt idx="1">
                  <c:v>Family</c:v>
                </c:pt>
                <c:pt idx="2">
                  <c:v>Regular</c:v>
                </c:pt>
                <c:pt idx="3">
                  <c:v>Student</c:v>
                </c:pt>
                <c:pt idx="4">
                  <c:v>VIP</c:v>
                </c:pt>
              </c:strCache>
            </c:strRef>
          </c:cat>
          <c:val>
            <c:numRef>
              <c:f>Pivot!$E$62:$E$66</c:f>
              <c:numCache>
                <c:formatCode>0%</c:formatCode>
                <c:ptCount val="5"/>
                <c:pt idx="0">
                  <c:v>0.13282514488591865</c:v>
                </c:pt>
                <c:pt idx="1">
                  <c:v>0.18702031013418263</c:v>
                </c:pt>
                <c:pt idx="2">
                  <c:v>0.37967942358899387</c:v>
                </c:pt>
                <c:pt idx="3">
                  <c:v>7.5184044275048295E-2</c:v>
                </c:pt>
                <c:pt idx="4">
                  <c:v>0.22529107711585653</c:v>
                </c:pt>
              </c:numCache>
            </c:numRef>
          </c:val>
          <c:extLst>
            <c:ext xmlns:c16="http://schemas.microsoft.com/office/drawing/2014/chart" uri="{C3380CC4-5D6E-409C-BE32-E72D297353CC}">
              <c16:uniqueId val="{00000005-9295-473F-9FB5-0011FF7467E7}"/>
            </c:ext>
          </c:extLst>
        </c:ser>
        <c:ser>
          <c:idx val="1"/>
          <c:order val="1"/>
          <c:tx>
            <c:strRef>
              <c:f>Pivot!$F$61</c:f>
              <c:strCache>
                <c:ptCount val="1"/>
                <c:pt idx="0">
                  <c:v>Padding</c:v>
                </c:pt>
              </c:strCache>
            </c:strRef>
          </c:tx>
          <c:spPr>
            <a:solidFill>
              <a:schemeClr val="accent6">
                <a:lumMod val="20000"/>
                <a:lumOff val="80000"/>
                <a:alpha val="50000"/>
              </a:schemeClr>
            </a:solidFill>
            <a:ln>
              <a:noFill/>
            </a:ln>
            <a:effectLst/>
          </c:spPr>
          <c:invertIfNegative val="0"/>
          <c:dLbls>
            <c:delete val="1"/>
          </c:dLbls>
          <c:cat>
            <c:strRef>
              <c:f>Pivot!$D$62:$D$66</c:f>
              <c:strCache>
                <c:ptCount val="5"/>
                <c:pt idx="0">
                  <c:v>Couple</c:v>
                </c:pt>
                <c:pt idx="1">
                  <c:v>Family</c:v>
                </c:pt>
                <c:pt idx="2">
                  <c:v>Regular</c:v>
                </c:pt>
                <c:pt idx="3">
                  <c:v>Student</c:v>
                </c:pt>
                <c:pt idx="4">
                  <c:v>VIP</c:v>
                </c:pt>
              </c:strCache>
            </c:strRef>
          </c:cat>
          <c:val>
            <c:numRef>
              <c:f>Pivot!$F$62:$F$66</c:f>
              <c:numCache>
                <c:formatCode>0%</c:formatCode>
                <c:ptCount val="5"/>
                <c:pt idx="0">
                  <c:v>0.32279016342087397</c:v>
                </c:pt>
                <c:pt idx="1">
                  <c:v>0.26859499817261001</c:v>
                </c:pt>
                <c:pt idx="2">
                  <c:v>7.5935884717798774E-2</c:v>
                </c:pt>
                <c:pt idx="3">
                  <c:v>0.38043126403174432</c:v>
                </c:pt>
                <c:pt idx="4">
                  <c:v>0.23032423119093612</c:v>
                </c:pt>
              </c:numCache>
            </c:numRef>
          </c:val>
          <c:extLst>
            <c:ext xmlns:c16="http://schemas.microsoft.com/office/drawing/2014/chart" uri="{C3380CC4-5D6E-409C-BE32-E72D297353CC}">
              <c16:uniqueId val="{00000006-9295-473F-9FB5-0011FF7467E7}"/>
            </c:ext>
          </c:extLst>
        </c:ser>
        <c:dLbls>
          <c:dLblPos val="ctr"/>
          <c:showLegendKey val="0"/>
          <c:showVal val="1"/>
          <c:showCatName val="0"/>
          <c:showSerName val="0"/>
          <c:showPercent val="0"/>
          <c:showBubbleSize val="0"/>
        </c:dLbls>
        <c:gapWidth val="150"/>
        <c:overlap val="100"/>
        <c:axId val="661298256"/>
        <c:axId val="661313136"/>
      </c:barChart>
      <c:catAx>
        <c:axId val="6612982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61313136"/>
        <c:crosses val="autoZero"/>
        <c:auto val="1"/>
        <c:lblAlgn val="ctr"/>
        <c:lblOffset val="100"/>
        <c:noMultiLvlLbl val="0"/>
      </c:catAx>
      <c:valAx>
        <c:axId val="661313136"/>
        <c:scaling>
          <c:orientation val="minMax"/>
        </c:scaling>
        <c:delete val="1"/>
        <c:axPos val="b"/>
        <c:numFmt formatCode="0%" sourceLinked="1"/>
        <c:majorTickMark val="none"/>
        <c:minorTickMark val="none"/>
        <c:tickLblPos val="nextTo"/>
        <c:crossAx val="6612982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7346784776902889"/>
          <c:y val="4.3693929945977025E-2"/>
          <c:w val="0.4475087489063867"/>
          <c:h val="0.78213663699709934"/>
        </c:manualLayout>
      </c:layout>
      <c:doughnutChart>
        <c:varyColors val="1"/>
        <c:ser>
          <c:idx val="1"/>
          <c:order val="0"/>
          <c:dPt>
            <c:idx val="0"/>
            <c:bubble3D val="0"/>
            <c:spPr>
              <a:solidFill>
                <a:srgbClr val="42573E">
                  <a:alpha val="60000"/>
                </a:srgbClr>
              </a:solidFill>
            </c:spPr>
            <c:extLst>
              <c:ext xmlns:c16="http://schemas.microsoft.com/office/drawing/2014/chart" uri="{C3380CC4-5D6E-409C-BE32-E72D297353CC}">
                <c16:uniqueId val="{00000001-96DF-4709-BC38-57C7D7FA23A1}"/>
              </c:ext>
            </c:extLst>
          </c:dPt>
          <c:dPt>
            <c:idx val="1"/>
            <c:bubble3D val="0"/>
            <c:spPr>
              <a:solidFill>
                <a:schemeClr val="accent6">
                  <a:lumMod val="75000"/>
                  <a:alpha val="60000"/>
                </a:schemeClr>
              </a:solidFill>
            </c:spPr>
            <c:extLst>
              <c:ext xmlns:c16="http://schemas.microsoft.com/office/drawing/2014/chart" uri="{C3380CC4-5D6E-409C-BE32-E72D297353CC}">
                <c16:uniqueId val="{00000003-96DF-4709-BC38-57C7D7FA23A1}"/>
              </c:ext>
            </c:extLst>
          </c:dPt>
          <c:dPt>
            <c:idx val="2"/>
            <c:bubble3D val="0"/>
            <c:spPr>
              <a:solidFill>
                <a:schemeClr val="accent6">
                  <a:lumMod val="60000"/>
                  <a:lumOff val="40000"/>
                  <a:alpha val="60000"/>
                </a:schemeClr>
              </a:solidFill>
            </c:spPr>
            <c:extLst>
              <c:ext xmlns:c16="http://schemas.microsoft.com/office/drawing/2014/chart" uri="{C3380CC4-5D6E-409C-BE32-E72D297353CC}">
                <c16:uniqueId val="{00000005-96DF-4709-BC38-57C7D7FA23A1}"/>
              </c:ext>
            </c:extLst>
          </c:dPt>
          <c:dPt>
            <c:idx val="3"/>
            <c:bubble3D val="0"/>
            <c:spPr>
              <a:solidFill>
                <a:schemeClr val="accent6">
                  <a:lumMod val="20000"/>
                  <a:lumOff val="80000"/>
                  <a:alpha val="60000"/>
                </a:schemeClr>
              </a:solidFill>
            </c:spPr>
            <c:extLst>
              <c:ext xmlns:c16="http://schemas.microsoft.com/office/drawing/2014/chart" uri="{C3380CC4-5D6E-409C-BE32-E72D297353CC}">
                <c16:uniqueId val="{00000007-96DF-4709-BC38-57C7D7FA23A1}"/>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08-96DF-4709-BC38-57C7D7FA23A1}"/>
            </c:ext>
          </c:extLst>
        </c:ser>
        <c:ser>
          <c:idx val="2"/>
          <c:order val="1"/>
          <c:dPt>
            <c:idx val="0"/>
            <c:bubble3D val="0"/>
            <c:spPr>
              <a:solidFill>
                <a:srgbClr val="42573E">
                  <a:alpha val="60000"/>
                </a:srgbClr>
              </a:solidFill>
              <a:ln w="19050">
                <a:solidFill>
                  <a:schemeClr val="lt1"/>
                </a:solidFill>
              </a:ln>
              <a:effectLst/>
            </c:spPr>
            <c:extLst>
              <c:ext xmlns:c16="http://schemas.microsoft.com/office/drawing/2014/chart" uri="{C3380CC4-5D6E-409C-BE32-E72D297353CC}">
                <c16:uniqueId val="{0000000A-96DF-4709-BC38-57C7D7FA23A1}"/>
              </c:ext>
            </c:extLst>
          </c:dPt>
          <c:dPt>
            <c:idx val="1"/>
            <c:bubble3D val="0"/>
            <c:spPr>
              <a:solidFill>
                <a:schemeClr val="accent6">
                  <a:lumMod val="75000"/>
                  <a:alpha val="60000"/>
                </a:schemeClr>
              </a:solidFill>
              <a:ln w="19050">
                <a:solidFill>
                  <a:schemeClr val="lt1"/>
                </a:solidFill>
              </a:ln>
              <a:effectLst/>
            </c:spPr>
            <c:extLst>
              <c:ext xmlns:c16="http://schemas.microsoft.com/office/drawing/2014/chart" uri="{C3380CC4-5D6E-409C-BE32-E72D297353CC}">
                <c16:uniqueId val="{0000000C-96DF-4709-BC38-57C7D7FA23A1}"/>
              </c:ext>
            </c:extLst>
          </c:dPt>
          <c:dPt>
            <c:idx val="2"/>
            <c:bubble3D val="0"/>
            <c:spPr>
              <a:solidFill>
                <a:schemeClr val="accent6">
                  <a:lumMod val="60000"/>
                  <a:lumOff val="40000"/>
                  <a:alpha val="60000"/>
                </a:schemeClr>
              </a:solidFill>
              <a:ln w="19050">
                <a:solidFill>
                  <a:schemeClr val="lt1"/>
                </a:solidFill>
              </a:ln>
              <a:effectLst/>
            </c:spPr>
            <c:extLst>
              <c:ext xmlns:c16="http://schemas.microsoft.com/office/drawing/2014/chart" uri="{C3380CC4-5D6E-409C-BE32-E72D297353CC}">
                <c16:uniqueId val="{0000000E-96DF-4709-BC38-57C7D7FA23A1}"/>
              </c:ext>
            </c:extLst>
          </c:dPt>
          <c:dPt>
            <c:idx val="3"/>
            <c:bubble3D val="0"/>
            <c:spPr>
              <a:solidFill>
                <a:schemeClr val="accent6">
                  <a:lumMod val="20000"/>
                  <a:lumOff val="80000"/>
                  <a:alpha val="60000"/>
                </a:schemeClr>
              </a:solidFill>
              <a:ln w="19050">
                <a:solidFill>
                  <a:schemeClr val="lt1"/>
                </a:solidFill>
              </a:ln>
              <a:effectLst/>
            </c:spPr>
            <c:extLst>
              <c:ext xmlns:c16="http://schemas.microsoft.com/office/drawing/2014/chart" uri="{C3380CC4-5D6E-409C-BE32-E72D297353CC}">
                <c16:uniqueId val="{00000010-96DF-4709-BC38-57C7D7FA23A1}"/>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11-96DF-4709-BC38-57C7D7FA23A1}"/>
            </c:ext>
          </c:extLst>
        </c:ser>
        <c:ser>
          <c:idx val="3"/>
          <c:order val="2"/>
          <c:dPt>
            <c:idx val="0"/>
            <c:bubble3D val="0"/>
            <c:spPr>
              <a:solidFill>
                <a:srgbClr val="42573E">
                  <a:alpha val="60000"/>
                </a:srgbClr>
              </a:solidFill>
              <a:ln w="19050">
                <a:solidFill>
                  <a:schemeClr val="lt1"/>
                </a:solidFill>
              </a:ln>
              <a:effectLst/>
            </c:spPr>
            <c:extLst>
              <c:ext xmlns:c16="http://schemas.microsoft.com/office/drawing/2014/chart" uri="{C3380CC4-5D6E-409C-BE32-E72D297353CC}">
                <c16:uniqueId val="{00000013-96DF-4709-BC38-57C7D7FA23A1}"/>
              </c:ext>
            </c:extLst>
          </c:dPt>
          <c:dPt>
            <c:idx val="1"/>
            <c:bubble3D val="0"/>
            <c:spPr>
              <a:solidFill>
                <a:schemeClr val="accent6">
                  <a:lumMod val="75000"/>
                  <a:alpha val="60000"/>
                </a:schemeClr>
              </a:solidFill>
              <a:ln w="19050">
                <a:solidFill>
                  <a:schemeClr val="lt1"/>
                </a:solidFill>
              </a:ln>
              <a:effectLst/>
            </c:spPr>
            <c:extLst>
              <c:ext xmlns:c16="http://schemas.microsoft.com/office/drawing/2014/chart" uri="{C3380CC4-5D6E-409C-BE32-E72D297353CC}">
                <c16:uniqueId val="{00000015-96DF-4709-BC38-57C7D7FA23A1}"/>
              </c:ext>
            </c:extLst>
          </c:dPt>
          <c:dPt>
            <c:idx val="2"/>
            <c:bubble3D val="0"/>
            <c:spPr>
              <a:solidFill>
                <a:schemeClr val="accent6">
                  <a:lumMod val="60000"/>
                  <a:lumOff val="40000"/>
                  <a:alpha val="60000"/>
                </a:schemeClr>
              </a:solidFill>
              <a:ln w="19050">
                <a:solidFill>
                  <a:schemeClr val="lt1"/>
                </a:solidFill>
              </a:ln>
              <a:effectLst/>
            </c:spPr>
            <c:extLst>
              <c:ext xmlns:c16="http://schemas.microsoft.com/office/drawing/2014/chart" uri="{C3380CC4-5D6E-409C-BE32-E72D297353CC}">
                <c16:uniqueId val="{00000017-96DF-4709-BC38-57C7D7FA23A1}"/>
              </c:ext>
            </c:extLst>
          </c:dPt>
          <c:dPt>
            <c:idx val="3"/>
            <c:bubble3D val="0"/>
            <c:spPr>
              <a:solidFill>
                <a:schemeClr val="accent6">
                  <a:lumMod val="20000"/>
                  <a:lumOff val="80000"/>
                  <a:alpha val="60000"/>
                </a:schemeClr>
              </a:solidFill>
              <a:ln w="19050">
                <a:solidFill>
                  <a:schemeClr val="lt1"/>
                </a:solidFill>
              </a:ln>
              <a:effectLst/>
            </c:spPr>
            <c:extLst>
              <c:ext xmlns:c16="http://schemas.microsoft.com/office/drawing/2014/chart" uri="{C3380CC4-5D6E-409C-BE32-E72D297353CC}">
                <c16:uniqueId val="{00000019-96DF-4709-BC38-57C7D7FA23A1}"/>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1A-96DF-4709-BC38-57C7D7FA23A1}"/>
            </c:ext>
          </c:extLst>
        </c:ser>
        <c:ser>
          <c:idx val="4"/>
          <c:order val="3"/>
          <c:dPt>
            <c:idx val="0"/>
            <c:bubble3D val="0"/>
            <c:spPr>
              <a:solidFill>
                <a:srgbClr val="42573E">
                  <a:alpha val="60000"/>
                </a:srgbClr>
              </a:solidFill>
              <a:ln w="19050">
                <a:solidFill>
                  <a:schemeClr val="lt1"/>
                </a:solidFill>
              </a:ln>
              <a:effectLst/>
            </c:spPr>
            <c:extLst>
              <c:ext xmlns:c16="http://schemas.microsoft.com/office/drawing/2014/chart" uri="{C3380CC4-5D6E-409C-BE32-E72D297353CC}">
                <c16:uniqueId val="{0000001C-96DF-4709-BC38-57C7D7FA23A1}"/>
              </c:ext>
            </c:extLst>
          </c:dPt>
          <c:dPt>
            <c:idx val="1"/>
            <c:bubble3D val="0"/>
            <c:spPr>
              <a:solidFill>
                <a:schemeClr val="accent6">
                  <a:lumMod val="75000"/>
                  <a:alpha val="60000"/>
                </a:schemeClr>
              </a:solidFill>
              <a:ln w="19050">
                <a:solidFill>
                  <a:schemeClr val="lt1"/>
                </a:solidFill>
              </a:ln>
              <a:effectLst/>
            </c:spPr>
            <c:extLst>
              <c:ext xmlns:c16="http://schemas.microsoft.com/office/drawing/2014/chart" uri="{C3380CC4-5D6E-409C-BE32-E72D297353CC}">
                <c16:uniqueId val="{0000001E-96DF-4709-BC38-57C7D7FA23A1}"/>
              </c:ext>
            </c:extLst>
          </c:dPt>
          <c:dPt>
            <c:idx val="2"/>
            <c:bubble3D val="0"/>
            <c:spPr>
              <a:solidFill>
                <a:schemeClr val="accent6">
                  <a:lumMod val="60000"/>
                  <a:lumOff val="40000"/>
                  <a:alpha val="60000"/>
                </a:schemeClr>
              </a:solidFill>
              <a:ln w="19050">
                <a:solidFill>
                  <a:schemeClr val="lt1"/>
                </a:solidFill>
              </a:ln>
              <a:effectLst/>
            </c:spPr>
            <c:extLst>
              <c:ext xmlns:c16="http://schemas.microsoft.com/office/drawing/2014/chart" uri="{C3380CC4-5D6E-409C-BE32-E72D297353CC}">
                <c16:uniqueId val="{00000020-96DF-4709-BC38-57C7D7FA23A1}"/>
              </c:ext>
            </c:extLst>
          </c:dPt>
          <c:dPt>
            <c:idx val="3"/>
            <c:bubble3D val="0"/>
            <c:spPr>
              <a:noFill/>
              <a:ln w="19050">
                <a:solidFill>
                  <a:schemeClr val="lt1"/>
                </a:solidFill>
              </a:ln>
              <a:effectLst/>
            </c:spPr>
            <c:extLst>
              <c:ext xmlns:c16="http://schemas.microsoft.com/office/drawing/2014/chart" uri="{C3380CC4-5D6E-409C-BE32-E72D297353CC}">
                <c16:uniqueId val="{00000022-96DF-4709-BC38-57C7D7FA23A1}"/>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23-96DF-4709-BC38-57C7D7FA23A1}"/>
            </c:ext>
          </c:extLst>
        </c:ser>
        <c:ser>
          <c:idx val="5"/>
          <c:order val="4"/>
          <c:dPt>
            <c:idx val="0"/>
            <c:bubble3D val="0"/>
            <c:spPr>
              <a:solidFill>
                <a:srgbClr val="42573E">
                  <a:alpha val="60000"/>
                </a:srgbClr>
              </a:solidFill>
              <a:ln w="19050">
                <a:solidFill>
                  <a:schemeClr val="lt1"/>
                </a:solidFill>
              </a:ln>
              <a:effectLst/>
            </c:spPr>
            <c:extLst>
              <c:ext xmlns:c16="http://schemas.microsoft.com/office/drawing/2014/chart" uri="{C3380CC4-5D6E-409C-BE32-E72D297353CC}">
                <c16:uniqueId val="{00000025-96DF-4709-BC38-57C7D7FA23A1}"/>
              </c:ext>
            </c:extLst>
          </c:dPt>
          <c:dPt>
            <c:idx val="1"/>
            <c:bubble3D val="0"/>
            <c:spPr>
              <a:solidFill>
                <a:schemeClr val="accent6">
                  <a:lumMod val="75000"/>
                  <a:alpha val="60000"/>
                </a:schemeClr>
              </a:solidFill>
              <a:ln w="19050">
                <a:solidFill>
                  <a:schemeClr val="lt1"/>
                </a:solidFill>
              </a:ln>
              <a:effectLst/>
            </c:spPr>
            <c:extLst>
              <c:ext xmlns:c16="http://schemas.microsoft.com/office/drawing/2014/chart" uri="{C3380CC4-5D6E-409C-BE32-E72D297353CC}">
                <c16:uniqueId val="{00000027-96DF-4709-BC38-57C7D7FA23A1}"/>
              </c:ext>
            </c:extLst>
          </c:dPt>
          <c:dPt>
            <c:idx val="2"/>
            <c:bubble3D val="0"/>
            <c:spPr>
              <a:noFill/>
              <a:ln w="19050">
                <a:solidFill>
                  <a:schemeClr val="lt1"/>
                </a:solidFill>
              </a:ln>
              <a:effectLst/>
            </c:spPr>
            <c:extLst>
              <c:ext xmlns:c16="http://schemas.microsoft.com/office/drawing/2014/chart" uri="{C3380CC4-5D6E-409C-BE32-E72D297353CC}">
                <c16:uniqueId val="{00000029-96DF-4709-BC38-57C7D7FA23A1}"/>
              </c:ext>
            </c:extLst>
          </c:dPt>
          <c:dPt>
            <c:idx val="3"/>
            <c:bubble3D val="0"/>
            <c:spPr>
              <a:noFill/>
              <a:ln w="19050">
                <a:solidFill>
                  <a:schemeClr val="lt1"/>
                </a:solidFill>
              </a:ln>
              <a:effectLst/>
            </c:spPr>
            <c:extLst>
              <c:ext xmlns:c16="http://schemas.microsoft.com/office/drawing/2014/chart" uri="{C3380CC4-5D6E-409C-BE32-E72D297353CC}">
                <c16:uniqueId val="{0000002B-96DF-4709-BC38-57C7D7FA23A1}"/>
              </c:ext>
            </c:extLst>
          </c:dPt>
          <c:dLbls>
            <c:dLbl>
              <c:idx val="0"/>
              <c:layout>
                <c:manualLayout>
                  <c:x val="-0.7749999623813697"/>
                  <c:y val="-0.192776762682951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96DF-4709-BC38-57C7D7FA23A1}"/>
                </c:ext>
              </c:extLst>
            </c:dLbl>
            <c:dLbl>
              <c:idx val="1"/>
              <c:layout>
                <c:manualLayout>
                  <c:x val="-0.50383822476735862"/>
                  <c:y val="-0.16517590400900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96DF-4709-BC38-57C7D7FA23A1}"/>
                </c:ext>
              </c:extLst>
            </c:dLbl>
            <c:dLbl>
              <c:idx val="2"/>
              <c:layout>
                <c:manualLayout>
                  <c:x val="-0.41494946313528991"/>
                  <c:y val="0.294120240852374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96DF-4709-BC38-57C7D7FA23A1}"/>
                </c:ext>
              </c:extLst>
            </c:dLbl>
            <c:dLbl>
              <c:idx val="3"/>
              <c:layout>
                <c:manualLayout>
                  <c:x val="-0.50914788833214031"/>
                  <c:y val="0.696611187075572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96DF-4709-BC38-57C7D7FA23A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extLst>
          </c:dLbls>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2C-96DF-4709-BC38-57C7D7FA23A1}"/>
            </c:ext>
          </c:extLst>
        </c:ser>
        <c:ser>
          <c:idx val="6"/>
          <c:order val="5"/>
          <c:dPt>
            <c:idx val="0"/>
            <c:bubble3D val="0"/>
            <c:spPr>
              <a:solidFill>
                <a:srgbClr val="42573E">
                  <a:alpha val="81000"/>
                </a:srgbClr>
              </a:solidFill>
              <a:ln w="19050">
                <a:solidFill>
                  <a:schemeClr val="lt1"/>
                </a:solidFill>
              </a:ln>
              <a:effectLst/>
            </c:spPr>
            <c:extLst>
              <c:ext xmlns:c16="http://schemas.microsoft.com/office/drawing/2014/chart" uri="{C3380CC4-5D6E-409C-BE32-E72D297353CC}">
                <c16:uniqueId val="{0000002E-96DF-4709-BC38-57C7D7FA23A1}"/>
              </c:ext>
            </c:extLst>
          </c:dPt>
          <c:dPt>
            <c:idx val="1"/>
            <c:bubble3D val="0"/>
            <c:spPr>
              <a:noFill/>
              <a:ln w="19050">
                <a:solidFill>
                  <a:schemeClr val="lt1"/>
                </a:solidFill>
              </a:ln>
              <a:effectLst/>
            </c:spPr>
            <c:extLst>
              <c:ext xmlns:c16="http://schemas.microsoft.com/office/drawing/2014/chart" uri="{C3380CC4-5D6E-409C-BE32-E72D297353CC}">
                <c16:uniqueId val="{00000030-96DF-4709-BC38-57C7D7FA23A1}"/>
              </c:ext>
            </c:extLst>
          </c:dPt>
          <c:dPt>
            <c:idx val="2"/>
            <c:bubble3D val="0"/>
            <c:spPr>
              <a:noFill/>
              <a:ln w="19050">
                <a:solidFill>
                  <a:schemeClr val="lt1"/>
                </a:solidFill>
              </a:ln>
              <a:effectLst/>
            </c:spPr>
            <c:extLst>
              <c:ext xmlns:c16="http://schemas.microsoft.com/office/drawing/2014/chart" uri="{C3380CC4-5D6E-409C-BE32-E72D297353CC}">
                <c16:uniqueId val="{00000032-96DF-4709-BC38-57C7D7FA23A1}"/>
              </c:ext>
            </c:extLst>
          </c:dPt>
          <c:dPt>
            <c:idx val="3"/>
            <c:bubble3D val="0"/>
            <c:spPr>
              <a:noFill/>
              <a:ln w="19050">
                <a:solidFill>
                  <a:schemeClr val="lt1"/>
                </a:solidFill>
              </a:ln>
              <a:effectLst/>
            </c:spPr>
            <c:extLst>
              <c:ext xmlns:c16="http://schemas.microsoft.com/office/drawing/2014/chart" uri="{C3380CC4-5D6E-409C-BE32-E72D297353CC}">
                <c16:uniqueId val="{00000034-96DF-4709-BC38-57C7D7FA23A1}"/>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35-96DF-4709-BC38-57C7D7FA23A1}"/>
            </c:ext>
          </c:extLst>
        </c:ser>
        <c:ser>
          <c:idx val="0"/>
          <c:order val="6"/>
          <c:dPt>
            <c:idx val="0"/>
            <c:bubble3D val="0"/>
            <c:spPr>
              <a:noFill/>
              <a:ln w="19050">
                <a:solidFill>
                  <a:schemeClr val="lt1"/>
                </a:solidFill>
              </a:ln>
              <a:effectLst/>
            </c:spPr>
            <c:extLst>
              <c:ext xmlns:c16="http://schemas.microsoft.com/office/drawing/2014/chart" uri="{C3380CC4-5D6E-409C-BE32-E72D297353CC}">
                <c16:uniqueId val="{00000037-96DF-4709-BC38-57C7D7FA23A1}"/>
              </c:ext>
            </c:extLst>
          </c:dPt>
          <c:dPt>
            <c:idx val="1"/>
            <c:bubble3D val="0"/>
            <c:spPr>
              <a:noFill/>
              <a:ln w="19050">
                <a:solidFill>
                  <a:schemeClr val="lt1"/>
                </a:solidFill>
              </a:ln>
              <a:effectLst/>
            </c:spPr>
            <c:extLst>
              <c:ext xmlns:c16="http://schemas.microsoft.com/office/drawing/2014/chart" uri="{C3380CC4-5D6E-409C-BE32-E72D297353CC}">
                <c16:uniqueId val="{00000039-96DF-4709-BC38-57C7D7FA23A1}"/>
              </c:ext>
            </c:extLst>
          </c:dPt>
          <c:dPt>
            <c:idx val="2"/>
            <c:bubble3D val="0"/>
            <c:spPr>
              <a:noFill/>
              <a:ln w="19050">
                <a:solidFill>
                  <a:schemeClr val="lt1"/>
                </a:solidFill>
              </a:ln>
              <a:effectLst/>
            </c:spPr>
            <c:extLst>
              <c:ext xmlns:c16="http://schemas.microsoft.com/office/drawing/2014/chart" uri="{C3380CC4-5D6E-409C-BE32-E72D297353CC}">
                <c16:uniqueId val="{0000003B-96DF-4709-BC38-57C7D7FA23A1}"/>
              </c:ext>
            </c:extLst>
          </c:dPt>
          <c:dPt>
            <c:idx val="3"/>
            <c:bubble3D val="0"/>
            <c:spPr>
              <a:noFill/>
              <a:ln w="19050">
                <a:solidFill>
                  <a:schemeClr val="lt1"/>
                </a:solidFill>
              </a:ln>
              <a:effectLst/>
            </c:spPr>
            <c:extLst>
              <c:ext xmlns:c16="http://schemas.microsoft.com/office/drawing/2014/chart" uri="{C3380CC4-5D6E-409C-BE32-E72D297353CC}">
                <c16:uniqueId val="{0000003D-96DF-4709-BC38-57C7D7FA23A1}"/>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3E-96DF-4709-BC38-57C7D7FA23A1}"/>
            </c:ext>
          </c:extLst>
        </c:ser>
        <c:dLbls>
          <c:showLegendKey val="0"/>
          <c:showVal val="0"/>
          <c:showCatName val="0"/>
          <c:showSerName val="0"/>
          <c:showPercent val="0"/>
          <c:showBubbleSize val="0"/>
          <c:showLeaderLines val="1"/>
        </c:dLbls>
        <c:firstSliceAng val="0"/>
        <c:holeSize val="35"/>
      </c:doughnutChart>
    </c:plotArea>
    <c:legend>
      <c:legendPos val="b"/>
      <c:layout>
        <c:manualLayout>
          <c:xMode val="edge"/>
          <c:yMode val="edge"/>
          <c:x val="1.8994989262705791E-2"/>
          <c:y val="8.2718163519594656E-2"/>
          <c:w val="0.24868949231401224"/>
          <c:h val="0.914173162715942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85569953438986"/>
          <c:y val="9.2734701626553895E-2"/>
          <c:w val="0.81898161115401702"/>
          <c:h val="0.80178961544762972"/>
        </c:manualLayout>
      </c:layout>
      <c:barChart>
        <c:barDir val="col"/>
        <c:grouping val="stacked"/>
        <c:varyColors val="0"/>
        <c:ser>
          <c:idx val="0"/>
          <c:order val="0"/>
          <c:tx>
            <c:strRef>
              <c:f>Pivot!$E$18</c:f>
              <c:strCache>
                <c:ptCount val="1"/>
                <c:pt idx="0">
                  <c:v>Revenue</c:v>
                </c:pt>
              </c:strCache>
            </c:strRef>
          </c:tx>
          <c:spPr>
            <a:solidFill>
              <a:srgbClr val="42573E"/>
            </a:solidFill>
            <a:ln>
              <a:noFill/>
            </a:ln>
            <a:effectLst/>
          </c:spPr>
          <c:invertIfNegative val="0"/>
          <c:cat>
            <c:strRef>
              <c:f>Pivot!$D$19:$D$25</c:f>
              <c:strCache>
                <c:ptCount val="7"/>
                <c:pt idx="0">
                  <c:v>Mon</c:v>
                </c:pt>
                <c:pt idx="1">
                  <c:v>Tue</c:v>
                </c:pt>
                <c:pt idx="2">
                  <c:v>Wed</c:v>
                </c:pt>
                <c:pt idx="3">
                  <c:v>Thu</c:v>
                </c:pt>
                <c:pt idx="4">
                  <c:v>Fri</c:v>
                </c:pt>
                <c:pt idx="5">
                  <c:v>Sat</c:v>
                </c:pt>
                <c:pt idx="6">
                  <c:v>Sun</c:v>
                </c:pt>
              </c:strCache>
            </c:strRef>
          </c:cat>
          <c:val>
            <c:numRef>
              <c:f>Pivot!$E$19:$E$25</c:f>
              <c:numCache>
                <c:formatCode>General</c:formatCode>
                <c:ptCount val="7"/>
                <c:pt idx="0">
                  <c:v>4406</c:v>
                </c:pt>
                <c:pt idx="1">
                  <c:v>3872</c:v>
                </c:pt>
                <c:pt idx="2">
                  <c:v>3027</c:v>
                </c:pt>
                <c:pt idx="3">
                  <c:v>3047</c:v>
                </c:pt>
                <c:pt idx="4">
                  <c:v>2952</c:v>
                </c:pt>
                <c:pt idx="5">
                  <c:v>6666</c:v>
                </c:pt>
                <c:pt idx="6">
                  <c:v>6791</c:v>
                </c:pt>
              </c:numCache>
            </c:numRef>
          </c:val>
          <c:extLst>
            <c:ext xmlns:c16="http://schemas.microsoft.com/office/drawing/2014/chart" uri="{C3380CC4-5D6E-409C-BE32-E72D297353CC}">
              <c16:uniqueId val="{00000000-E63C-472D-BA42-857D7E07F80A}"/>
            </c:ext>
          </c:extLst>
        </c:ser>
        <c:ser>
          <c:idx val="1"/>
          <c:order val="1"/>
          <c:tx>
            <c:strRef>
              <c:f>Pivot!$F$18</c:f>
              <c:strCache>
                <c:ptCount val="1"/>
                <c:pt idx="0">
                  <c:v>Padding</c:v>
                </c:pt>
              </c:strCache>
            </c:strRef>
          </c:tx>
          <c:spPr>
            <a:blipFill>
              <a:blip xmlns:r="http://schemas.openxmlformats.org/officeDocument/2006/relationships" r:embed="rId3"/>
              <a:stretch>
                <a:fillRect/>
              </a:stretch>
            </a:blipFill>
            <a:ln>
              <a:noFill/>
            </a:ln>
            <a:effectLst/>
          </c:spPr>
          <c:invertIfNegative val="0"/>
          <c:cat>
            <c:strRef>
              <c:f>Pivot!$D$19:$D$25</c:f>
              <c:strCache>
                <c:ptCount val="7"/>
                <c:pt idx="0">
                  <c:v>Mon</c:v>
                </c:pt>
                <c:pt idx="1">
                  <c:v>Tue</c:v>
                </c:pt>
                <c:pt idx="2">
                  <c:v>Wed</c:v>
                </c:pt>
                <c:pt idx="3">
                  <c:v>Thu</c:v>
                </c:pt>
                <c:pt idx="4">
                  <c:v>Fri</c:v>
                </c:pt>
                <c:pt idx="5">
                  <c:v>Sat</c:v>
                </c:pt>
                <c:pt idx="6">
                  <c:v>Sun</c:v>
                </c:pt>
              </c:strCache>
            </c:strRef>
          </c:cat>
          <c:val>
            <c:numRef>
              <c:f>Pivot!$F$19:$F$25</c:f>
              <c:numCache>
                <c:formatCode>General</c:formatCode>
                <c:ptCount val="7"/>
                <c:pt idx="0">
                  <c:v>1500</c:v>
                </c:pt>
                <c:pt idx="1">
                  <c:v>1500</c:v>
                </c:pt>
                <c:pt idx="2">
                  <c:v>1500</c:v>
                </c:pt>
                <c:pt idx="3">
                  <c:v>1500</c:v>
                </c:pt>
                <c:pt idx="4">
                  <c:v>1500</c:v>
                </c:pt>
                <c:pt idx="5">
                  <c:v>1500</c:v>
                </c:pt>
                <c:pt idx="6">
                  <c:v>1500</c:v>
                </c:pt>
              </c:numCache>
            </c:numRef>
          </c:val>
          <c:extLst>
            <c:ext xmlns:c16="http://schemas.microsoft.com/office/drawing/2014/chart" uri="{C3380CC4-5D6E-409C-BE32-E72D297353CC}">
              <c16:uniqueId val="{00000001-E63C-472D-BA42-857D7E07F80A}"/>
            </c:ext>
          </c:extLst>
        </c:ser>
        <c:dLbls>
          <c:showLegendKey val="0"/>
          <c:showVal val="0"/>
          <c:showCatName val="0"/>
          <c:showSerName val="0"/>
          <c:showPercent val="0"/>
          <c:showBubbleSize val="0"/>
        </c:dLbls>
        <c:gapWidth val="370"/>
        <c:overlap val="100"/>
        <c:axId val="610309360"/>
        <c:axId val="610302160"/>
      </c:barChart>
      <c:catAx>
        <c:axId val="6103093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02160"/>
        <c:crosses val="autoZero"/>
        <c:auto val="1"/>
        <c:lblAlgn val="ctr"/>
        <c:lblOffset val="100"/>
        <c:noMultiLvlLbl val="0"/>
      </c:catAx>
      <c:valAx>
        <c:axId val="61030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09360"/>
        <c:crosses val="autoZero"/>
        <c:crossBetween val="between"/>
        <c:majorUnit val="300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1631753860791593"/>
          <c:y val="4.1176486192613403E-2"/>
          <c:w val="0.52382985050937536"/>
          <c:h val="0.87198504559625289"/>
        </c:manualLayout>
      </c:layout>
      <c:barChart>
        <c:barDir val="bar"/>
        <c:grouping val="stacked"/>
        <c:varyColors val="0"/>
        <c:ser>
          <c:idx val="0"/>
          <c:order val="0"/>
          <c:tx>
            <c:strRef>
              <c:f>Pivot!$E$30</c:f>
              <c:strCache>
                <c:ptCount val="1"/>
                <c:pt idx="0">
                  <c:v>Revenue</c:v>
                </c:pt>
              </c:strCache>
            </c:strRef>
          </c:tx>
          <c:spPr>
            <a:solidFill>
              <a:srgbClr val="42573E"/>
            </a:solidFill>
            <a:ln>
              <a:noFill/>
            </a:ln>
            <a:effectLst/>
          </c:spPr>
          <c:invertIfNegative val="0"/>
          <c:cat>
            <c:strRef>
              <c:f>Pivot!$D$31:$D$38</c:f>
              <c:strCache>
                <c:ptCount val="8"/>
                <c:pt idx="0">
                  <c:v>The Flash</c:v>
                </c:pt>
                <c:pt idx="1">
                  <c:v>Fast X</c:v>
                </c:pt>
                <c:pt idx="2">
                  <c:v>Oppenheimer</c:v>
                </c:pt>
                <c:pt idx="3">
                  <c:v>Mission Impossible 8</c:v>
                </c:pt>
                <c:pt idx="4">
                  <c:v>John Wick 5</c:v>
                </c:pt>
                <c:pt idx="5">
                  <c:v>Barbie</c:v>
                </c:pt>
                <c:pt idx="6">
                  <c:v>Avatar 3</c:v>
                </c:pt>
                <c:pt idx="7">
                  <c:v>Guardians of the Galaxy Vol. 4</c:v>
                </c:pt>
              </c:strCache>
            </c:strRef>
          </c:cat>
          <c:val>
            <c:numRef>
              <c:f>Pivot!$E$31:$E$38</c:f>
              <c:numCache>
                <c:formatCode>General</c:formatCode>
                <c:ptCount val="8"/>
                <c:pt idx="0">
                  <c:v>2743</c:v>
                </c:pt>
                <c:pt idx="1">
                  <c:v>2760</c:v>
                </c:pt>
                <c:pt idx="2">
                  <c:v>3297</c:v>
                </c:pt>
                <c:pt idx="3">
                  <c:v>3612</c:v>
                </c:pt>
                <c:pt idx="4">
                  <c:v>3773</c:v>
                </c:pt>
                <c:pt idx="5">
                  <c:v>3991</c:v>
                </c:pt>
                <c:pt idx="6">
                  <c:v>4390</c:v>
                </c:pt>
                <c:pt idx="7">
                  <c:v>6195</c:v>
                </c:pt>
              </c:numCache>
            </c:numRef>
          </c:val>
          <c:extLst>
            <c:ext xmlns:c16="http://schemas.microsoft.com/office/drawing/2014/chart" uri="{C3380CC4-5D6E-409C-BE32-E72D297353CC}">
              <c16:uniqueId val="{00000000-5015-4900-B1DC-8AA3495F6136}"/>
            </c:ext>
          </c:extLst>
        </c:ser>
        <c:ser>
          <c:idx val="1"/>
          <c:order val="1"/>
          <c:tx>
            <c:strRef>
              <c:f>Pivot!$F$30</c:f>
              <c:strCache>
                <c:ptCount val="1"/>
                <c:pt idx="0">
                  <c:v>Padding</c:v>
                </c:pt>
              </c:strCache>
            </c:strRef>
          </c:tx>
          <c:spPr>
            <a:blipFill>
              <a:blip xmlns:r="http://schemas.openxmlformats.org/officeDocument/2006/relationships" r:embed="rId3"/>
              <a:stretch>
                <a:fillRect/>
              </a:stretch>
            </a:blipFill>
            <a:ln>
              <a:noFill/>
            </a:ln>
            <a:effectLst/>
          </c:spPr>
          <c:invertIfNegative val="0"/>
          <c:cat>
            <c:strRef>
              <c:f>Pivot!$D$31:$D$38</c:f>
              <c:strCache>
                <c:ptCount val="8"/>
                <c:pt idx="0">
                  <c:v>The Flash</c:v>
                </c:pt>
                <c:pt idx="1">
                  <c:v>Fast X</c:v>
                </c:pt>
                <c:pt idx="2">
                  <c:v>Oppenheimer</c:v>
                </c:pt>
                <c:pt idx="3">
                  <c:v>Mission Impossible 8</c:v>
                </c:pt>
                <c:pt idx="4">
                  <c:v>John Wick 5</c:v>
                </c:pt>
                <c:pt idx="5">
                  <c:v>Barbie</c:v>
                </c:pt>
                <c:pt idx="6">
                  <c:v>Avatar 3</c:v>
                </c:pt>
                <c:pt idx="7">
                  <c:v>Guardians of the Galaxy Vol. 4</c:v>
                </c:pt>
              </c:strCache>
            </c:strRef>
          </c:cat>
          <c:val>
            <c:numRef>
              <c:f>Pivot!$F$31:$F$38</c:f>
              <c:numCache>
                <c:formatCode>General</c:formatCode>
                <c:ptCount val="8"/>
                <c:pt idx="0">
                  <c:v>1500</c:v>
                </c:pt>
                <c:pt idx="1">
                  <c:v>1500</c:v>
                </c:pt>
                <c:pt idx="2">
                  <c:v>1500</c:v>
                </c:pt>
                <c:pt idx="3">
                  <c:v>1500</c:v>
                </c:pt>
                <c:pt idx="4">
                  <c:v>1500</c:v>
                </c:pt>
                <c:pt idx="5">
                  <c:v>1500</c:v>
                </c:pt>
                <c:pt idx="6">
                  <c:v>1500</c:v>
                </c:pt>
                <c:pt idx="7">
                  <c:v>1500</c:v>
                </c:pt>
              </c:numCache>
            </c:numRef>
          </c:val>
          <c:extLst>
            <c:ext xmlns:c16="http://schemas.microsoft.com/office/drawing/2014/chart" uri="{C3380CC4-5D6E-409C-BE32-E72D297353CC}">
              <c16:uniqueId val="{00000001-5015-4900-B1DC-8AA3495F6136}"/>
            </c:ext>
          </c:extLst>
        </c:ser>
        <c:dLbls>
          <c:showLegendKey val="0"/>
          <c:showVal val="0"/>
          <c:showCatName val="0"/>
          <c:showSerName val="0"/>
          <c:showPercent val="0"/>
          <c:showBubbleSize val="0"/>
        </c:dLbls>
        <c:gapWidth val="225"/>
        <c:overlap val="100"/>
        <c:axId val="610207120"/>
        <c:axId val="610209040"/>
      </c:barChart>
      <c:catAx>
        <c:axId val="6102071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610209040"/>
        <c:crosses val="autoZero"/>
        <c:auto val="1"/>
        <c:lblAlgn val="ctr"/>
        <c:lblOffset val="100"/>
        <c:noMultiLvlLbl val="0"/>
      </c:catAx>
      <c:valAx>
        <c:axId val="610209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0207120"/>
        <c:crosses val="autoZero"/>
        <c:crossBetween val="between"/>
        <c:majorUnit val="250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78958880139982"/>
          <c:y val="2.7777777777777776E-2"/>
          <c:w val="0.84809930008748902"/>
          <c:h val="0.89814814814814814"/>
        </c:manualLayout>
      </c:layout>
      <c:barChart>
        <c:barDir val="bar"/>
        <c:grouping val="stacked"/>
        <c:varyColors val="0"/>
        <c:ser>
          <c:idx val="0"/>
          <c:order val="0"/>
          <c:tx>
            <c:strRef>
              <c:f>Pivot!$E$61</c:f>
              <c:strCache>
                <c:ptCount val="1"/>
                <c:pt idx="0">
                  <c:v>%Revenue</c:v>
                </c:pt>
              </c:strCache>
            </c:strRef>
          </c:tx>
          <c:spPr>
            <a:solidFill>
              <a:srgbClr val="42573E"/>
            </a:solidFill>
            <a:ln>
              <a:noFill/>
            </a:ln>
            <a:effectLst/>
          </c:spPr>
          <c:invertIfNegative val="0"/>
          <c:dLbls>
            <c:dLbl>
              <c:idx val="0"/>
              <c:layout>
                <c:manualLayout>
                  <c:x val="0.7000000000000000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98-4F71-83E4-45051055E779}"/>
                </c:ext>
              </c:extLst>
            </c:dLbl>
            <c:dLbl>
              <c:idx val="1"/>
              <c:layout>
                <c:manualLayout>
                  <c:x val="0.65555555555555545"/>
                  <c:y val="1.38888888888888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98-4F71-83E4-45051055E779}"/>
                </c:ext>
              </c:extLst>
            </c:dLbl>
            <c:dLbl>
              <c:idx val="2"/>
              <c:layout>
                <c:manualLayout>
                  <c:x val="0.48888888888888898"/>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98-4F71-83E4-45051055E779}"/>
                </c:ext>
              </c:extLst>
            </c:dLbl>
            <c:dLbl>
              <c:idx val="3"/>
              <c:layout>
                <c:manualLayout>
                  <c:x val="0.75277777777777766"/>
                  <c:y val="1.8226888301384685E-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6.1097331583552059E-2"/>
                      <c:h val="6.4745552639253412E-2"/>
                    </c:manualLayout>
                  </c15:layout>
                </c:ext>
                <c:ext xmlns:c16="http://schemas.microsoft.com/office/drawing/2014/chart" uri="{C3380CC4-5D6E-409C-BE32-E72D297353CC}">
                  <c16:uniqueId val="{00000003-9A98-4F71-83E4-45051055E779}"/>
                </c:ext>
              </c:extLst>
            </c:dLbl>
            <c:dLbl>
              <c:idx val="4"/>
              <c:layout>
                <c:manualLayout>
                  <c:x val="0.625"/>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A98-4F71-83E4-45051055E77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Pivot!$D$62:$D$66</c:f>
              <c:strCache>
                <c:ptCount val="5"/>
                <c:pt idx="0">
                  <c:v>Couple</c:v>
                </c:pt>
                <c:pt idx="1">
                  <c:v>Family</c:v>
                </c:pt>
                <c:pt idx="2">
                  <c:v>Regular</c:v>
                </c:pt>
                <c:pt idx="3">
                  <c:v>Student</c:v>
                </c:pt>
                <c:pt idx="4">
                  <c:v>VIP</c:v>
                </c:pt>
              </c:strCache>
            </c:strRef>
          </c:cat>
          <c:val>
            <c:numRef>
              <c:f>Pivot!$E$62:$E$66</c:f>
              <c:numCache>
                <c:formatCode>0%</c:formatCode>
                <c:ptCount val="5"/>
                <c:pt idx="0">
                  <c:v>0.13282514488591865</c:v>
                </c:pt>
                <c:pt idx="1">
                  <c:v>0.18702031013418263</c:v>
                </c:pt>
                <c:pt idx="2">
                  <c:v>0.37967942358899387</c:v>
                </c:pt>
                <c:pt idx="3">
                  <c:v>7.5184044275048295E-2</c:v>
                </c:pt>
                <c:pt idx="4">
                  <c:v>0.22529107711585653</c:v>
                </c:pt>
              </c:numCache>
            </c:numRef>
          </c:val>
          <c:extLst>
            <c:ext xmlns:c16="http://schemas.microsoft.com/office/drawing/2014/chart" uri="{C3380CC4-5D6E-409C-BE32-E72D297353CC}">
              <c16:uniqueId val="{00000005-9A98-4F71-83E4-45051055E779}"/>
            </c:ext>
          </c:extLst>
        </c:ser>
        <c:ser>
          <c:idx val="1"/>
          <c:order val="1"/>
          <c:tx>
            <c:strRef>
              <c:f>Pivot!$F$61</c:f>
              <c:strCache>
                <c:ptCount val="1"/>
                <c:pt idx="0">
                  <c:v>Padding</c:v>
                </c:pt>
              </c:strCache>
            </c:strRef>
          </c:tx>
          <c:spPr>
            <a:solidFill>
              <a:schemeClr val="accent6">
                <a:lumMod val="20000"/>
                <a:lumOff val="80000"/>
                <a:alpha val="50000"/>
              </a:schemeClr>
            </a:solidFill>
            <a:ln>
              <a:noFill/>
            </a:ln>
            <a:effectLst/>
          </c:spPr>
          <c:invertIfNegative val="0"/>
          <c:dLbls>
            <c:delete val="1"/>
          </c:dLbls>
          <c:cat>
            <c:strRef>
              <c:f>Pivot!$D$62:$D$66</c:f>
              <c:strCache>
                <c:ptCount val="5"/>
                <c:pt idx="0">
                  <c:v>Couple</c:v>
                </c:pt>
                <c:pt idx="1">
                  <c:v>Family</c:v>
                </c:pt>
                <c:pt idx="2">
                  <c:v>Regular</c:v>
                </c:pt>
                <c:pt idx="3">
                  <c:v>Student</c:v>
                </c:pt>
                <c:pt idx="4">
                  <c:v>VIP</c:v>
                </c:pt>
              </c:strCache>
            </c:strRef>
          </c:cat>
          <c:val>
            <c:numRef>
              <c:f>Pivot!$F$62:$F$66</c:f>
              <c:numCache>
                <c:formatCode>0%</c:formatCode>
                <c:ptCount val="5"/>
                <c:pt idx="0">
                  <c:v>0.32279016342087397</c:v>
                </c:pt>
                <c:pt idx="1">
                  <c:v>0.26859499817261001</c:v>
                </c:pt>
                <c:pt idx="2">
                  <c:v>7.5935884717798774E-2</c:v>
                </c:pt>
                <c:pt idx="3">
                  <c:v>0.38043126403174432</c:v>
                </c:pt>
                <c:pt idx="4">
                  <c:v>0.23032423119093612</c:v>
                </c:pt>
              </c:numCache>
            </c:numRef>
          </c:val>
          <c:extLst>
            <c:ext xmlns:c16="http://schemas.microsoft.com/office/drawing/2014/chart" uri="{C3380CC4-5D6E-409C-BE32-E72D297353CC}">
              <c16:uniqueId val="{00000006-9A98-4F71-83E4-45051055E779}"/>
            </c:ext>
          </c:extLst>
        </c:ser>
        <c:dLbls>
          <c:dLblPos val="ctr"/>
          <c:showLegendKey val="0"/>
          <c:showVal val="1"/>
          <c:showCatName val="0"/>
          <c:showSerName val="0"/>
          <c:showPercent val="0"/>
          <c:showBubbleSize val="0"/>
        </c:dLbls>
        <c:gapWidth val="150"/>
        <c:overlap val="100"/>
        <c:axId val="661298256"/>
        <c:axId val="661313136"/>
      </c:barChart>
      <c:catAx>
        <c:axId val="6612982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61313136"/>
        <c:crosses val="autoZero"/>
        <c:auto val="1"/>
        <c:lblAlgn val="ctr"/>
        <c:lblOffset val="100"/>
        <c:noMultiLvlLbl val="0"/>
      </c:catAx>
      <c:valAx>
        <c:axId val="661313136"/>
        <c:scaling>
          <c:orientation val="minMax"/>
        </c:scaling>
        <c:delete val="1"/>
        <c:axPos val="b"/>
        <c:numFmt formatCode="0%" sourceLinked="1"/>
        <c:majorTickMark val="none"/>
        <c:minorTickMark val="none"/>
        <c:tickLblPos val="nextTo"/>
        <c:crossAx val="6612982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7346784776902889"/>
          <c:y val="4.3693929945977025E-2"/>
          <c:w val="0.4475087489063867"/>
          <c:h val="0.78213663699709934"/>
        </c:manualLayout>
      </c:layout>
      <c:doughnutChart>
        <c:varyColors val="1"/>
        <c:ser>
          <c:idx val="1"/>
          <c:order val="0"/>
          <c:dPt>
            <c:idx val="0"/>
            <c:bubble3D val="0"/>
            <c:spPr>
              <a:solidFill>
                <a:srgbClr val="42573E">
                  <a:alpha val="60000"/>
                </a:srgbClr>
              </a:solidFill>
            </c:spPr>
            <c:extLst>
              <c:ext xmlns:c16="http://schemas.microsoft.com/office/drawing/2014/chart" uri="{C3380CC4-5D6E-409C-BE32-E72D297353CC}">
                <c16:uniqueId val="{00000001-B172-4644-812C-947A8DF29383}"/>
              </c:ext>
            </c:extLst>
          </c:dPt>
          <c:dPt>
            <c:idx val="1"/>
            <c:bubble3D val="0"/>
            <c:spPr>
              <a:solidFill>
                <a:schemeClr val="accent6">
                  <a:lumMod val="75000"/>
                  <a:alpha val="60000"/>
                </a:schemeClr>
              </a:solidFill>
            </c:spPr>
            <c:extLst>
              <c:ext xmlns:c16="http://schemas.microsoft.com/office/drawing/2014/chart" uri="{C3380CC4-5D6E-409C-BE32-E72D297353CC}">
                <c16:uniqueId val="{00000003-B172-4644-812C-947A8DF29383}"/>
              </c:ext>
            </c:extLst>
          </c:dPt>
          <c:dPt>
            <c:idx val="2"/>
            <c:bubble3D val="0"/>
            <c:spPr>
              <a:solidFill>
                <a:schemeClr val="accent6">
                  <a:lumMod val="60000"/>
                  <a:lumOff val="40000"/>
                  <a:alpha val="60000"/>
                </a:schemeClr>
              </a:solidFill>
            </c:spPr>
            <c:extLst>
              <c:ext xmlns:c16="http://schemas.microsoft.com/office/drawing/2014/chart" uri="{C3380CC4-5D6E-409C-BE32-E72D297353CC}">
                <c16:uniqueId val="{00000005-B172-4644-812C-947A8DF29383}"/>
              </c:ext>
            </c:extLst>
          </c:dPt>
          <c:dPt>
            <c:idx val="3"/>
            <c:bubble3D val="0"/>
            <c:spPr>
              <a:solidFill>
                <a:schemeClr val="accent6">
                  <a:lumMod val="20000"/>
                  <a:lumOff val="80000"/>
                  <a:alpha val="60000"/>
                </a:schemeClr>
              </a:solidFill>
            </c:spPr>
            <c:extLst>
              <c:ext xmlns:c16="http://schemas.microsoft.com/office/drawing/2014/chart" uri="{C3380CC4-5D6E-409C-BE32-E72D297353CC}">
                <c16:uniqueId val="{00000007-B172-4644-812C-947A8DF29383}"/>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08-B172-4644-812C-947A8DF29383}"/>
            </c:ext>
          </c:extLst>
        </c:ser>
        <c:ser>
          <c:idx val="2"/>
          <c:order val="1"/>
          <c:dPt>
            <c:idx val="0"/>
            <c:bubble3D val="0"/>
            <c:spPr>
              <a:solidFill>
                <a:srgbClr val="42573E">
                  <a:alpha val="60000"/>
                </a:srgbClr>
              </a:solidFill>
              <a:ln w="19050">
                <a:solidFill>
                  <a:schemeClr val="lt1"/>
                </a:solidFill>
              </a:ln>
              <a:effectLst/>
            </c:spPr>
            <c:extLst>
              <c:ext xmlns:c16="http://schemas.microsoft.com/office/drawing/2014/chart" uri="{C3380CC4-5D6E-409C-BE32-E72D297353CC}">
                <c16:uniqueId val="{0000000A-B172-4644-812C-947A8DF29383}"/>
              </c:ext>
            </c:extLst>
          </c:dPt>
          <c:dPt>
            <c:idx val="1"/>
            <c:bubble3D val="0"/>
            <c:spPr>
              <a:solidFill>
                <a:schemeClr val="accent6">
                  <a:lumMod val="75000"/>
                  <a:alpha val="60000"/>
                </a:schemeClr>
              </a:solidFill>
              <a:ln w="19050">
                <a:solidFill>
                  <a:schemeClr val="lt1"/>
                </a:solidFill>
              </a:ln>
              <a:effectLst/>
            </c:spPr>
            <c:extLst>
              <c:ext xmlns:c16="http://schemas.microsoft.com/office/drawing/2014/chart" uri="{C3380CC4-5D6E-409C-BE32-E72D297353CC}">
                <c16:uniqueId val="{0000000C-B172-4644-812C-947A8DF29383}"/>
              </c:ext>
            </c:extLst>
          </c:dPt>
          <c:dPt>
            <c:idx val="2"/>
            <c:bubble3D val="0"/>
            <c:spPr>
              <a:solidFill>
                <a:schemeClr val="accent6">
                  <a:lumMod val="60000"/>
                  <a:lumOff val="40000"/>
                  <a:alpha val="60000"/>
                </a:schemeClr>
              </a:solidFill>
              <a:ln w="19050">
                <a:solidFill>
                  <a:schemeClr val="lt1"/>
                </a:solidFill>
              </a:ln>
              <a:effectLst/>
            </c:spPr>
            <c:extLst>
              <c:ext xmlns:c16="http://schemas.microsoft.com/office/drawing/2014/chart" uri="{C3380CC4-5D6E-409C-BE32-E72D297353CC}">
                <c16:uniqueId val="{0000000E-B172-4644-812C-947A8DF29383}"/>
              </c:ext>
            </c:extLst>
          </c:dPt>
          <c:dPt>
            <c:idx val="3"/>
            <c:bubble3D val="0"/>
            <c:spPr>
              <a:solidFill>
                <a:schemeClr val="accent6">
                  <a:lumMod val="20000"/>
                  <a:lumOff val="80000"/>
                  <a:alpha val="60000"/>
                </a:schemeClr>
              </a:solidFill>
              <a:ln w="19050">
                <a:solidFill>
                  <a:schemeClr val="lt1"/>
                </a:solidFill>
              </a:ln>
              <a:effectLst/>
            </c:spPr>
            <c:extLst>
              <c:ext xmlns:c16="http://schemas.microsoft.com/office/drawing/2014/chart" uri="{C3380CC4-5D6E-409C-BE32-E72D297353CC}">
                <c16:uniqueId val="{00000010-B172-4644-812C-947A8DF29383}"/>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11-B172-4644-812C-947A8DF29383}"/>
            </c:ext>
          </c:extLst>
        </c:ser>
        <c:ser>
          <c:idx val="3"/>
          <c:order val="2"/>
          <c:dPt>
            <c:idx val="0"/>
            <c:bubble3D val="0"/>
            <c:spPr>
              <a:solidFill>
                <a:srgbClr val="42573E">
                  <a:alpha val="60000"/>
                </a:srgbClr>
              </a:solidFill>
              <a:ln w="19050">
                <a:solidFill>
                  <a:schemeClr val="lt1"/>
                </a:solidFill>
              </a:ln>
              <a:effectLst/>
            </c:spPr>
            <c:extLst>
              <c:ext xmlns:c16="http://schemas.microsoft.com/office/drawing/2014/chart" uri="{C3380CC4-5D6E-409C-BE32-E72D297353CC}">
                <c16:uniqueId val="{00000013-B172-4644-812C-947A8DF29383}"/>
              </c:ext>
            </c:extLst>
          </c:dPt>
          <c:dPt>
            <c:idx val="1"/>
            <c:bubble3D val="0"/>
            <c:spPr>
              <a:solidFill>
                <a:schemeClr val="accent6">
                  <a:lumMod val="75000"/>
                  <a:alpha val="60000"/>
                </a:schemeClr>
              </a:solidFill>
              <a:ln w="19050">
                <a:solidFill>
                  <a:schemeClr val="lt1"/>
                </a:solidFill>
              </a:ln>
              <a:effectLst/>
            </c:spPr>
            <c:extLst>
              <c:ext xmlns:c16="http://schemas.microsoft.com/office/drawing/2014/chart" uri="{C3380CC4-5D6E-409C-BE32-E72D297353CC}">
                <c16:uniqueId val="{00000015-B172-4644-812C-947A8DF29383}"/>
              </c:ext>
            </c:extLst>
          </c:dPt>
          <c:dPt>
            <c:idx val="2"/>
            <c:bubble3D val="0"/>
            <c:spPr>
              <a:solidFill>
                <a:schemeClr val="accent6">
                  <a:lumMod val="60000"/>
                  <a:lumOff val="40000"/>
                  <a:alpha val="60000"/>
                </a:schemeClr>
              </a:solidFill>
              <a:ln w="19050">
                <a:solidFill>
                  <a:schemeClr val="lt1"/>
                </a:solidFill>
              </a:ln>
              <a:effectLst/>
            </c:spPr>
            <c:extLst>
              <c:ext xmlns:c16="http://schemas.microsoft.com/office/drawing/2014/chart" uri="{C3380CC4-5D6E-409C-BE32-E72D297353CC}">
                <c16:uniqueId val="{00000017-B172-4644-812C-947A8DF29383}"/>
              </c:ext>
            </c:extLst>
          </c:dPt>
          <c:dPt>
            <c:idx val="3"/>
            <c:bubble3D val="0"/>
            <c:spPr>
              <a:solidFill>
                <a:schemeClr val="accent6">
                  <a:lumMod val="20000"/>
                  <a:lumOff val="80000"/>
                  <a:alpha val="60000"/>
                </a:schemeClr>
              </a:solidFill>
              <a:ln w="19050">
                <a:solidFill>
                  <a:schemeClr val="lt1"/>
                </a:solidFill>
              </a:ln>
              <a:effectLst/>
            </c:spPr>
            <c:extLst>
              <c:ext xmlns:c16="http://schemas.microsoft.com/office/drawing/2014/chart" uri="{C3380CC4-5D6E-409C-BE32-E72D297353CC}">
                <c16:uniqueId val="{00000019-B172-4644-812C-947A8DF29383}"/>
              </c:ext>
            </c:extLst>
          </c:dPt>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1A-B172-4644-812C-947A8DF29383}"/>
            </c:ext>
          </c:extLst>
        </c:ser>
        <c:ser>
          <c:idx val="4"/>
          <c:order val="3"/>
          <c:dPt>
            <c:idx val="0"/>
            <c:bubble3D val="0"/>
            <c:spPr>
              <a:solidFill>
                <a:srgbClr val="42573E"/>
              </a:solidFill>
              <a:ln w="19050">
                <a:solidFill>
                  <a:schemeClr val="lt1"/>
                </a:solidFill>
              </a:ln>
              <a:effectLst/>
            </c:spPr>
            <c:extLst>
              <c:ext xmlns:c16="http://schemas.microsoft.com/office/drawing/2014/chart" uri="{C3380CC4-5D6E-409C-BE32-E72D297353CC}">
                <c16:uniqueId val="{0000001C-B172-4644-812C-947A8DF29383}"/>
              </c:ext>
            </c:extLst>
          </c:dPt>
          <c:dPt>
            <c:idx val="1"/>
            <c:bubble3D val="0"/>
            <c:explosion val="2"/>
            <c:spPr>
              <a:noFill/>
              <a:ln w="19050">
                <a:noFill/>
              </a:ln>
              <a:effectLst/>
            </c:spPr>
            <c:extLst>
              <c:ext xmlns:c16="http://schemas.microsoft.com/office/drawing/2014/chart" uri="{C3380CC4-5D6E-409C-BE32-E72D297353CC}">
                <c16:uniqueId val="{0000001E-B172-4644-812C-947A8DF29383}"/>
              </c:ext>
            </c:extLst>
          </c:dPt>
          <c:dPt>
            <c:idx val="2"/>
            <c:bubble3D val="0"/>
            <c:spPr>
              <a:noFill/>
              <a:ln w="19050">
                <a:solidFill>
                  <a:schemeClr val="lt1"/>
                </a:solidFill>
              </a:ln>
              <a:effectLst/>
            </c:spPr>
            <c:extLst>
              <c:ext xmlns:c16="http://schemas.microsoft.com/office/drawing/2014/chart" uri="{C3380CC4-5D6E-409C-BE32-E72D297353CC}">
                <c16:uniqueId val="{00000020-B172-4644-812C-947A8DF29383}"/>
              </c:ext>
            </c:extLst>
          </c:dPt>
          <c:dPt>
            <c:idx val="3"/>
            <c:bubble3D val="0"/>
            <c:spPr>
              <a:noFill/>
              <a:ln w="19050">
                <a:solidFill>
                  <a:schemeClr val="lt1"/>
                </a:solidFill>
              </a:ln>
              <a:effectLst/>
            </c:spPr>
            <c:extLst>
              <c:ext xmlns:c16="http://schemas.microsoft.com/office/drawing/2014/chart" uri="{C3380CC4-5D6E-409C-BE32-E72D297353CC}">
                <c16:uniqueId val="{00000022-B172-4644-812C-947A8DF29383}"/>
              </c:ext>
            </c:extLst>
          </c:dPt>
          <c:dLbls>
            <c:dLbl>
              <c:idx val="0"/>
              <c:layout>
                <c:manualLayout>
                  <c:x val="-0.7749999623813697"/>
                  <c:y val="-0.192776762682951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B172-4644-812C-947A8DF29383}"/>
                </c:ext>
              </c:extLst>
            </c:dLbl>
            <c:dLbl>
              <c:idx val="1"/>
              <c:layout>
                <c:manualLayout>
                  <c:x val="-0.50383822476735862"/>
                  <c:y val="-0.16517590400900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B172-4644-812C-947A8DF29383}"/>
                </c:ext>
              </c:extLst>
            </c:dLbl>
            <c:dLbl>
              <c:idx val="2"/>
              <c:layout>
                <c:manualLayout>
                  <c:x val="-0.41494946313528991"/>
                  <c:y val="0.294120240852374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B172-4644-812C-947A8DF29383}"/>
                </c:ext>
              </c:extLst>
            </c:dLbl>
            <c:dLbl>
              <c:idx val="3"/>
              <c:layout>
                <c:manualLayout>
                  <c:x val="-0.50914788833214031"/>
                  <c:y val="0.696611187075572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B172-4644-812C-947A8DF2938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cat>
            <c:strRef>
              <c:f>Pivot!$D$76:$D$79</c:f>
              <c:strCache>
                <c:ptCount val="4"/>
                <c:pt idx="0">
                  <c:v>Evening</c:v>
                </c:pt>
                <c:pt idx="1">
                  <c:v>Late Night</c:v>
                </c:pt>
                <c:pt idx="2">
                  <c:v>Afternoon</c:v>
                </c:pt>
                <c:pt idx="3">
                  <c:v>Morning</c:v>
                </c:pt>
              </c:strCache>
            </c:strRef>
          </c:cat>
          <c:val>
            <c:numRef>
              <c:f>Pivot!$E$76:$E$79</c:f>
              <c:numCache>
                <c:formatCode>General</c:formatCode>
                <c:ptCount val="4"/>
                <c:pt idx="0">
                  <c:v>978</c:v>
                </c:pt>
                <c:pt idx="1">
                  <c:v>373</c:v>
                </c:pt>
                <c:pt idx="2">
                  <c:v>353</c:v>
                </c:pt>
                <c:pt idx="3">
                  <c:v>296</c:v>
                </c:pt>
              </c:numCache>
            </c:numRef>
          </c:val>
          <c:extLst>
            <c:ext xmlns:c16="http://schemas.microsoft.com/office/drawing/2014/chart" uri="{C3380CC4-5D6E-409C-BE32-E72D297353CC}">
              <c16:uniqueId val="{00000023-B172-4644-812C-947A8DF29383}"/>
            </c:ext>
          </c:extLst>
        </c:ser>
        <c:dLbls>
          <c:showLegendKey val="0"/>
          <c:showVal val="0"/>
          <c:showCatName val="0"/>
          <c:showSerName val="0"/>
          <c:showPercent val="0"/>
          <c:showBubbleSize val="0"/>
          <c:showLeaderLines val="1"/>
        </c:dLbls>
        <c:firstSliceAng val="0"/>
        <c:holeSize val="55"/>
      </c:doughnutChart>
    </c:plotArea>
    <c:legend>
      <c:legendPos val="b"/>
      <c:layout>
        <c:manualLayout>
          <c:xMode val="edge"/>
          <c:yMode val="edge"/>
          <c:x val="1.5361107931784367E-2"/>
          <c:y val="4.5240178910737762E-2"/>
          <c:w val="0.24868949231401224"/>
          <c:h val="0.914173162715942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0C10893-C114-42D7-93E9-ED2F715E1D94}">
          <cx:tx>
            <cx:txData>
              <cx:f>_xlchart.v5.2</cx:f>
              <cx:v>Revenue</cx:v>
            </cx:txData>
          </cx:tx>
          <cx:spPr>
            <a:solidFill>
              <a:schemeClr val="bg2">
                <a:lumMod val="75000"/>
              </a:schemeClr>
            </a:solidFill>
          </cx:spPr>
          <cx:dataId val="0"/>
          <cx:layoutPr>
            <cx:regionLabelLayout val="showAll"/>
            <cx:geography cultureLanguage="en-GB" cultureRegion="GB" attribution="Powered by Bing">
              <cx:geoCache provider="{E9337A44-BEBE-4D9F-B70C-5C5E7DAFC167}">
                <cx:binary>1Htrb9xGtu1fMfz50Kl3sQaTAS7Z3Wo9LNuyrMT5QsiWwuKzyOKbv/4sSk4mkh3nBnNxgRFidbqb
ZFXt59prb/3z8/yPz+X9rX8xV2Xd/ePz/ONL2/fNP374ofts76vb7lWVffauc7/2rz676gf366/Z
5/sf7vztlNXpD4xQ8cNne+v7+/nlv/6Jp6X37sJ9vu0zV78b7v1ydd8NZd9957tvfvXi9q7K6l3W
9T773NMfX8a3Zfar83V2+/LFfd1n/XK9NPc/vnxy3csXPzx/2lcrvyixuX64w71cv2JSKGWoIQ8/
9OWL0tXpl68DSs0rRTXTVFDz8PPb2pe3Fe7/957+58WHOuvv716872/7++63y761xYcN3t7d+fuu
wykfXr/7qCcnxJX/5+WLz26o+022KcT848tna2edix8viN12zA/vH+Tyw1Pt/Oufzz6ApJ598gcF
PhfrX331lf4OpfPZ3f9D5bHwlTRSUsEfdUeeKS9kr0SouWDhlwv4b1p5VN6XDf3Hmvuz5zxT2+Hi
v1Jtl/fTi4/OF7/J7lsW/fecTrBXhhsmOGePioNe/uh0Wr5S+EYqKh59Tv229qPeftvRf6y4P33Q
M81dfvyv1Nz1/Xz73UD099TG6SuheChCSr8ZK415xaFSozV7VFv4VG0P2/mPdfbtpzxT2PXP/xUK
+34Q/2OOe3Ll381x5pUkXGrB9TfdDXojNOSKmy/uJp7q7Vlu+fNtfTuvPbv9yUn+PyWuP09qv2OD
3W1/u38AFX/Ia9//9reE+OzW72GTR9md3v34knFFka5+ByvbQ77c+SXIOd/bF/Gtd2VW/540/3Dr
/W3X//gyQLAUkiktQiU1Y0oiWE73D1+F4hVnVAkCiKZEKDgcst4eC9yjXskwpDyUIeEMt+Guzg0P
X/FXuJSGhnEjCTWS/w7r3rpySV39u1i+vH9RD9Vbl9V99+NLTeTLF83jddtmpTBUMM6NloqFlHCN
YN98vr0CdsTl9H90MbeVL7v8OPehbSJqCqt3a5e2046N3sz7fmyIi0KirTpN2JKK05rVJozV2g11
zCaVzwe+zlWxd9Kl7TEoHZ181Ix1RSJieQccKcOLJbHitHE9vXSyFKe9GCiLFpa3H8tG8dMxo0kZ
TXkZlFFRzlNUrSa8MDZxH+subD42ZE38fsy7rImmmoYX1DJxW/uRXlamCuoYqFGpaHAsbE5Yqa3f
d0Ww3cKTqoqLPFvesrY3NwOnWHhqSJBFfRfOV+kszU2V0fnK54yfJkVVJRFvZu3fpKwu3JmT3oVn
yujurgsJvS7rqkgjausgpnVaZnEjlvntUs58iIvB4BiNEV5FjKX+SCin10RQeavZPL91LhiOfLT8
wzqF89uaO3/sOHFdpKqOXqasxfkbnSY3uSrx6LbNmi7SJu+6k8as3V3uM0igFo5dZ13ZfORJS8Zo
5h6XiZm688pJebukuC8aUmxA0gm7nUqsRnjKrvPEuioeuLJrpMyMU4sCa4YFbz6WOcHZTSnXMRom
wi+VyKrz2mp7yYsgvwjHhEZ+yubXeZKNp9yZ4rTONO7RwSZPNSd5GlVzFagd7BqfPCq0JGnhd2mW
mBs2bBoel2F+C5V23c9qcct8MTXJQndzwfJqR7qyyN4FFcMR3JLjKc1o8TvsynKNZTlALlMeYI92
DsokmhYRyFgHOs1O2r6S47EpKkt+8qoT/FBWa+CicVp/tckASZCxNjdLOV31aycPS22ViMskS25W
1uXv9CiMiMq5DeKGVuy6FjDA2U6b1VYw9GIWQ3JYmhRPWhOG39om2JvdjKgnfH5r1YT3uh9hDcx3
0KzhveZ7s0h+Ggo6iNel1n0bN2kH4wtYaXfJyOB6emr6Oy3MlO5J39BLO7VwQm1mKNg1IWFRaNJO
RUXe1MtZnZsiiwtTltV+hImqiMItL1xjlDjqPOGnQT4yHi8Tx76zdcjWqCqS+YqTtE6ieqpgMQkd
urt5FliyXgPobtzsZDFz83HYVBTynp9Wcmg+hrTDw/qWZCdGMrPXos5OlnE0+0bQ5qNv8uTmwYSz
QEO+RefO3ebs+WakiRrnq4kPEMnE0uXtnMIVqpW5c2HzujgwJcwNoAsE17uG87gpQxjMoIk7L2uF
jx9cYiib7ERlC4S32AHKJggcGc3aj6v2/tjKprI7NSh6LSaX3AQ5GYOo6XLrorxNq7j0Gs6p3GL2
Kwuzk9LKaYymrMJxSCZOs26GQluy4KqQEBhYwOHkXTFCPokX9HpkPU5NVkQQwQg/1daZi8mV5mJt
FVTYZwue4Bqar1EZhD6MB91Z/jZvx1TvAt8tiKfpanakbPRRSU8OpMzNhWznYMcnG/hodgXOy2ef
Toe1Wwa7N3CKJGK+woZWjohVMTfZq6Wbm9dpPph9trTZCV/gy4VBeA7rIjD7ipZ4jlCVOC2KMdzl
PUIGIQm97mUzQIKVmK8aGHoWMVu0HwuStEdDu/Qk6S271hw2r4pySg6hzf36vjNGiuM8IETyFQee
iwIWFRgGRZUsoNcJWdfmLHVaznteV6U9q5I8O8nJmp0MghVrPE7QUpkl4rbLGEIzTRbYVBIKGPii
VqjVd6W8JZOBh881pdftsNDrXC7Tsit8xeuoIg72Qrve7F0NK53MCI+oVEsvM2fodVVR7CevmjTZ
j2azHE1Lt5yJ3OPxLE26u7Rw2UlmJazbYAm+2Z7PJM3PRTP440A1aQ8PNi+YwE2kx5lj1m72P2hF
L4dsNDeoezXOSbawN0607d+NrSzmA8k6xDff9eGutHyzR7N0Ydy0obkJ+ApFPoa0vKNZtWv0BFOS
SeiH0zzs2iBqRzH5fUMD+lYoeFdZFiaPhwni5eV8ePC4agzFzVT3M43nVnp7eIiszlmqTiYbtjc0
43V9M6XpUvwkJ444UYotStFxyk6E7eWtKSezz4e2ekftwOIwre9qO5tT3zRbMmjJlpyTFBHYlCu9
nFaJQFYCPwxx6MKGRrO1NbVv2GKXI8IPr6YdTQdAiAgIxdFYudWcV3XX24jpZE4hksyU79a8vM9J
VuowLvsgvUEq9ce6lxVUVBN4TTHMiLXwSb+zCDEuCiYm85i3Xt25urpxKfVnJpkHMkVLOM3AIdxf
MxGeOrMlok7V5XW2pM05ckz4ltaaJPDdkR98y7OopbS/BBx35yDF0ngMU/sh060so6VOfml7tg+Y
ay86YmTsex0TncMHoqGiVTAd+3457ezQnOvc+Cp5S6xwsTH9T3U7HJqmaw+B0uZtI8Yor/RVwoQk
Py2qbALkCVep5JRSVyGq5vBw0F67lZOB7RrSVDum2FrHuutlGqlW5HHjWHWktE1tlIkmjANR8ENR
s9FEOlsPZJinM5nboogDPS1jxOrGLodFLaU+Gpilj9NukDPEb815z8X6Jpx7fdblBmkum9tjNgdN
H1UT/SDo6F4HRNVvsrUIzzRLYL1UAJTY0O3TMG9sRJqZRXmhh3M/j+S15inhURfI+bYULv+w6OqD
yHVbXpRtJ961ha33Qd9NYSxWbw7hyMdfu8WbTzbsy6ibDItWGNm+lTrbhX7xhyXIzZGM7bhb5r7a
V2Ez21iIvIgG3uWvQ2/z5TXkpe7yPqwP6zAlyOMZ2afZ9MGYvDkUmfYnOpl+GZM5llmuP6XtvFxZ
udQ7WrbswAudR6yX/l1HIFZlarWXczV/zgd2HeQ6iejUda/DzK7vqnWRsdNDdXBLIE4SM+qLxmRi
n7bddWuGII+8AjLad1XrXvdrghBVVMAnk232KXDD2VB5esY6Hxylcd1pYQZx4fhKYgit3o9FK9/P
yrlobttwH5i1iHJErAgWUrwVbb7TQJ3BWtA3SAILIN9YH9IwUKel58u71PGY17w+sqDzJ+GWIfjS
jLs5NcNRFlBYly3Bxy6Z213eePN6zeW7IavYrq9rclX4PLxwS9l/YDMLLpaqKdsoCDXum4BdP/Vj
aYBLGFvP+rluT/Ksdz/ngO+Ad0M1ZrBvVlwzn4RHPfHgkqiWxMi8eleE4jBouRxyV1SnE9H6Niiq
n+egLcqI6rKKR++7Q6BhNtGiJxItaz+ckKSwsQyLNkbwT3erLJGIUtufjrW8a2wq9qynU0wbUm7R
ip4uuee3iSdNu0tcN/8MRLwHuvZAghmpd0tBin3fCnWdtIgoiPy+2meOZlGQMX0k3cxPKlsuu44t
C5RW0unCDoGmUcOH3AwIJKGH7HpJrsapKOk+laVfgMXbdc6vsoTOQ0TzSpRHvXZjeofgnx5sztrd
GtJmlwRj3cSpTVYfuZQnJ72yAQKTz9QxLIbpJig6FiLtJUxF2UDtzjc9KhDb7rXy7nXWwS8y3k83
jQrL01UtNjJ+KQ7r2q/7wRK8zXV2UKwkH6Z0DmHivHIiOMvkBvwQSKvMfDaGpxdpW13ase9+CqwZ
zisfvlZF3cVIXsn7amDkZzN1ykcDapf+rGjbJfupU81ATqtCmf4saOnKhiOiljlww4d22uc0AHJK
Ubglb5LeTECzo0MZIjMXfkzaEkE9yfOpWRC+F2KSSFK/8hOd526VMStFQKK0C8iUxqkkA/8Y2gpZ
lw35ouIwC3l60FMiq/OWeHxeOECuHZFVH8J6mPF7OQCDWm+BtuqpAxBRo0BuytqmXM4IXeerhU30
Gli0jKt2Aiw3AfDZHyr+bxTPfKuNn9bOqOeFNEqFVBFJUaU/qZ1H0vjKt/bYqBQJM3WAgkNkpsnr
GUGad/X7xpahOF0csuhu5q4rzkbBxqtBjKaL7DiZG0IWgHfxkKZpD1QdZMB0qViBJrK0AwRI3AYp
ttKzNqT0u6BKULwV2s/D6wWEwt0jRs6qab4a1q0oqZdmvrJJlubRmK/z2y2t3GZ1YS7qtQuLIpK6
ASD7vjiY/locaMUIRVHGCGUE+Iw/isPSoM2WUQcn3EqohLm1tmfhsCGvesbuYYfmYmHhGLyv2Ypa
bq4strVkw/p+NgrSSjkFWJJrUMZ5KfC/EBZ+zxrEx/6hWuWswfkmn6NoHKYhzY4uRUEeZ7oZ0306
tv64LhVWl6xALamKZeyiEPjk7vuHpeyrw0qtqdRgygnR6EE9Pexo0izgQVge62SsfGSWeehiq4oG
UAdtERy5qeq9mrv2thLFctX2YBhaiwo8c7O/qur2L8RPv2WNhAswhUJziuT5dEeBbIN1QLY/+jwA
2FOBmq96EEk3HYgZCCHYitaJse5OUM1PmxFVQT05X55Qj0Qad12zVU4oR74vqk3tT71EgN0MGXim
rVHHnpnFYJMya/osPybOwHor5/j80yrWoftZLOvaHkRlANpdLctCRVMBjPr9DXxDVyLk6FZQoUOO
XYBB/aNhTlZRt7I+PcrZhGmU1F2a7QZDE3ZJg86mqMmS5iTjmU3P+yZZ632juuQyrXt6HZKBXgpX
oPj6/q6+IRbDQy4JqlslwMo/3VTNh8TZXKTHOkCF1M4Ayfs5cyjdRnBIcZ8xFAhDtaKGCMa0QQ/k
d7byG7HrITY90wqWV9s/VKpUkGfLL7oY6nGFTJYSjEFO26UBMGvDKodC7CIDFJtTyK8LnQSndKtS
a1GK/HwUbcPeCLWMxRqRok/tsd+IpqZN6/zXLpEo9WsOPPKw4S/c75cdP1KXn12DPIjk/uztv65d
hf8emqC/X/NA8/773evfmuHfverk3m00bvf8om03vz8Lq3/Z3cb+PnnzFRX9J2TzY2/9T758wkQ/
4d1/I/gf6GQBa/1ds1/x0M/o+z8w2Nt9X0hopV4ZzTkYaPQR4AXkdxIaceuVpMyQ0HCJTnsIK/3C
QWv6iktEEsVBDDPQxl8IaBqiPcgk+u0U7mwQ8f8OAf2MfiZInoJwIjnaiZSG+lkKLZRF0TUH46UF
XctttFaTVr80nayHd0sQAjL/QTrfsPtvrSeJeGy1KKWemb2e54Yy+PTlWnnJ2mhObZtHxBWZdFuN
moLr/10b/xfraRrSMMT5tia3ANv/1M34lFBaj1l+CWZ0y3tFvhC200UJSrDuWo0jf3/BZ6BkUyFl
xCiKYLt59/NwW9Lc1+B85X1Ikx5IgjUCNX1MmjFbQVsMTXErAJO7Q90u3SJ2EL+0cxy4hHxKay/A
eDk2F/rMoHAadoUJ6vY4marsXpeyaoIlcsUsm0+y6PPZ7QKlypzHqdaC3uvZLcNVaZGwb8NQNsln
XvFWXaYKyIxHFd3YkVg00ldvLCX9VO/SUvoCRO8kq+qC6qXdwA9onOWcgfDJfw26EfDnL3LlU6QC
bELQ3zbAboBuMGPyTCuaVtlgUdzeJ5Or8/bYA8eLYynGzusjmh99NsVr1mDgpSQJuKrD93X0LCFh
fa3RaUGLPeTQFDbz1CrWnIedIiq7y2mx0TO94xKWYAwL2vzg5yn1/c7bPhU2CkSwNvXbSfClYzEV
q5r4GaqJuisi51ru6aWRIeipv5DR5nn/ThDwEHSL0bUy6IQhc8LPn+5xtlnArOfBnQr8CJtNV53q
9gA423MS1b5X6pdCkqQ//b5wnulmWxccO3plyIwm5M/XbYbFaRfw8C5dYHMqAsguu5+tSFgN+JJn
Q/amTjAi1UfWOrTO/sJ/zFfHBlahgCtGyJDBh54eO5VjFpDZ8jtUqLrlKA2JkrdwpKA/dWumy8ss
oI6+5kW7DO+LDjwxam2blRDK9wXxNFRBAegbilBKdA4VpMGfKaBXGcmXok4+J2atpT9xbVMlyz5I
qs4sJwvKU2jl+0t+ffhQh4AjaDsagobzs+gIOiMpEaD8nVATvPywULXS4iD9NHRin4WJUL949NgQ
ODulEagdWdAk3I+ZI830F4bwDNBuAjBEwEvgqBz5KXy2m9SAszBNH3yymddVgA4leACL/pKzGLAa
plysIs6qbmFNNKNfil3JjNjhfdWofInrgPr6vals5etdK51nV2Au6u7T92X2FMcJTSknQhABwhdJ
EXTxU4MBDRWiRl3nT7PvPYyADAWBsMg8cWCo2XOE/YYV7eY0/eS2l6xJh78rLErRZFacKIP2sEBo
e7qNsGVdv3TKfapLGSCG54he64ROG+kXec4TibjfpYMvbqtc1oiovgE/JY9hkAdjEbUW0XaL/IvF
XXW2luO5mIsGvcLvi4s+tzHM7HGl0RIPGTSM0vnpRmc+1Y2pV/6pA/URVPu875pyeNuufdbU8dQu
aIGC0qxGfOeWtnLLLizWJXg/NU1y2hlf5mlcrStZzivb1j16WYaopI8HSYLySlUmXasY3fMZIZEF
+ULrM7IatB3jIkvQU/sLN6WYC3gSKBkKXqOMQitXKpR2zyIGLLNux3psftHSyVzGDQk3ZJEkgzE+
pqvecE2yPEbPEq2QdqNaEE4amoT4ap56rtrDMPG/dmjxPIozwDcDR0JTG0j/K7Mo5qIDW+CaXxoP
L2r3vANB95pRy5dz3g0LxGGSsVxvKjsvi44G66fWxgj4k7pK2zUJjr4S+Xrjg6FTl2GmNoAwi7Eq
zUkxyE09ruMGJoTSX45Xjc+L9WYtVTEVESnLLWmB+Q+gIFcbiw85wP96E1bzDN1xmS946VaSomXS
yI53B6WHTXcg1DIAjPZhedRtwTJFoZtzPAKtDoKdZ0G9YYO+kVVxO4P6b5uDGT0d3wvu1v7C+yLx
ETqknlVxkCbVfEwFkuvHOqwTcTOSkcLINPjE/NexrdF6/AvbeB7CIX0NhhPjO0IryZ8TRDxZ6pSa
pvxlpVXn02hmRKPtOrnclacbk4ZA8X33eh6NwL8Iwijy9kbBfLVi50lnp4pPH/k6bMY4DWILf6zT
BZK3QpNK/ZLkfIURTmzou/S1RmCBnX5/G1t98MQpuFaKbUMlkhF0X/gzp1j5OLSBUdVNJeqq5+jr
DjK4d61tEY1s0dV07xPtsrdjF6aIOI3F8AhaDT0bMWyi9VSOUc/S9rxMQvUe8w1luKBtQNV41YcB
wWSEXGdMO8wzmNCciAStKpGgxoCzWwI7dKMFujhN8qLfPH8Ukr/BpI0GJ8kLz+fxr0iGZ3Et5EhQ
26QO24qsrwvqQiW2ntpOfxiHmgDESu8ZQOy4bnYL0kyIo6UTyP5oLgzHS9o/INtANZtJg3WeWPI+
QUsA+2VthgLlmDWMbyGyXTtCD205Nl12ssqlgNclU7VharqEFbxTowX5peR+nDL+Ru3CnkW2EAgo
RNpEVNv4E0qeheoWbdzV5TX7EPaWw7f6Jt020Ad82Fz3wY/Bji3YW4JZDLg4YuUWUnzTItEElgLG
01luH7m26IrbEqS1OGYTJizaqF0mpy43fn45zzAohMcsaaW6QxFozw9NiLZdhwGGusFx/8I+n6FM
HM1QjB5TuAqRoCufHa2fC/QiBrd84Om4RaretzAtkJKZ+9yTsGB1tPSuXW80q7f8WAWOQiGzqsp0
2a+Von16MDwYpg9AqR7imHTOYX18XBFN6iwwMDExlc0W3QaEzWPGmglhrQciwYJZnxC8Q41FIYoq
FRBF32sb9NuISw6XsGj8492jfLZQWPyt2hQTZwrzoEDaMkQdT76CunRaweKoNrgeK+0QHR7hLbPh
PBYxKkub1n8VFp6lo21JsVFemMzAP6Cmp8mf5A4QErNV191AYSH90vcwKOR+yEfkjXByn0yBm9F6
LPkCgZdjUgOyIOhBSpOfy/6tVl2Y5IekFyGCARxyvPKYX0YGqAI4PvpVSFRf1IYxthqinMuwhq/A
izZ1pMW8KSLIMwy1xGbJzXhFXOWwE7lNNdwUqt/q1O+bnDD8aUzE4bckgCBB8ecKX1dUgINdkJJ5
ubYWTeEk6gcMXcXJRJL8Et1f4Zd9a71qwsgwZnIbed9m7RkpBz7LCMMtbXDu0yoQr5PKah63k5vT
z+imk+OUDELtCl278k7k5QqC2akKfyOy0nJ6I0ZK5nUX5rWRTdwCP3bDYZpkOF6ie5HMDtNnpKIX
nHhqdnXtDY3zuR88phXmsF3zyNajF3OczsUIZxhXPy1lNAcyF/nBMAw1vVdlv4g0JjMFLY9ZtcnS
BPgtSfvT3mogs1iv5bSuKGthis3pXCzJELVdk6vDaHTKd7IK5vV6Uo5lN4Mo02THRc9ovKA+dUuk
0r4zO5OxqUDTqEyPmvF+1zoyreeJqQk5oROGAg9p0IWW7JvCVeLDIse0CD4YR+b5eu5n3r8Our4O
rpAx9HCHsSnlP6x6TGsXNc5R270z81oWJ0kGduOwOhFWLjKF48zG2q/gRz/RKg/rO8saN847mMrS
3puhnyYSY1Sgo/mxT+pWhjvUAbJUJ0kVFOrSUB0UxcmoGtaV9t6GNe8h5RkzoF68XrkbYdIr9V1j
33FFekX2dS2aRp+iK5fZ8qKWc9Gm+3xM+2m8mCSGM7JDIqppkFdJzXh7qnJh0/AAW1G8wMzcSpDW
yy7MJhOlgVBtv7OJX/PldELvzWYnmLJAtsEM2SQQYMcmG+TPmE9UsjuFcUxBEk8csAUTLw1Ql4n6
BdNH6k3JtMZL//hhkGWYJYmIQVXv49V1ov20Dq1h41mufJOyI52DQOt4yWUx6JO5zmlVRlKMW14k
MshwnJRLJJXbOVkUMXEurZHpm2Vqpka/zZMgn8qDLnjAmtNiWEw4vlE5l5mJWmM2TkL7XtriBmOT
SbCeC1F2kFSwtAjZrxG1WyvPA554XV5gWCyj5Vv0JvMw2U85AkG6dxnl2DtC1ralZQxKwvYYEFiy
dkeaIvfok/QkkPXPDBOhWK/KS2M+DGnYYmQJdTAky8IhQwaJKdq8eAj2D8gStS2m99hO2A6njxtL
a64OuZ02ifGyL/DiOtuDF6z0FvLF2Kehjs3UOxjAWgNvnPQYNcF1zeNRMbyzQnxtrvGDXNIlWK20
dOMWabaphzbCMvkTLedNzrUwGH3aBUPgoYqgLkIr7jFwYFBxYJQUSCueQrroNs5CK4cAGhRDO9z0
eT1kNeQV2NWd2GEVdH4d5nrbcgZNN+t7BcvCChxftZ+SYN4MTHlMhI1ncgnwWWmqTTTjSHEpUmzY
TtjDWHdYNv5yHu85bz+BcLP4TM6NU+8LKRLDYzEZEECY/MNYE9l/sZ5k7QweqfNgO1zSLw/CGGA1
Pv6CcY1c5faOd7LAvEjmg/dfRB08Xv6bkB+vA1PAiteaNRU2QOvAjp+KTDWZP8lqvuDQLcNwcxml
jKcZeY8CPHUmko+KcuvYw9RQeQ8+Pa2pWRIZ0cKOi3pjqsFBSiOrSlzCGnBsPgbNkWCApyDLBnrT
CqOU8FGdkvaTeZSga+BBiGuPZ7IsQ42GWaBaTfSIiaatOiePqn00D5UUJeSDSV3csZe63A4/Y1wA
dopZqW0ZK6zCh4trMcT9YQ0yMfRnOCnfxPtoSCvGPbFLHHJ7Cs18h/vwRwsc1oUZrm3rjwIN1mnF
G1dyJ/Q+IBKM9unKpJ6bk3RjtMh+ygb3v+ydWVPcSLeuf5F2aB5uJVUVFFCAMRj7JsNgt4bUkErN
+vX7kfHe5+vuE91x7s9NE2GoKkmVuXKtd2r2dPQL8Fb9zPdbTIHdvVl+1rB8eo+OlZvXyHT8e6RW
+8W19rT/cKcs5Ee1a8F2Dbi3X38z+lk+PyPYqrLi2GQ7gZx3jpU5V7JfA2u4cT7WSlH20RCcfj/y
qJw0l7MUjuRNOAFaPrxUheScn6xu881nOrcynFLVGRDvidlngg9HVIXNMR0qBbZZARgA2fA15eN1
0Gb7dh45X/k3uY5+GR4lzeKynp2or5b2anBbE715FblVPcWiz5jzrcga+ft86Hp+0DR61aXuRv67
/mI7PHO2gIo6sPzqMslBAArAcPPpVp6104vfiIUpQKzbvvbniFJeHhens6kwyKKqMTxUNUdsfViM
RkT9tRdxVC1fTX8pqTdZ1bZSXv2Gk8uhynV5HPOKefd9ddFIO1eqzHkcJ+fXnunasOKB9WKWYntx
kIDNw3OHOnX2r4aPW18QIvOIUMlvkjuS2dx7B38zLarcoN398VkQLTxM8Kp9iX/gp2EvZ56ANdr7
/Q5FYfNDs8D5+64ACjXiotrAlSP0ok0UA1msfn3nKEvzF/5q7TPs5I09iNoHyLJZqHLEcWw6Lezr
THQb77F9QG+CsRzUsPNcCV4qLMnoW9fMTk0yVAAT3g36ln0/De5cAMJnMhwolY4vVs68fqXSlEdm
vf3hjYWzQwX2GEqw+LJqMl4Oa85dfp1pz4RxnkWvdXGJnHIHKduR4+4ukMLxh0cXGGsVB9Txxpof
/Vl5VZ8CXUAXxQEgkP/NRfnASM5hGPHlbwaiOXH0m3o/NmpP7MtN29pi8X08SdS8INFOYRbOdEad
WYvgUSKJM540zTSowqa6yP9GvQWkNWa18QRK19zvQajGoPj/5r8Q0O1oLvxOO6tviFXzznpzl8qv
Lr7fqVUcXbvtB+OPubDKRRw40ZzKi/sK/NtIwsoK9AuI5CyHz2bWlVmWCG91cjjggN6m+xFNxdTZ
6NBCoImTluNUR4lhb7182dzRRgM2cjosDPtII+kpg8CLRmtklddlZCcT/2gEE9p4mKkl/X0nH99l
p0oA4sTznHW/rV/lpqqmvf5Fa7ZXE7r/ffMWfb3/RfMLvRelvf+bZ5kGf7Fm6/6HwgGdQEc/Nju3
UVRCsZUzukVx2YbVUoeSjbrvyqjef/N7ydJTUokidCL86gMP38upkSV6WbUToMjXZvgw5kE2t/Fs
NqDnKB5EZF/PXbPv8szYdjiwhyfih0tbNlx3m8n6dk34hwu45X7lkJO89PcHeTriSEO3zZf9MbE1
RbkFqAcbNbqP8qNgyQ+gscPzw2owqm4HIXvta9dN6wzJoojzzh+Np7HwFPc8zLB407mws72Ny92F
zwimar+s8deGM1rJORILb9w3ubJ3mhH5yLKvyUCgOipiL++buj7kZcVuPH48EHDgvejJ0N9bLLe3
jPImtx0EwP8CfP1loAfLoT6wgm2Km2/9DVbOBzgE8Gr7KW9bn6sOsmxhN8y4jS6d4e47qJoAXvJ4
Krr92v9luvvzbLd/vL8TJwiD0YH9jefV49Iacx8AVX2UxhIMmKtgDmAn/fNH/QVoYjeZ0Nd8FpAV
//V36O0/HFszIslQ0Er+zxox5dK2SaeE694HEZwVFRkzAj/GouQbbl3t8pX9Lo7/fC1/hvk802T9
hBbsto++gHX+F45KTI4NfFtmT9HugPtWeNbej/c9vu/D1tI6/9tz/vsH4l4FOPAxwAEuRn/BFWWu
TauqTfGpWxoOikxy4l8Hq6TM/d7Z/3yD1k4y/R8adL9DsFvTC1AF2BZ01F8+cKmQ6DRD5X/6XTHm
fNtB+9V3Vs87LojUpmOJZkg/jrOzlmk9Nns9dzSlweg3l/PoX67ozyudK2KUwpoANYrjAojuL7TY
irh7Dlan+1R9bKqZvo49voxSUNeLcCr4CnJ33IUGkcPhQGth5PuFlMrpRnwYHZP90aud1jPjhdKy
JpT6jj9nfwicFKvDPJnMH3yW+iiz/3wTO87zH0+V64ctQfSEKAWWEXjxL2t43ZZCb568ChpDSzS7
dR0433zN9/tvK+bvH4XAJIRwCl0G0+CvxFgt7HodMz+7+jg5J49hntu2u5of/3xXf6GCeHcEBege
bbQetK1/E4Q25pCLclHRu1mCqv5eBbYv985GO/U+/cwhxsjErF1tB3GA85LKXdE59cngNEvwXM4m
e/ZfrutD0fAfDxzIjUeA2hetFzsx/CvrZprQG0GR9ye92WbeH2wPFT+trOnaY/tHvzXwwknbZ0CU
UVyLjaErxoowWPUNhx7SoCxppQJAubVdRnjzoRZelrVXK0es117EUkhrWRNhw9x87buuZprAT+k2
3aGuEKUOidmafl+j9fdArG4dvIqO/xB90GLSp6d37kVTW91yJ7N8ilCejJNfWEALJYqHK/r1AEFc
ZaBmb9Lf53xg8LI8lh+nM41uSM31f1WDj45d/nqac17bVEAmrP00nSfboC9s7ZB2u7FHHjedij8G
Fwf7EW9gfLQICo6R781UobUVseyH2triptdRU6S+CqpyjP8HOeg4fbBIfPQDvxoRCKqZ57t14X4W
Bt0EQEOLLn37oMKWj6wlzfl0NgH9iyyplrpnLAEWr8rq2aF7jHBfrkPkquvSN419pu4nDVy5fowz
0bz2TpfmyLxBLwEyAsD6uMyHsBWJMbbZbNZx5yDCsR+iLsJohHEBLXP32VujaWuxggGvNimtFALF
S4tVo/U/FwrQNktZ57Dyx1xjlymT2qJ3+2NlguvDs+cvs/3N8pZ1CC+gT0I9NpgvpH0oGwTdDJQm
Y8eAeQYjkn1o2pXvNp0Xe9NrbBoM+FNCh2N5YbK6q5hvZdQP/RbD6s4FQ2kUaujFIjf7k2tWw/zm
m7VcsSK49K34v4Km1q8NAIYxxoiyd+bqdyfbQStn/m1YU/7KY5NXvj3SjP5qV8CP93ZrbYa9dn8s
jepXU9UEiE5pTCOEJSqetOnXWFx7bGxchi0lVmFpTNFnamEbPqkmMqojfubMi/Msm5+8tfDKdC1m
cSrcybkqTGe7rnHIXAEItJ8C7dvJEnn5JSiGygR6nfRnwaK+crNdk8vuy99KrarXzCzadEGSykhX
OcOJmRFkxm68m1CZ31rJdmxm5d/6c6HSwM1zvl3T0McyWNxD2RbjPdaqwTzQ3A6HcMUsxor16/dc
jU+25aob7RrZTT31w8HrQXLRc2QYt8YozaM5fMT40UGPq+JH0XcC6xoy5tVtmtQTUXcON7s+rqKB
TG2U5/LW4dokbtkEx5m3vA4Za9700o4n5APiRxfJ6iQXq9riNSo9XBFm+6RcIO64AunosVW22fO8
bOH3ymg8JuKx/jyHdnEw7cE8u2aUF3FrGM6tC9p11EPf/Oxx5zyCwRXIfgYn+mHBmDAWWMr6NNll
XhzV2hgHq6+HT/3kMrdTCtIeUfbZ6bFNxF6NFUkEkcjD12Kyo/UaIn987223tA7tqAamhQLZazw5
XvgzHLygTg1h6HMdweqnrjWUj8vkSMaNur3x+sHqcC7m7Xez7NXtErjmTe9b+woV3k5FZtN8XugK
78xATteAyBgzpJPbaUj1+2HNM2bGDadIzvSpjK+z6uafnWEsiV1Y2/e+L1sbYl6hwtu2npWbV6hz
ER7pMVXbLJezP2YdbmZLFZfVCijETCY4LJ3KObsh9tIz7hV9tNVo33hVvcQApi/evL6boxAX12L7
TP04pCB0ZhFnSz0Fqbe2zsENhuaicld/xUNAa2PCEmd9PEqkBBJvTeap2Bgd9zsEbxs7dtWcWubt
2Dbr4XGxGvnY5+sgEzkM2XOXr92rXlRtx90yLomwMArHJdcHcRkCXbHxlnxL3CWcHyK7z6uk2aby
OwZOvKWZWb80bdHFSk3WYwQWf63s3VOrTXF2iwYfaegvtyWw+QR672K/H8QQi9HA3pqN2a0fGm2B
bVFG37VBT52GtDll7JV99+DPvjxS6H0/iYotuBqsNn9A7oJEYs71s9026jRhRjyVavK/a0c8z4yb
z1tXb+GpU+6Kp7jOfq48kFM+BONI/IG5Pg068kSs3Q7iU2YDAQjTdO1HUp062jkrzoI+eo6aIXpz
FuV8LrVo36Zt2n6OLPB0Clr7zoWfP5mcFGm3dMMTbZoRe3Mz3eIflt82HLAnp8I7mzSgspd8NV3O
soWKZJZFCKziSf8qgN9IVN+UJ+mN+hmJlMP1T/bZMhvnWPpOT+yC6B6iJtdX1lpFT3Wtt5usL7vD
ElBymSbr4tK45nDWozs/NL3Qn3UYuu+OnCgOdrdOF3et2TxAQ/eWM4w3iw7m62LG5gL8ETYngfk4
ZcpEqAh6EF1vhha3QuT6Eft1/hyiwP3abeHwmQM/u2KzBXebZQxIgfziWEXCu4UotnCd11GVhtva
OKx3jfUvM9oHCZL9kC2twjGmKvOoZ6Ik1DC66Pu9bbvVkTveoPeRDNl1+zlztqimZteYdgMZXllQ
Z8mkNvc+nDIHgFsbPwxhI+W6XT13KyIM0gszQRqMIMPhrfScKRgOJklM1RBXkRK3s6GyB8CK6mK4
a/NSDfo7r8nASwvrpa/pYMoxKC8L4Q1+7CmrOEetsr+NhhjnpMpn8w7FzPhc2NPUnXK7ctwkyq3g
hsgBHR4js26ic52HKoUOdbd4gjZOw2irg7jchmiKa0c0l9aANr9ZjS7gWfvmPOjbLprgS6xFW/N1
43b1vbO4xmPQRIVK/EXn7SGPlP5UZsVUH2BO1/ymLjBFp4ZuPISFQljGKZj6fvu0ho0e89Peephp
1C1t1UqeWjtn8iwZbXWVWAGdS+LVo5juAB1KfGWjlX2eg61dk9as/FtUb8JKZ4sW8WZgnh1ePAyW
oaaOaDV4Po1T1qDOuZoGPzh79mI25efNWYWNLXzpzGg82xQ7k/QEgPVTV60N5uCp98anCE9LiZAl
qyIda0NkFW5YN1qeCgfxCcZ2t3psV8vYTjPzWomdt7PN2zkqF5JLNHD4XVBRTlN0ZhsGlK04lzj8
E3yM8jwY69KX99Vq+NHm8Pgbc6lT4I5a7mInZXv1/TC4ZTikq09ahw1O3bfshxCWMBmt1a4PrjVW
+a3MITnjugEtTbZh6ZrYqVf4k2As5VVTuB4e29mb72QB2piWS7FcOZlrhakfmnkAslRq61pmWsHq
jV6wxvYMiewP9nAxvGgJkroUmHUDDMIgWkBfL5Yy9I8pojUhGGS1T20rLAd3VG5j9qaFy402geJG
0TUTYOF/wuHaBjRmY7gWVUIlHfiDFhPxUrxThLrQP+SqUrGXddYSHWSNISo/KHshbOTOMiZ/fIYT
rcVV2YXu92yavm1bnj1nufqWRcorY8aE+mlGInEQodAnk8PDpEj4GhYp2G6q1a4u2inG45TrKFGd
2sjDQO2o4rr26ifdVH6qtb/GY1i41NdpqN8x7WzHoK1gw7JF3EHUhWZiLf2MBZPDxn2IiF54CtDh
6LSYgExYDywYJP/F/MNqlXxUHdkyhz4Istse1/rT2PVDdhiXbBLXgK9ZEBs1pvi6LbvUbrrqKDvh
oeE3rUM05O2NFJ5xZ8vFvbEV3F+b9XDAEWNRatti+t6MwXjaFtuuYjPgEE7NaOp6zP1+e0GGN6MA
1DN5K/1sLkknszJx/X5ScWTVAikmusLxuve5ucMKVvxEAE7xQ0AfY8eFpko1m3KOt1XqC6c8h39B
XkNalPQXXIL4xKlTHMcg8pMRa/hLWWTWNwCs5Yj2JTq1ZlQfAxWUD+Rk6GSq/fzVbOpnMmDAJRnc
joEtyq/tbA9t7Dlt+9UxhT6ThSCWWOilDJMCjPEslM1NZyZAcbFMCUO4c48rfTxPs1W8y9wJvkmR
Wa/ScubbCQI09VTXXjsgry9g2Lbca9qiYqc0uztfCIe+leK4L0L33ZX7kL429X5qL3b/1k6hURwq
v4BPBJNt/evGIyUg6XWxDFA2WwvmFsyllZCWYDaY4IrSu6tUb7/leT7I2K64hrgkIChMJO+bgCKx
JvJVede1j30uZYSfKk2vJbNzjeP5i2JqyxOpHMf8xsFLtlFkhPN0ZQzSTwdVGldF59nPO/1+tLZJ
jjHOa3XveUv5Nk6h4nhg8jy2o0BU1ArPuYUB0zdqRZsR64yW5nbpR/Um7WHBhQdaN8XFVC3vw7Cy
V9iUzGmjAgz8gV+UX0JsTYemnJwzWG+G8qhY8HHt6sufLkpMcayDfLhxV+Y3Ajo8MaSV6AzvYHQ1
0llyTbyXgSydr1gml0T2Tp9WptGZl3EOrCdIqjBCXEMPF/vDnFenmabqTPVr5sPS5XlJKxfReiKG
MNqLQzaOkYxiF7Sttempgyb5iRSVHurfTdy8xuMmp2OG8qGLapmUkiZNH/YxdkoEySU2PbXTiO21
IU9K3tukR/UpU4WQe/ARORIq0daYVevJMO2yce/90RFhLK2ucL5XqC8Jf5qMcCnFEd5JLuadzFu/
jRKm7cUlBWnL635MAg5cb01zaKCwikdE0e6aNtMqanmzhgJIJ+lHBjD1UE2gVk68oJaOxqMeVVe8
Zpl02yyd2SqwEZhanEbH09K1/nDM6NWa6xH3eP1H3/XL5B1IZShwf3odlNWTMG0ojJNCbzQ0qV4x
P5cP5agk34NroDoaSwTBQOkYqDW3/7M2osDkOfZls6aRIlvo1dOenT99YJ6G2nH7oYp2hNG2xKJu
CPzbGXBo951OYB9uwY/MFebin5Anb+y3zuqj4uuoyJjJ4yac181gshXl7HNEUI6HlzEHUAhvBxrK
5WKWkbm6yUiERCdPGyQR3xZHXtmWb06IcbBOvWoY1+bGGbm9LSYGFWdpgnYE69+TM3iq8A8+es/C
OZvj2K0tcp5ioMdhdsi6o1IhUQyo3dpUIua5s9FE0bqriIq5RgVNVOieiiGo11UBZpJk1BUJyqSx
molgaBa3qA5qRrgSgR00bXi70fqFB2FUvoBMmkSk8Oe7XeQegnVz3BP0Wf2iwrF6NhCpDLiTMcXF
7sjeOSDaqH+YjaTLQkSea6LM/J78A7zmDU7ujeCwR3w34/pLrH6Oimx68BCZXgGnFretKZxE2v54
V1rrWh+UU6N5miL4VGVUT2W0zME1oRhbEDuNWt14aWbZnPRgIgZcQjU3eFwm+UNthCBQWl28kz7n
6JgOzrZ+6gtjXmgQjOpAB8qEKErleSftu0Odijpc3oxNLCvRbdncWZ9CWUgvJRu4edcmPHDclxOj
AfFOE9OILq38QDuh+6sx9+T0IzOWHXGho7abZJN5dsTuNAnjWI9WiMbF7qImEabbtgd3Nfsrq2+D
r9VUuQCWgbCzNgFQLDwm1GDtL3Xom2Nqm944vKIgQH2AFBSxWoI0optokCwbeQ7g1iVj8q5jt6MP
v1vgrZYYA3xwCKRfnY2sb1GEj0SwKCRqqkYBYa9jn4aNF8HsGEN+Qv7PFxMsmRE7SNSuMP535OQA
mL1t8P6sDRE9jobZcp+bOvqWIteKLzt1IxHu0Tft/NNAAwR4WKrs1qAM998YLuf8MShrvXddjl1c
0cH4Z+0GXvFGiXTWkzO55ad2dsQdasPsR6Ytnnw4bwuqLzGCjGxbscSqMOfncPHGh1lXObeAGwyS
NahbqmlQo/mXXvTJAj4M0qhs52sL0KJIZyQmX2bHxY7nyd69atyyROWnvadOZO1xsBvz1de9FUcB
cr5cVxtC935bY2xE6wWvp12k9thPeKOqBp15RFLRdJ2RJ0GZbzZUlZmYFy43qnaFAdNwoppgtY8Q
LdCV2ISLPs2IaqH07iEDxHGpAJWek/UdTUGz9nfOqMbbzLbwjptepoIjegL1eV6CAfHu0HCXkOrB
N1fnGK1rGvD7ztg73p7g0iamp15xpksRoeqQXZGnHOglAibgkoetBgGIN18p/yAndGqpY9bFYSPD
BYTCQ5WG+qJW6eSoP+aefBlb9EsyD976NaBaTDfL0GiVVt0Ufuo9PYx8nIcR30Aac3YIzbpzKmHf
hHklA9Q2Yq1jbYnoxjBy+w0DvDwTiNM/IHkrE6RU9nfMJWODSzOI1qTw+lInwewWazrOa0kakg4H
QRJHEVbUX+1UN6Vlr95x8GfvxRC5Wi4gV9IBDGjrNa5UbX0tIoQDcY2e4dIi1DAPweytDAWRjTmg
EyRcHGqrzD9Lb9FzwrlJV0d/nuaO7sL9ufn3szMDQzt2Ky5hVTuvHWIFctvG6qvT1+2rHkiUyYsG
7BFhInqjbGLJV/prZsxmRm+1GIlB53GnR1wyPbjLtyYbjWtdsqlTXcjgfhiH9jx4HZYJHchbcIHg
yhBm+AJiXAQsg8x/U/bmHBbX7D9NerWviXsb7KScwj3OpTFrFCgNEE/Q9yHxhnlD0lFk0DgRSbKc
Gs+eqk+YTotUA26lmqXuJp3jjQfaF+umWdscid1sveZiXV4JJSGUpR9NHIieJBeoEn+gzjVT13OH
55B2/2S5wnprEXK/mrzEi42FB4dy/hXrSni3wJWf1DSw68LxOzrf4UGNhLzF4dCaFvtge4gyg2wE
bbn1ifNAN4wZvZOGARoPXn07d7b+UgJ2pOHCoNIRtrmRgGW1LwRAuE9l7rh14oLqXyvVWBiJESxK
x3lfR9B/fZAKPEi/cUDJekqhkjEDvTLRtrX6pN2+db37geAXqnwfhrvER3f4suHal7WsO7gGeLv2
3l1RpKynmRhJiAWnNZchvzbHvC63a/TQ6/AsimX23j3CIeVV2Yb14CbC1eZgpOHkEStG8ZKIQuDa
kBmUkVX4Zop+zdpoG0NzLRItfW0u1+O6gGLGvr14R9dt5vCb3zQDRaVTRHOS0hl4ueml9HnQ/amx
+lmGLsRFqoSqlzYecdKKpZhNgxrc9VBU5qr9aXbGGvQp3C56t0Ov5lXmSF0KoiGHlLy2XYvNGuyg
QbIy28zucXLCgRGmcBZf65c2nMVUpvCZIXMfzptiKS8EyvRjm/azH/rWwSS7p+/eRsIarDXmXVSx
JnPr0pLFG0ks3XQlcBuWUQJivd+J62dmVJ3ybJmC7stoZJvtxYUIJb9DUh74yw0hVgzMN+Xai8pP
FjMKg+n4z/TcnwldWEMECybU4W48xSa+G/f/k9AHKgsHE7H9z7pVO6ExfUgyHK/R8Lp9kLsjCqrJ
XAz8AkUJRfcvF/BnUn2/AHhtvKaEycISQgr9+QIKb8XKkxXBD/lxAfWHUKImXZIVZ7TwYh9M6f9P
c/i/xq//ZyqDvdsC/jdB4G95Dvey+p63NU6Ov73od5hD5P4X+b+YTW0HJ6XjRSyX34nC5O/9F/Sa
HxA1bMLqhPzqfxKFg/03v2xoyCb+N8zBcfj/J3i7x5h4lv114f9TmIP3Z8cQEgj6BAR9EcE4tuWQ
fPDnlaQnGTaLb3Vnl041ddzqOJA8daQjDh+9vMlbTobMoBHo8807SM0k85wPXvmjCnx0ZlgKUBY3
SV1HhTghWnb0Z+SB1U2YRUX5MPiN/jbpIvjqbX5zzq2suhnmEpmDQYAMREZRn+1FyKMvoykdprK5
LVVnECFMAbojEFBtp3q1Ttm8TUm2IeE/1oRSRl8nJA/hFWgbh8DQrf7rNC+kB67oWolhK/Lb0m4H
9+D4lLwkylRYfJ8GI38d4e/rq1a3MjtyREn/lrwwbPtHA40Ko44pi3whYg9gb75UOeENwTHsqk1d
2r7ndvOFwIEkaNbSFVcDLadeDjVyDqM+N8h/GFQ7G7mYBxdOuOEltDew41hUPE/GvLUeSd4SuKjn
dJymwEqsXFjm+zxX/bwdZF5gXo+J+vIIIWuw3sikHjV+tNgfG/inJoQITxZ6ZljHPNw610o9TDhb
In0cEczddMU5+oSQdnkrf5BxtyKqBo9H/ZhOWVsgX7SR7J7AwIS+BPVgXJso9R5MOuuYI9+J58nV
cUm3dp0bxnSCPbKfpOGPBCD2JqC21cyPWFS8ox+p9XugSnmYSfhN1p30LVoiFaewlrfaKJwT3oL6
mlTZ8SSbqeM4alofUVc1Xoec98GYy2NdNy0Kzjy792wGlymvFk6cTKYwiU5cot2+6rdIPCKpr7+I
xhhULEUVoric1H1V+s+4RrJHh4y/hzmfgseKKf1rzpCVZnCzZ80w/sh6aAnibIuXql/EQ2W36xcg
XorzPI5gGuBmoN1FcIkiKV7oA52rJfeNe4OInwENnhEdJ/xtt8IX1Qn3dbGlqCjl+qK60IuJqPWf
O6jEJ9hLacEncjqhSe6cBa87wWJJS2jSdaNt34+joa8PYAfDNWyqPtF1ZC+Oap2baAuIO7OUN38m
3KFf41BpUWJJ0dUf1uz6yPaDjXBIwjqbgySpK15R1j1gzA2u9ex9Lrsg7cvRdWLXWYJbhpwsi0tc
4Q0D6jjdEy1t4+xDC+m6hOUN5cp3PSKnfoR3b150vzSnSQTqbbbzL1anJyS3YXjmm64PqwIFWHsV
3m0cwo/C7/Nzg+Dwc2Y52+tISGp9jFAMvJetNm8MpClATp0TnHENRkdcYj+nqBNXlmd2h3whhEiK
oHyKZDi+mn5ZfVnlVnxx5qFAG9qF8ktnNFE6S3aYbwxgz0i9DlEwD8dC+TdYcf2kDovqVGpnvW+i
xjvPS7/PJyuTYcxrjXurBG7cvA1LluebxUODyGcfFhZ06xkd/mQRtJZ7IV1DMRh96hrdemjnUSWz
mPP9uQwIW6ucMdtM8DjPZ9BX5NOrZ7+42MPvB0M/F5t+KpUR/Fi8FtkBWLEJbT07AYF5ais/B7p0
b2r61lsTyjj2y16k0LHXkdsHd+usO7bG2D9tVVilBAu37/4IwKHmrX1wSJB4wy0GHmgZ1RJH9axu
aI9cEHrXQ/xV2W48192abluU3bkYur4OnoFEmYxUAtFNkAHL2vCEAQATXvCdnr74Wc0ILPqpu7VH
MR88f15gZUbn1SZ47soxAuINl3leb+1Fhakr/bmPh8E22HFubl4sIo+PurWAowBi2kdZ9tAmarAI
vIN2vUx9QUw1ydwmOd81ApcrOx8WRm8Ud+DNs/M0DSJ8k3NtAOcV4NKokQm1hV9cP7mGIN6S6Mjv
I+HtN5EvtI+fc1dXjHtId2Y1AmQwzHu4FJc0U/zzn+GJ+ktAfiat4+iQZ+ugLSdGM79ua0R1sVqJ
nTcsG/C+6CVL1INEMZf3jjPvkzX763VmiD7hTUk1LAUyfKmiExmUy60x2EUShSp8Rxvv/dEa7o9C
dTZ5Nwgykl0dDqVYHjqS29jkhryblzy8ixwpb3Oz9aHMt3dsc2DbZtXG7rI8t6Z+WhDSJKGlgVcE
mBEGkPxYWJZ3Mosteuws3R4M386x0vRzf5UZ+aWSU3YE8xKpbrT1BdzaPZUkMB7Z7+/l1oSfiJGY
k7yrYEwRV5Byr9V5LiVEoRb/zd6ZLcdtZFv0V+4PwIF5eAUKNZHFWaSoFwQ1EDOQQCbGr78LtN2W
3bftuO/90B3ulkVRLAx5zt57bae6OK2RRo5sxkvb6OmRzdQ2z9euOpB4bO+5cutdowfTXQ6Y8Hs3
YwkKTWFUHHts/zl1E/vMd7jszAnWQ+sIzARV6dS4yTRnX5lLezIaJkld6vNukXqO5o0Kw/jRHtQw
Dzt7mNWr2ffZrvJb9mZe+UVJ42vBZBKtvB6vx6lOh9CVU3Zn+12NX6std3AGMU5Zs3w3GIFitLnh
sQDrEn/AltvUL/c2WGM2oVrymI+GvHF1Tx3w4nd8F3l/O6Zke+OC5EsK+LsGxttn2mkarvrcBlva
TF973a6+dPM07FMMut8JExnxwpIq5LH3JfOrH32Zy5PFRI0IWZbwSPinxPGCEBupexxzpZ90mIe7
MTfYxyAhX69sjL8FGIl5dmbaQTmNFtpMIfesXCzAsgWmF1V0BARTEQ9dFRwtu5V7b+bkpeF7PpRm
Nl7ldUvUtJrhpCpD03Y6uNVoxoaFDi6bb8qZCL7YMJOH1IiGJXOPE1419h2X1Z4EKyi8ALoIzH1r
ON86XdwPzCsAQhrUqmI98IjWwoVR28ixRGQZyn0OrYP4rs4WR29vPNHfe7i5Atkd1qkeQswF007P
mgcfAeUMEDTds7bxyfJBuHfzBrR6lp3lWqXEG6sLEQ7tIZDzdKjcAd/UUkCHtep7rWzuCKBne1Vj
YFlbVAC3Wu6DcTB2rECrg1Si3alVNDsmUx9z+mAcmtFaeQh71q2mwBnzbPeelM2eby0SSM6O8aNL
XC12mLvDHNBtSAeBw4uszHgfWMP9ZBrBt5x9ZOxpXH6t1I7uPDb3rjYS2lWQgEYMZ5HO8vk0131w
LBoWlGm++udaLfdYzr6QO/30MSD8d5b6h1nKcQKs8f95lPqj/O3nYerX3/XbLGUY9i+G5duOvhGW
HN/hC/4+S5nMWTpuaxYSHzQNRp3fZinbpJEHP6wP0A0k18eUgwP2o50FnJ7FF/R83cegjU37/zNP
/cVPjIQAHYyKmM1dD9nTtLfB/ServyIXLLphmG+ayYKyNLFVDFuLFGZUetPIZecs54ILsIx1SIyv
qrXHT6UtZyIlQdO9/PTT+z9wEMaf9xQf340Nq2xbF+iYnN1t+Pvpu7GhypZBNow3ZtfQVVKuvKAH
r0UcnUfVBuE42cOrNwrgo33tQ30lZ8FajcymZ7OJ9JrvgVL6LV8jQySoKuMT3nTfOCyuk/wwiIzO
/7DX+AB7/uR63n5+NqF7sgKEY3Tf/ItV3s6Reck0qRtC0Wm6c4l2f6Lhw7f2yltaBzrSbBS73ENP
XD2XVxnYaLjQ7DQN5PVWfWdAk0aUa8LZYesBcaxoFsF32Dslacm2yO7KAZcOYpHcYTALnmXWXRED
pwMhl5p7yftsrA9//zn8+8fAukZnzGYkNlAh/rIu8hYNMUhU8gb2UQAQ3wc9bPOsF6Fo6OyY5j54
FIlRff77P/bPSyJnY9wCstl4t1yL/Nf2bf306WMcSG0h0+am8WkEIOQ63GCGJjacZM9//ydtS4Kf
P7XtT+Jhz0qMpV3g+X+5zkRDSKrDp3SD9dV+286tFaUU/gLUWmSx3pG/jCx98dsIU+NU/9NF89fE
B39LtieOaZOuAaP41z+e0AIc2M395nWlAy1rcN5KuhOrA8lrGSOmwC3X+egZt7oJY2PZej9QYwnN
B4t9PTPE65E1gT+PCtzKn3DgmNYu85flh2DK3OkaFq4IJLzdHx3LXYd/CiH8+wcFRpPHBtEK6B7s
Ff/8Qenu4DSOk2gXY0jqtxwRgrYirVSNHVoLQKLzlOXlV3K2+FbXjjwiC9I8QtLx3pW3ri3lKqnH
OrsYf+S95X0fHZF557//iNlV/PVDBgTCReQiTcNvcLwNlvHT5eT2fq73WHkvhU10KfB3KsjWw4Zo
CPZqHAYydJ1+P9aLM3CsyDxMAM1Bmr04VLYADlV19YMASAlou5rSl6mo29MiWVILpxOf8Bz6u4SQ
XTS0BW0LKM/ITEkhm5tJaBJRCv0iTY2gCFFPCWSYY1Yf8aZVD2aR3qV4DeewGrzuRiXdkzJrzdq5
o8kPMl9Mng32sAK/nfzimhIZkOc6TpgMSvj1yio5iCaaIWpC0kt+0ig3qMNp8ZnyJ2aqtZi/CYmv
c9A1DxWuVt4+kd1wAnBoPnUZ6M5D4mmA6tesTL4GMDmwgzSd9mWo8STTMoHcgjn1ZHRB9T0fhct9
b9XlY04rhheO7OHPPTN6tPBzQBkxg1u8V3PM/r/bG8ZsjHFF2gnz4wS/IBqZ1uJaWrTtiOCWLqNU
33GSV0deNeYUkcN20Um86vNc69mV2Qfi0UHdPwxBoZlk/Or1zXdbyrb0uVj3rP/YfSFQvGFTmt6J
kwgnIvyhD2GTmswesypabo5pipd0HHwGwISjvLLqY8O/Sm7N7lt+0LiRWRoVTEPUORCTaZ15DW1V
JZGltKZG/C4hpJNwup8sw97lsid5UHAlsWpUUyAPs+XN1y5ibJWQy6IVqg5xtmEc/J4lGa0Gr3LS
5k2IDXoe5e03c6kLZcHAV8Mg9BtVKvIZCP3deiCKohI8/Tm27sKs2kedif1ULBa8+YHPIMHcpgeI
0ayJAEUkCe9DVZVTF4NAS/Wor5g7bzPKinBpl4s3ZRRcVIG6dqWyuKKmpDWYuQbehXtXy4rkduTW
cdOoY17kgrMguO2bKu+DEAED+TqecXpFWhJQDkdJC7FSgjtbyRl0f+p6poqShVgmnAr2TpNSSeHT
prBGjVnikK6znnl5lEsq73AWENds09x/14aR2oSd3pqKIIM/+DcObsrk3Fie8uhfaeCYr8tRsmLu
Mf6lmUfiVo7Au4NeNvkehnS9HHUpaxE55kYT92bA0oce3oYW8bGaL5qoYeBjrWFE5D+6xr5N13CW
U0jxUrDxrU9WH6iKvaVyH9ZBWRiVsSUYV9mUSa/BqMgG4ECXi2A3pvCVoBKZ5X4QfAdxq6p0jX1j
XhF3ikVMl9onixBzTBc9KRdjOPeW41S7NLHSYefB5BVh7knOJw041vUHgl3g4kVT+PQgD2XdyaAT
6ogqUroRQZDOYh3J4LwOSYnCOPUiAE0yFXZkkSelW4uYnHalJ5W9N0SCG5vaFU/EBjzF9pTlBhVS
ZWAzR2z/XmgESMFcPimj1jzlGGjwfmlferTPhRA895F5Y6xgGKk9G23Nelq2bcuNK4Kl3TVohBdn
aHglpcTH+A0BhiRrDyfGaF5XowK738HOmPdyctb8ClSVerIL03lz5m1R4BtcvGTmyQzF0l2B5WP2
AJZfWTC6ImS2+KNUq5omThZFWoyPSGDTV9FnFi6ziWolH/Ar45Of8HWcqoWU89HEh4/Psu+lcown
Q+HWCicXGE+k4IvMMVSGIj/22CGxJXv4P24/qsIanX141BRFJw9eJTN5Ny+28iO923rrsqnhG2vx
rxtXvMGCZ4RKru6ap2S/841gbk9KBol5V/QkFB5Mvwns02wX03BRs9oOnxndfA4b55mFXM0f3bYr
KPfZrNWKyZ4mnbDuKRGceD7xfSHS39hOw99i6AjVh1kJ+T0KypFbR1QpvXQNGBkMqAOngpRf45lq
qia77Qx7QTe2BPuaUzZt1Qw1jRMyzPWhw3JJpNeKl7FjZcb/ZtPF34gHCIaz7ZysaDbCghac2TPl
fgiJhSKUGSfv29RsKPWZvoMHS826vEo55hZXrYC78ejztjjIRjduuiDtXgEDut1G+8jNc4tiMlxB
fkT/X3qvwyhKZvQgTH6smw16+VayeLmbB4lFhsqzsXyZ3DqVRzYx9Tukie0ZkneU0zEH+Fack+yR
ewFd80XTk3rPBjHFimPzmFt62shyEmRX+PsKZ+eYvUkEvnJsXkeZGTyz1aKboTIbbpNVS6zgZFMR
1f2oeSAvZ9/gkopJDXCNFA5mtT32NbYTbCa6K6MfTDdKgkqNvGmtUefo3RVf+oBIlrZwTD+vgeqN
70SE6Gapkc1GEggmX2qujS1YMpH8PAk+linSEL8hOo2jusyLhzFrlF3oe/Jo1wjEx3XaAmN4e+V6
EFXZtpfGnW1Wd5if4qxr6vEqBUmURb4j6+yJk4j8zhaXxwiPTjmGZcaWjfKP0e94CyzdY4VZOv9M
84DlU9zGCWz5JBS+dL4YYYo4AwiVnrVETF+zVNdGMDDSLU85ydl79mbJeujxI+fxr9V9uakK624u
q9W5qV2xmZ7FqLsX28hIcy2cbmQ84dEm3ug3+ebO9OqtMlFWsTHTJrcbK8INhxWaF9+qPVNHtyQY
uqJEYDF+wYZC0VpGqRW3Qx48c63X8o5tOPTfwRQBIIyaZsNwHl4hHU2+EVIq531ycEVPu4mcqE1s
pYLH1iUQWnm5c0XHIrf4NBkc6OrILVW21x4CinWHw7+iS3TevHv5PGvppew1Me1qiVWSdoZ6UJeq
Svj+e9Aie5n5ZUaEUNdPS2dz3y8ooFTbJZl3+TiV/neT8g+bFItDElPEf16l/Kmqemsl+O13/C5J
W1QYMxJy4oB25WHq+GONoru/MKOC+mUMDcBJMgf8Lkm7vxCX5pfAXLNQoJn6X7K06fxCM4aDgK3r
EKkDCgt+L1H4bVHxdyW3BpPFn6cN6LeObbJiMG1jU8HNv85ECvGxa1sd8AZWnlHj0SSr5duHnYdb
EyFJM1Cf67Z88Cb/QhXK+Nkdi+5RtLA29F6eh4WgSkdY4fJh9FkAuySHcdsAAJ/R3gbPgxPntnp3
tP2Eg73jmByxGg8ayr1t56VZoyWBSzmRVuPlHtgEuT7h5afzKNTKteXZXCohLgh1ukdSZcRTOIfo
2LDpYQmXhU31U6rjPhZT33efIBoqBDwmzMo4Z8HsMomiFavYy3Rb7rPKNsVZ2WlOMIWOTV/fMu8L
1Zc5hiHj7LUL2hOnwA5lqzValsx2MvsHoM2LcxpywmwJhKPcK56SReN4SHdXORI4pkvmrWgS8Oxu
wUNkNSVvs5hpXR+pbqK1Sn9EiiwEPnoafA6wKbDckYqV0eAG2VVSYJHHtOdRQDDqRTGCiSgWf+e3
xbFOW/E6N7mqsS9a6ljgTY0n3XdeF/xLIa1Q2TGX+WNaYejnUVTA5mraY2FOzyRgrUOBFyA04D8f
OXjTkEQ+L3shwsLrZRnzk+fPF4ZujpPD8CLTmvNXtdn9ZlT/Zgx4jqfuNzUnE2/36RW0jIxwv4Ih
tjAels/suGCCBkZxJgX3Nc0ZeqykHB5Xf5CcIbX6MPAj1SxIgrQr8V72MsR+szlgl3gY1/zZrcx3
2qTV1SpbCHFlerNmHeGdQb22tTzXY9scSyDYqHrWbl7JTMoFhVIIuKhQfe4Ir7VhaZbPgmDOjsBa
SxBn/MHK3L3U7prcTQF6OIMY58FhgDpqJTsYVeXBHm0KG9fx1gQHBY4NsTxFCuPlOGbXmFb7i68m
M/bAq4C4AivYzKsT4obKIqJM/lfEtZGlGB5YP+sQPvtliUXnaA/p5mZuivRHYiXtraOpR0flMzA7
Tv50GuYb6Tw/NiVK9ZDrbmi1W61M4wx75Tv2iedCtu/p89oDQrMjJ9MCAInTj9ahOU5lWMPR0um7
TSHRRRAGvrYIHNHo8GqhcCZFN6zljjahOpSNosRt1cjZ6SNvPE3y7jPnJ8NpACdV5TM9wad1bUCK
SQElXmkvDpMTJOC5OGedA5JI2Pk7FKD+y7B6UWEoug4nuwzRN4E0MWlihCTaceW6ijt+wDuLu2XV
3ls8KQjAlHI4YctWON31xbguW3pQO5qlPjwsxjh5j5VdijuX8FiDzxNMlGC/urfaHMu6l3gyMojO
PTFOKyRFY00POQHgczOkfc3LHXLejgsLqTuZ1LehopZAT8bxDm6wEY0jl0UajJUR+vO8fCebqlOK
6NnLeVA5BYFqWiZ0SC4tWj4ALJI14rsFoi0n9Q58dsJdS45/787DkL1jbQ2416agY+LWOzHdmBx4
XiUGQlrlOFyue2Os9ausCWoIkr5ALdTMg05gllXYdPKWgtABEJ63AlIAIbIUPcUaMRGLlbyy6KwY
Nbo6EFyhedZfP8+sh569HLtsVWhv3FIvJnmDsOEIFtedIofX2TfEkMtdX3HybTRCUNIn0mWK/LnG
twq9VDj5xeyXEbvEsFq71aiNu65OPiFslwgzgRVcC7tqz0bAgsCzxusRGfsBt6n2yLrcezNrJ9+l
ZdABEwh64hhpxm2MB8GME3pmGW8XnXDS0sZkYbBIY4a8YVZpIUblzb7V9OXQb3ctJgOX5kjaRpOO
FbDG+ZmhZrzD+sNBbpHHydAzjjibUtT5q8/47jbsMJbXZmidow0c61tvyntC/UyKmIeJGPiKjuxN
j9J1LTat8WRXRAPLwbCgahtCvSetDQJAU9rVMjjZ3t8UsAZyVCzamY12ykomsQ2eB/5ykyNO3q6a
Pl6WnN1XswzeLm+Qwog6cmt55hCjh6WHLMCRD5vCj4ICzgWG5QNr555nsLoEA08t8pkLmFo4jTrA
3ZMq8Xm6ONXD1JgeBoABYem35Cg2+ZC/W3Ds5vkAkjM4kTZJotaYOcq7Qf1t2aRIXbMUkUnkSSFL
Cis/NMvAN+UTtq9gZ/nlsuvsKmAJ350CLeB8q4n3ufM+4Uhu4zVAd9WloBd8CVYM39uJvZmz/TDU
81kru+90VV0qlQx4Vjg6rxO28Mr0mluTkwkGBT7YRl+K/bTJsOsmyGqbNNsxZYVYvnIqJ2mv1Njh
EoQvqpAMKM+7ziXmiMTbbGJvVqovJqi4K1pv6BFdGvCU1rTgGiiMa64BeZCbVjyV5fvgVsF+FuuX
FD8tiYFNVS4WJ7mwCUpMGvt49BMj/IpPfIqAYPR3SWkmUbYJ05MNbyiraLxw9fQVTfZdBN0PW+XV
vnI4MIyz/VKT2Y3qUnbPlc+XWnssWALh/J0kNy5tWWCH4iGKPRuVHD5WcR+YrTgxWKKf0+qzn5DV
hzphHzRyd/GUGl98Kgwjml8e89zFV5XSflnMPs91N6++mptmX2/qPbR5AKejRzid3qC9LNb6Ggj3
FIPetKPRWr5KHNrhiBcxnAK+h4moVKwHnf8sdXO9Ky0J6rdZgTOEmTcQ051Kwbc/qrJ45bYv1YXS
IP+p8xx+LyLAYz+Q1axmxrsqSO8H1o53DkSqV69wHx3XJUhYpTc23sKjNfipFc1ZIWJHJvygszyz
PwVOOUUgc3v8IX5srwnEjk562PSHkdrpdfNm5O4Iqzdtze9OMzfObuFz3mwN7e1orOqor7N3ZN/l
f5lKqb8OeEIgQqnbVbe0Ih7HbDwWTH63Tu2OscECuOHJKtSIJr1EgTkGG1YNlpTQ64cOk+4DnZkk
SXlqahwxTLbdji2rd9kjPG43aspniti01af27kEIw+GWaVwFmE4GKwsGk9f8klqP2J8Jvin9moaq
4rOkFulrk3bnaqKWdFe0GTvG1PpeuZJQq5ub37AxYQhcKRYoQREO80l8eIbyMiuGHfu8+Zu+uYvE
h89ocxwRO/YuY6ZVB6p07/BkXiUtC8MdaKF2PpK7Lric3dH7nqQe+0lTereBcvIXB0c88kTu7DDi
VbGTw8EW0FJJIBBkZ5lntQ+9Zfc5cWZd3sylSbG0nqDYeUoMGADIXtS7cZY4tjbvFqBTgOCbp8vY
3F2g0ORB9a52KJwiqUEvVPkLT7PyhVfc8LlilnwsC5UcdSpUT7ozceJNOvfcNSO1vrlG9hDA11Q9
p2ZeLFeQiuswWLP+HGgsgMNMn0qG2yo4m5uzLQMUUIaz3Qg21ynYXh0bnFpn9aL7K4xpMY1HX7bB
FUqEurVT6BLUPfUl919bwJvsAHfXDvIdp6v1OegVeWPGBzlhiOMJGzEngWlZA2FRE1qJZYzzgvvh
ClAc61t/8wvSQbO6n1Oa49fd6M+8WWlOC7gRexyH1ItSLWiXtnsDGDp7ZYVHzXDrDY/V2iB0Ys7U
LlUz569J7TR7On1BCdTrXJ1wFuq7wi9SgnJ2qfmh3GyTejIn9yP/6nGuebz2dfCIikHEhxbsr81m
wNQyr9i7ak2viOZh0fxwa6p6rJ8Mdrkh4qZ5mDZbJ+79br/UihxQ2lWR0NZKhk4vnP20GUMrm/D2
zlkTyEZjXsZjYQzXdYNkZpMEPQ7Ev+5MQZziwfeKvr2lzG12dgExoc4tI1Qyk8NCLbJgkT4RS9Nk
ZcNxM/cHkjDsxOxHCo1dODkc8FrfIxRXBFkdhFOxjITSwSZEroQPg2EX5IAlM56js4+BrsWqe1SZ
67yYPj6R3ToRhTrSYyaMr4HrJ4h8RZJe5yOswZBLuC9i00+nHRumUUTUG6AbZhCFrnERi+MgA+MB
1AezgNFphxUkwm5Ui3Ym+iVOgOQwbiorvxaFk0PYGrz3um/tb78GFnsEvuIw1+JJlpDCX7E8sOW3
g4lOardhA7Suzs4lWPKD3vb06A41R3BDZVrU5b33vBaTHucuT+cYgG25l6Zc33QO1lcTkeiwIu7S
ekI/tHzZ80cQUohcfM5mu35gP+ycV0FXmlnbYudkhrU5xmqUNWhZEHfJReqslA9Q442o74v2xoZH
scPdbn+SnCJjNc9BtDZGEae86zic45uczV7FQ+WdNNGMOzBA44NK82Dfl7r55tizfaQzXoRJiZux
ajEOeXmbHfLUIhHfOv61ldfuFnTKpq9VgOUYbyMEjCwg4ImRi+8EizfJS2Gay7GjFpyjFKgYerb8
mbW8PcVcN+RTg9mJu6VkvuGi1Kl6zrN4IsoYBxWvcYC85RfJmT7cauePWp5YeK54kzST27DArZSM
NF1b8EixIqf0ACda4Gm3H4lOQrjHgVXeZaaCM3LSBuHpI99ZLVn2g/ibfUkSsOpwicGitBr3ruTB
P4giWioQOWvPmq8v1chLZ1ruM6UHN+OcliC4aJcu3dyJaYXmgSnb9pzrxp3vwyKWUs60Zm3uTa8p
8HZuCW9hdP5NqXUgo2sKs40qsQnHB9YrdmfiqhNAz6jOs/qVZNwrHtwyzEb/YDtgP8NWjN+BKssj
Su56giZGvzeDZ44Hiuzd3KSbi9ti++Cl7s5dqzdChtlWFQaIoZk/C58hIvV3aP3fm6L6/JFTrcxB
b2MkoZJedMuK8eCYYYW0eS5yiQ6P4ZquDN2NODMbNKk3c1HF/bZUT+25u8Yq2XC1SO9gsNuPzN7O
ryuy23fsH8D/EDMd/HgU+ngjFeftQh+B7Gzrn9mX4hR0XRWv07geU1ASP6aGEa1QxXisbQWRVutM
rHceGwHRf1PZrM6sWOmO9OlKxB60I8EsTr5wgX+YWnk2vXq8/0jUpnn3lXmNo9jSEB+016I+NYOg
ZCNFiHvBxwoJbJwuFqv+Z45ST7kGWN7rlXeVudYUdfPKwbHNTsm0doQGBq0nuT58CYzuMqHlhNSO
PwP1xXAw2jZLehhJE1Gfl2w26tDa6MpYbMcIn67zBJXTCZ21NMnZZdc0KL2S8ZTHRWaPvWu8ExDi
/Ad7BcEWnS1rzVcrMygrGhv7u8QQu9PT3toJrX6eKcJ5F4J8+T6FeYnFGbNxBOJtINbl1g/+okgc
tmlhQEnwky8jzWgoL+PYs6BYpocOS3GLPzJJWDvRn7AHTLbkHP5rgxlnxr84WMFDwwMLUd9yWpe/
XuKBfcM2oHEn1LGrl/2ZiHY4ESObGXWSHR+V8C7IEOJ2RExGPy21NjTXMjcItOFfj0egxTIe9Ezc
bNarE//AL5WN/w7d/8EuWh4efp6dA6GX58Xh5Qq54ltSiqE7lKzs49kdyD2QEiYCP5+BCsOc0Y3n
nldSVBkkCgZz2wWKJo2WYEC9prRouyc45eWYc02Hk/Cv8WdoPONEVG84emP3JfXX88wFH1GXrMN7
0S5ERDnrVE5HA5B3FgZJmj9S0oTA5800KaOGoz4m1Nkk7tdd9+l4HxRoEzWC7kAcMg7m5r6zMUKy
mPFAAuEu/yND7a21djuZ9ktu2PJKJZrYTb0LDbuymkOmizTO29o4znRK73pnkKdGpTqbC6ggeul8
/yNnjRiaR1m7fClTsuEmZRF7r+zzEF39a+KMxuPkOyUWLKzqEXmS6YcjvfGRZx+uT9chW4ux59x3
LKPAiEdGQs0JEVuNPQuc8LjXoXAHbnPBBYBoQaIfC1k+BUPspcaGRNKz8tzxfjSCtd2X+SLepAG0
xKEtr96V2rp+wyKVzJGxlNpb69b9radX2rHghdeHlufNRx9c7bVXMiJ5gV9kuznHSaHZaQytZ/nK
OYtbKxU4agrDv223CPiqsuGblrvvv8bAg0yT54419P06g99ycqjV0R9RcNPM7PWmn/1WEKH8VxQ8
UJbYfPfu/tc8uFuSUhdm3uCtWoEf5GRwmBcS7QYsvzP+mgzPk/FpSZ1Pf4TD025RR+6DBYcSCfEp
8J8n3+UJnzXmYwoQLoKGc+sbMnmr560fsE584E1bZLxiSNeuJpNDzfVHbrxTI0woO1Dz/iM83he5
O5zthudP6CpdFId/y5GXNCKFDcMNx7upxfXh4Qp57oXdXXWdjwCWtXi+cN+z41tEkUQLz4VXt53h
XE65oz8BoDHQ3+HTvgylqv5D8tzbgg6RLibc2V2T45EWyPu8sGgn6YeUE9MyqRBJtla85reTEE+Z
158i6eVQqKMA3Bf+nEtPtWqM6MCaH51BKJZPeimoIl90KulMLXiuTJl+dzIiE7smTdJ5x05teVjI
Z1OUxI0W/xpS9ySD92zyiv5LUh2J4H7RONav1L6eBaUxO0cM0yHNk+4e3JD5UsCUn3eOzQN77R3j
TlJekm+GD/+3LDvPsvauIqf08muendrigYKEwL/0i6ZeSqHpN3o9LQcTXmnA8Cqte+n43sP/mXRX
0h8fTdNiGTqbA3dp2/BYDWvHx3/ty4zs1b8F3nFnpMUNG34oJv8WeO9FDdtJ9Wmxm0t5t6bSLiCx
CjMmjzQ/6auXngubR2VTZct7tYXhSfxyUFtdev8+EvFZAFiD1G5OEtd12v2k8dZNof7xsp/aHcMO
gEgIdQehTb5Of0R91WN5Oo2TrmJUzPJaAGCUnOwN/bpd2+kTJSZqDt0ZbmymTXbk9vYHhUS7F2Un
bpxl8o81KcIYJ4s4TJLIniWwMAEmm9TlI17P9hY8EGz8J53z3XXfdtN+gPZ6ZJ3psaXRsoclK+Ae
bUH7GS0jSoWsL4MKvmmjYcQ8nMgdZQ4VLFvqPhi5NazCzOK8s07UGPp35CXn00RR0dnVvHUKSYWR
VmPqGDgxRuyb+7PE2XP5COPjZv3a+LMRj4i3+8Jf3mjJzSLTpr8g8QvWikZSsyvrl2cSc4Bne3gf
H2F9zbf9Q0aBXDT+kdhvywZXZYA3LQPIu9tiyvADW86y+tq/5pW9RIwK63HpZ3flRSaHO99r2QMb
QVXtfgryLxkvmwInVck+ayyvNa9DFka++SPRb5T+GgbteuOUK/+/ntxLa15uJ5o3QnMsnwNpfrZS
HtbUl8a5ba2bVe4taEjuEBkFjjFl6e4j+N9gvt+bRmkfJwL7dlo8rL5gVLAdGL8DqcI0XW9JKFlh
VXQvmO2KOzcdAAxSgNN16jCu9vjlX4wASzf0vb5yQp7/BAqog6K7n4bunr7bCnZt6/NqN7ZBMKu0
W98CCoFcnZ26Rjev7VH7bmvecAGjAomO5z/K9gYSoOr4s5rwMEIevB6FmE999Zsx+7+y9T/J1gYQ
vL+TrR83U/7/7N7KVr39nAFA7t5+4+/qNTo0yXvXoXyHXYq7hZZ/DwHo9i8EAEDAE7NGa9q6XX8P
ATi/BOjMeMUtFi2Wh37+WwaAeAC8FTaYLoK4C8r4/yVem9Zf/cgYPhxT1w0DMzTonA9b/k9OWU54
GL0BeEHOMcZ7hLM6Xu0eXFm1lrEn4OKA9DIfrModD35rgzMal+DkG36GpNFOTxCY6ytLUoFKR6R/
LEnUOVhhOa3iwil4UTdZXKoUNc862kyVYWLDdQT88DwN5R1HQxWip5J54gAVGm4BgUjaAZ4zVtyM
wJzxWc2bj6qBESOEuWkDaX2DXCSfGovdpvSUvaMgqfqua0O4+NYnKFLvliDCDFzmfsGf/1C0rnPo
JsfGQlUM9QONFsOZ4b67WjwC5NyaNeVp1sp4wHvyeplc71RDrY2LYlVnu08wDcvBgi7Wru4u5cd5
w/rPhCoEZJpF4SxYd8/dxoDWm+W46r0e62JjpDqdc633/rGqzAdB7CPcetkudQmHJIH3WMzEW1Nf
mdgSy4Ucqp/sOQHVGLgRGfzG6KEPllOYk8QmCtpHfFj11arscu85mneuC/KlScsGa7A9sZ/NdGZv
1lgG4VTJWg5Dz2PnNDwtl+w5IIT7aaodFwubN742BhDgTHbBTl8seC+CB7ceV22GFzQC6W/oVyM1
Iutj05MUHOJ8an0NX9dseGvYVgOD2cD+Cldr08o10h3iIdTJq07xkMdQRr+nfxOk9AlgGuowPKOg
ddOh5kR8BAgxH7y6gWjMYODdznWjHjR2yewTsY1mKgRzaZGHSP+XvTNZbhzJsuivtPUeaZgcw6IX
zZnUQIlSaNrAFKkQ5hlwOPD1faDMro5QqCWrWteizCqrUgQJOHx4795zY8GmGcl7MgM+10gZNKK+
pE+2FP7h9FKD9FZpK0CKKsQuVjVT01yUSUawGL2P0gOyQqdaAtlZgqMrpuLgBkXnNI+lGYhTM1Vk
84BILGMtSdnSlU0yXAddmm8Lcorc8IiPWcphA9hZ76etPVVNh11sNEcObjrqthuNMC6PODg/yYie
McO8V+ZGJ/lUxXwBB6GDugCXNVb1Bl1W0dOK1Y17imXqelD1hHA4KWoseeTfgFHS2PxxivNnyHrb
oqYgLu4uSkWcrkwkV+Oic3J1kRroWqj41C9iCme0KNKMEzsfrVoyk9QIiXEy3AWEZ+WXJFSbxjKv
Rv04ycGRm4zyILr1OqKjaiCOPdBBinZlkWlowVwrXA5eT98D+VO4wFCo7lNK0ViFa8d6qiPbXKHd
Co8zevnokKq07lh2lg7S0GHLF9AvqE+LdQ5Qda2KbNrFY0FnmjinO18BaV64SBlp/dIHnus5RrM3
kyTY46MJKG642rAAfk0dKOwotRqa0aGDNziCd3JKKdMiDh8XBrK/daS33QlZcXGFkDncurW9iAwp
jtALw9sgq9QZRFFwKzXUlcd/67iKLu7GLxZEAwAIyqf/X8e1wacSv/yyFv79N3+vhZ7+Bx/BIoPn
zYZuMZtf/l4LPXcWcjmY7vCWzJwPVrz/VXIZwEWojfoWX0A3EYD9YzHERSdoN6H8Qt/umI4v/hkl
Fyvxz84g5GKWwJYDsQQxNhuzWeb101IY0rhhq0e9xDT7sFtmqY/sHYa+f25TK4IXKZriPIUuwQmF
QuXqp3v1gQHunbEGSTOuN8/g/jApIVybv91PV4e1ORGdoDh6IohZu2PukJRnZqvRjfPdv3Ap3xO6
7rI3Ie3m10s1VsLhgcIXtuqGWAiT4jjth2qNW6n+F34Vt9K3HIxPDs6CXy81GSpFxmN320ypGOPE
VK+aDoB7p9x+//mvmlV2Pxm73m4g6b+6rVsMCqbYXy+FgqpP6VJ3W+gu2AVHEzV177wqyZINU2Hp
lhZZNYjdlhWi2+XnF2cMfnDxmYDDKMYa8e53dioCLlt1HTwj26Ger6J1YVAv+/wqv48R9mqG6aIB
cyApue+u0oaehWQo6LcNMX0EXpkFnRCBUkGukyqnmv755d55AbmjYvaf6rCATIbJLLz8eUiKWpqU
ZyGihCMF2ChtfpDR9OqFZb4gJunMgRX5hb3s99tIcJUJc4Yt8yymfGepDKI0GTyLqIdE57hF3CBt
O90v15//rvk2/TpSuAoyTWhaum8La77NP71qdh+QJFCn/daKJYHtmnYe4tpie0Schp6LL37TR3fx
56u9e2g4gMlSIHV76wEtXgRkBoSSAhIwmrm/41NKStPvn//Ad9nq4u3JIW0lEJozOwPy3VQ2RuSi
wC8l6SNy7KNd2nSbyWbYA7z1duS3pKu+Prly9JY1OsoXym7eAQbwDklYuZW9L9fsY5AqDm71p1KW
th8dNuVm0NU3c9QKgONwaaT19MXEZHzw/C3ddvX5vPSm3P31yXhtCKgJ/dM2HtjeLWyqIu5CKSHX
BHbMWXsEY1RERq4s7h59KGU/UfxRV+BEq0sXRzMFktA/Gqg5v3gXxIdfjfl5fsMF/3n3MiR+huML
LC0uwgg4ZCRWcQNKs6Y3sSYRuP1GFCjK2sEhTqCk930gyKg5xzol01WuOPhIiNHowcDNADFcWPh4
VkFBqakww/Es7M3m0nQmbT+llKNq2ZHF6c552mQ+3PWYeO46KONLHz/QsqEYsCF9nWaY1XjrvlSH
Lm3axaBl/bID2UQkuTiL7PRbP3jtZWrTxRmtKd00Vk+pQ+uO9BWnXR2zkx9tUIoqyAC/wOa915pa
blH0anPS4ms6WqcOTB5I0DDddU7UHfnkYvP5aP39BfEYsci4BTgfJN7vBqtqQ9GLYX7obXSppVQ5
Y0/fG7G67acA+ERPaM6/cEUcIgDJQYkx3/w6zPxGSbjgabdtgmBvgMHLjPBPv7DPGwu/G06Oh8+v
9/u87aHoQqiFhn22o72b1loElAXPptsmI5x7EzDIPqTGv/aQFa4+v9Tvw9QTqDtNHe+rjt/t3TAN
eyGTAXP51gfLeFZqtbGHFeR+cQM/vArFDLYpeL+4h7/eQCLytLwbuIGa0+gcUl1f2+E3864+/zHG
bMb+dabm13gGnmlcoy7L0a/XSfGuGU41Wy6VUa6wMqL8UDle+xYFpR3QilUWA1/n4HJovHusQduS
auVX09JsF37/NdjCkBtliFk/8O751TWFD1KGSY1Smbse8GVuMOd1GxsOlLdEqmtDliG6oNHLH1k5
uCd0btTfkQtf5NNkHShdBl88AfPD7+S6lkeRCCLe+x1HaGsaHFir3UJYLfZ6QydOB982FV19GbRV
v0ThVj1muNOWGXDMYz/jKp0YuqfvoaJxi+wHAbPyMgU/Nk3DU4/lFtVGV92MhHMvKghXOxFGw6EY
ySDRu682Fx//AN9AScqWnvd/fvY/rcKk9fj56A3cVJhKYUP9oh/s8FvELLasajdZBS1N+Nx1Olas
Jj/gdXz2Yve2bRx/36ODXCqvkZwES/+6nNzy1rOnH5MIioPlRf4GC9kImCvRWCu6bINXtPpiSXif
3sgqC9Pjp1/wbnQOHbjwsBxb1KtJeAgmvzjgmihWiaavurhhku8JlUgSfY82XS7bCqHG5y+I9eEo
8PFXCF5Gw33/unsjcwkm9nYObZibw5knvrOtunLttoD6pL+UmVT3rmlEf4JT6HoZLtF+RyvSogAc
he3GRMexahwsK6ToDNSxTMBiERfcKgEf2k5C48dYGAZTpXvjWula6Akmas2/h7FOuo8U+rkmjGw3
Icp2pX7jjFyIgBEsjXilxRf3/PetG5Bv3aAYSblU57T066ARpkfqccKEUMNiKwKSZJJspU3oUcpJ
WF/sEz+Yth32wJw8Kc+yV3x3okCx5BRAxNptFRavCLsCVm2ZQMhC/vz5c5w/6d0Ew5VmkogNUkR/
v7EHwN3DwhaMpCa8TQ0rvE+yCZ5YPnKaEGOKrFh3NO8QOGR6fX7pD1ZfB38UEBiLhYmN9693lBIb
5aMEhlLvjo+AMK6UW58IeHrN3O47R17niwXqbe/5228FkIhliwO3835OJ1igVXHMkOUYXpx6i30P
fqfVWERyaZFVhQH0toxBK4ZjxebG9uKlbEOkIexWPv/pHw4m4disLBbUmffLctx3UhD60yIXLLuV
XrlIIHHwo04t4ZBFyevnl/tg0XTwh/GYDc7eHPJ/vdMOQYZzfZCHTMdriyYtWE5Q4r44I354f6HH
2Ywkbi8ut18vk7RGiJ6uareckZsl8Er0fgVUYifwoIoBY0AYhL4BuXyG5izMEb4YGbZ/7WyanK/m
yN8P5VBWOBVyKLddT7x/XwdMA1PUotKzJPmBoD9wXDYT2VQjGLuccA/6mShB3M5clGmvf/FaGR+9
weyGuNns2yExvZsuOrJ2TKvQ8RcYdvS9chtNgOQOu2NLmRWNt1OS0EZSEJ1JbfRBC0lwhWKlJxUy
lrx2o3Q5aOOACtkiCsXsOvhbxDO2L5+PjA++puc7xErz6rPPMd6NjEjz4lEUTr11IJ1uehuHsk1l
Hj+IiL+4JR9cipaPjRyCRrUHZurX0YG8BI8Slu1th/D11bZG93oqopxIGkf/F34We1CMXc5cUvtt
VquKakKbZddbYcbNNQA0Z1OObnCWNHNH7R+Fxqu/Zo//QIx1Bfy8a//rPz+YxLgSZRG2iEBp3lcq
INeGCJ24Umxhkgq6orqhBm2uWd2oICtMjnZJ/OLnF/3wVnK+ttGOYHH13z21MNRJ2otEvaXELpe5
UDRqcFesGp2kgc8vBSub5/Ju1mSnofs+IduexYz163PzSIjpw8lgiNiNXm+ccSRUEovBMK1ACRQZ
8oPWXDnsyTNo93LQNpwce7XGPQDPLvcEL1dsUWPcB+2Y3ZmVxH1Poo1H5GNG5NECFE30XA5kTqWE
obebMMrgjraFERPpwk+yZtENDBJfisFAKaZb45nQIn8bQwCY1qXdEN4TppFx6/TmZKD7UcLcJEau
nLVFzoz54MOtzX845PYCJqk4wURnKiL7cA4GaCLsqqUx7jPCPMg8jI2cYHm9Mg5oxZW2BX8s20uR
F72HSKsfg2unBUWx4Z+1AV4A4YWKJpifokODpxBeeG4BXrknWyrZ9KLObiSZbTB2C63cGQ2CXAR9
jUnaUoTPC23SLIGFSrR3Q9TWS68vy3QzovQK1zRPiuYc8aOLcM3xqwH6Xzv4gB8lpgUyJvD6neXI
+nXqDnllrir09myuYvzKzy5m/JFOZKcgSILnvMFMprlbeAbJeDUELhq12EaSTMae7550WKBEhI0y
7PdsYtWm9pQfb2xCEUj9rMJpWhLe6W+LhiVqnQVz+Y/4XvozNWqcb2D+s6XK8tJatqTZGURyV2KX
e/01dd5ND2rpnkCt7CHTPP3UFQ7Mohz0qTYic7Vq/9hn46ao242K3OJEnOlC2hFNREghWzQgAwHe
ab4Je3mw5Igsu2qfkxT/ouhhEveJsjaAQl5sSxvWEmAC36Fxt8Ay9bVvx87WRju3YMc84Rj2w7PW
rtR3t8PhD2oHs5grn6faETtpQeORalyIOLsDoLd2NKe+En7erImXjDHxoAPt9dg48/IsugD3g93P
hcLUxsGdmiyxFZpxHcdYHqBzBPvAt9OlStKeTUXrLjNWiVXbutM1rcx93dF/RggHl39Kj6Q+wUux
m0OqFOnKeop0t0N4nBDaBRMvJa3aQrvEk70KPPsEgkOtjcGL8E430xKhVL8KTALx0NjrJ+ICq6fC
a/XzInIRInc4MZTeNa+OVhdLjb7ZyqNgvXXLUiDbgFbg0hPeW3ps7tvR9dYUKQ4m1Dp4/cYmFeND
rvf1QxEHO7y0N3E/PgBcKdYDQFQ8xcFDTtQYUu809/ayd4uN1MjanYR2m/pecGgDi2DpsPTWemJr
PIfZgZn4aHM4N5ziRpNXddigB+vV7H1qz4kHcxeZghEzaiTk1uA68efFeKRzeEowa1/tFiX2GIM7
T1cpjFGMqX1ZF2AFF+w0G0guZeyTv1l62KVNBs99buqWWrk15wgWUyaJJMQMXXHvL+uBUZYQA7zw
UmOv9+EIXacrydaZvDP+S4mKmtsdCFOM7bk3DuHQPhJC5rZ4IMzAHtLVBMDrUTOsjY6nBJmVyXfe
uppZ/qncKa12VooAfJV7DTb3sTRceLua0yVIujykvBk2cO1AeVZvKdLW8a5puFOLLi2y1YTE/Tai
qn9lZol5G+RFGu+HxGnWAorTpYGVcYOPDQEjoV3qEMWt/t3RA/aT1HertTvp2VnFIvsnyrjQWWcj
yUbJgDHpXKnWubFlGrz6FPd7hLYOzuYqkPpqGj31jT5T/tpUDWaLMW+NJ7A6zYojGp3Owqwe4fwM
WGzacduxY7n1Rjt5RJsHnwsSM04nsz4AL82WsSpwRBPnc08VjjYIzPRpBqExEiLLrx+Qytd/1hW6
glRp9YNbQy0lPbZDmg3oZhPjk7oXJdgfaFkDTpNA5N2qn1pejszUBGATO12FjiOWCRuuPXibdOVS
Ql5zKvWbTcq5Kd+Rd8e/35FvdVcHwwxUErGBgRZ/cIyV18YOn9Ma3FfEa89jUBsOoZ9EN3pOM790
gbVsWm6ndgeGh5/ozrzIsxA/7y5xUnknTdUPF2EQhMfYq71VqVfTRdkRr2pHNp9qVfHW1mPnRnao
pBfsROqDU0XREbpJ9UTpzlxTOBPHsOFVJVs8nzYTRorNUGJH2UKmCI+gAaSLqiMSR16impeKp0sR
vj6kuW8f3SiqvjcybMjzaozbNuZ+x0k6EjpWjFsv4qZqjT2eaQzN6won0nfSdFHiFs6Ewiytk3jL
nY13AsMN0x64RaOxa6TZiX8+ybb63o1V8yAj7uvkuvWf4JKxqUw9WU0LEDLBgWTGcdv7XfviD604
2lNNR12WfnhUsYAlA4QnH18gUtnYUSCwEaGAoJa033OUNybabJ8IPy3y6pognigpmKF67AM1STa3
lTGKYyzK4FsFAf/SEX355OBvWnVkYGG6gHRnYFVnEyl6y1yH2MoPI1nKqxC+w1mT8+MJKVHfPC1h
XsSfjciRvwY3EB57v0YBGHmCHXihe3QsrDrbN+nMk+p8ijirOB2CQ0QEQLwIpO8hwhuybpVMVdkv
Jt5zylhFez+OFK09V7Yvbgh6PAjGbG+g1GWU91GF0xhM1Q1B3PLOBvRPBHrJl8yEnp68rqmerSRy
bjR/qgmaL4boODp5YaBCKpqHrJ7Ulee0/Z1eqfQUz4/bxMx2LhIjOJG8zoVSbdz4rounhE1GdLRb
7hpS7/EKl/r4qk9lvNUU3tgFRfvgBLDK3tegis9xYfCJ5ZSe2LKrbz6EjReMIrZ2mBpK4msEMeOr
W1HmWwZ9FJQL6i3IygtHQwHuaCX0MmDJOXBvzQlOdsSRC0cubqd9LiVckahnJE3YcJh6HZuRxpwV
HbM0KVGG4JK40ojHxAU7ZrNVpPUiMqWt0iOLou1eEf1wZpJ6TlZYPtSv6IyNOzsEqCOH1vgBxgSa
Iq9ejW4mm15LM6mapWPCt182ieh/APQB9xBAMdppVcVtwZbdtFtMjoibHLa8t5OZwWDudGYz15E/
VOXV111QzNRps7rs5Ai2I0HJbHReeAwQnWw7v/fA8nmA8hCvAgRCQrcn5Le7r+O40K8bDVSI5ECZ
i30J8+yVHbV7wZk42FR90DCJOaZL3bSzehrClvc0tV53GeQISWSWyZ3t5Dwals1zq7HTHuJGGF85
dlttqsJuvzWVhNE1Ra9dWPI/tajEV4GsrO+kj5BpVEEcq2xIaqaFw1hIy9ka3K8FHU17lXYN7yFI
wvFk5I26YhMC/NlOgjszC+1lppU3JGZcSJcpESZRzFkGk+IAEPGypv5DIpM8JHnVcNnUOeoDRDFo
ecwbqNe2So+1C+UQD1pg+L5xArPc+wr2NpNuPi2MgmZjTbLBnqD7gxxH8lx5Ny/0cGjOi9AtDoAJ
0KKaFltAn/YfJdRnXwCrS91CndJSWi9k8x1qXF9MabB1Jws6S+EYFTkf9plSiX3PfpuULpxb3/1h
7jOV3Saisryv8e7SLYvYkMqETAtPDeFJL6IBpHi1c0qscv6gIdGO63JH5N0z9b/8Mc1dhNBuyU0y
MUsw0XPCWbrjiEuOrM92n2o6gIxAA/yLS3DTQk47i4yeHLdxGK5sLyUnMUnam74G32ENfnjqWy7S
i8C96gFsLShMj1idA/sZaJ5zBzYx28Wxe6cSHeaKDCP2gWzlCBcbCR6Ph+gi9ijclIa5RxxnfI/0
YCBFRNO3nWlMKy/urdUgeRnbChnbgP9+HY6jc8bmwr5PbEFAmSo3vE5MwGXC6TR0an/rZ77/CgHE
vFeVbVz6uT8LDXP7lkiQZKnYw24Ec9dZHrTZnSFc93qUPCUhoTFvXPaFiNcamMFIEX9MtJpwIIZd
fFknDIO4yMKY1LKiYlqrRuweOTnaqiJxjgYC1mPs9b2Ll91E7PyckAtyCIdi16V1hlPY1s7LMVHX
k27ed2jzNryKhGZNCRs1PEIARvrL3BbBN4gabDNsuUmZApNF5XXxydObaUXKrnfWjjNlRY/WkchQ
cVuNOOaVKMtlNPgGTYsMj99YygtHaCw7uaelvHCk8FShIiU7sWZLRQJvc9E0BcfSjLjTinyRQV6Q
4JY85KbtbIVBAZ7SWsmKNVWUNPpYU1d+YNXnI8VsTnUuPt9F3yTpwR9i/SRc+9AkmHMC2S2l16YX
GU/5rC2ggrZ2mdEcxe9RDG13Tt0X7Hyb7Ayl+Q8+PVPOOc9NiaIvj8S0rOeIZoi8kbcAAWc8gBls
9qXpfjcm50eAsP+JHWv2lJGix6TVat/cDCIn5JJw3bl9fj067Fgy0vZoeoN6x+IBIpXtkNpBNpTx
QbPKAXw/rHtgAMRlsMbYTnnUyEqHLzS65ZHyTUkcAn7qkjZAxiQEvyF5yvOkuDZrL792YurIi5hQ
3G0SDd1L1po49tskeiEbkBxcU+MDa1QAB4GZ9mYEeTU8NOx4eG4xhxwQbSRWSM2x9lnlsaL4qnpk
taR2NmUGLsmQguS+DGLzlv0xJ9M0j+xDmKr2BaBF99L2LUWEduzz19QuqCq0Uxc86Vigv6dvbLjS
hqbY1ip4MtOGQ7gdxBq6zSloXzSBJxCjnfTd9ZSK4ibDtshDitRQbtywk+XG9gcqGj28JdJSzJ4N
DqLG8iZyeiyJPpHVT8IQ/I1fKXyGbuITZGoXOsOosDCrrmTLt4QRiFxqVaDScjnEKC6axHbRnsWT
6Dg36oU0cEsiGw03bF755EnzVLm3B8qPq8j2Rw0OybwFwOvG5oXDlH+ewMwqVk6Ts2nNAiheUIFZ
6paZ6vEtNpKgOiBEQF4Be+avZt9z1b7GgroaMDg8/XUzBU4RMDe0J2O4STrKNNeYVLngPFFuLV+E
S6z+LRlMb0UBNOrFjUA/VmyzOKHcg7Ig5oCZqnRXGVSBjmaNzXbTiUmcjQhfbwQ5HBWPkH4ruTI1
vy91BfWQBqNictaiYoDSNCL8wGXSyVfpUBvFiwi9+cLRjOg2HaW5LXpoqznU7evUJUVnWWHDvQUc
2I47RRk+ONo9P3pnStSblNptvjU5LDw8Z8Q1Rv8PXghU4Jh3l9p/NK6oy3AXJTF5HZOE2b7EnF7i
BV/WPx9b2f6IAY7Ah+gbAJ+9j2MW7GZMXHmm8/5gtRf6tCuo/x0GiOnEVZUdOzoR2VWy152GIkpD
byVhconJ9OSd4sDNIsz6BTlrDswtiCOG3zzBdj9G0tKhzrOFzNzCJAUVbeA3A3jQmkQT/UBPutkN
eW9d56GnztEyxXcE1Q/fELnLv9pg/zZlfKVBRa71U+X0t4C7/yZDqiwoHv9fvh3KUf7kbwUqBdQ/
EAgKi6MG7wDar38oUGnr/4HozEERgtrN1x0qrP+rQHVRoPJXHtvEt/+HD/zbjmEZf9DQ8cg6Rhwp
aOz8MwJUlCe/VnnJdxR8r5lkiCPD/k0uSccBHz1hRudGXGWqho49dDmxWJ5g2oDLKj2MFth1u6kn
gCUnB+6+8xAurFPgsu0tpIRuahbInxiUWZM01YDuURZ15d1A1sHGBggJH/9bcxamyMa2BoZ3Ufgj
PLxh0Aj7QTqXy33TZznv12IipLarLooMnTpwt9gDQupVxbmYQ6pKLZf6HvvmeDHaQXCbWHV1wCr+
oLWl3A6ldAmEV/6KUMzqPMnJ3mTb0/P+CWoVhLmQxRdH/TAThmccL918fz2Q9T6ssmZiGXMyR50m
ksyf9cqcX8aulRcxKazNGljz0C8aCFnYviwcqNtCyWyrZJN5K/D38R7ebD2npBHUx6Kjx9ta04Dr
O9XYQW9JYYZpGZWRKLeZEoNm2CQTdWy8ywUfPO/ImQJkANYORcEjjkzjNDhRISndglWJ2lbiJqxG
ppo2HCdoWnmDRa2WDx0n/LtgKpngm7DGkqVKT83J24IfSmp6bz4EOMfOB5rm29akhmQbqVw7YVVz
1jSa86EsDTB9tjus6SYyi3H2FXsHscudz+7sHOQa/e/4jUcevbHJJUMdhBscuWvQJGvzjWJuzUBz
DAhzNRWwANq5mXgu3ujnKHUhoes9WC32LfmunkHpOEVhppszPn2YQer5G1N9NDv46izHWAuNGbvO
yUR/noTBAiF4GzdpEDdrnVSFZyZ+knz8JgfgXqrqxiia6Aw3avZQzqD3QJcQpyqOabtMAqVdmY17
pB4BHH7GxAN5dBH3RUixlvobST4MM/gt0KCg2Tb+UWFt2IK3mxnHYOijNyI9fL70xsksop7I4MEE
BNR7D6HJ3Hc5QHtHuMETbwOU+yIx/O+o8TC+jm0n023Y1ZTysrjfD03ubsyMMOSFXwTtDXHPf+p0
QjhEYF4M3hj7vAHxHliJBTLvjcIfzkD+3OE8lEbCe/Ro/G5lGzkBFobJIOtQ0uXAFwXbv4XyL+ys
uaw9ffqedTnl8joc78DE5bvgLSFA03SIaSBqLAgSsxi1VMVljQJjWHRvGQOmjDF9z8EDxDCW35wQ
n82g+cW+wNd639UZWQVERmen1Abp1FLv3AL33HalxzjkeMMpFjcVMZk1xcG3HISS1W5gZgmM4IyF
Gi6d6KojkF5/g484+wGdd9zXmGOgWtXJXJL3F0XQ/ZlALl9ZHK+WwoNhDtDDX5a2+Qwt5B6EA7Ld
NPQVfSKT3MFVbZGNkgEm5+jXO1cD7OGQy6aCwPvmry7Zv1fFL1ZF9NkO6ql/NEx/WxYvfwz/8Vg2
6c/r4t9/9PfC6Bp/eIJ1z/VQQwARmv0Xf1szXP8PF3EKinP2sLOFkUXr/2yK2AdnIwHyfqTGc1fy
74XR1uHvYnn0DQuG6puh45+A7HL1n7ufOB7Z6dHEtxBs+p7zXhdu0JaXuh6We07amJHTIhRHq6Hs
N2XDV0aMuW37U6f17VpINN7QwDbSw3cdctmSoQLDsti7lEYvJzkalwn+j7uRO3Be1/+s9me+3gwo
BmLsokkHMf9rZ7fRLNNln8z1coNVcMD/F4C/IwanU3Ndqwsca20pz7gdwKjd/jQOrr5snM8XR4ri
kErE02P78+7H1poOtwd71n5quu6FDQW4qsyQ3vnI6eKk0LSBjte/kjt9cIsFd4sIHJw23m+KX3bz
STN4br5vcmOugUXdiyQTh6U8piYW6oCEP/+Zv10Q7SZbOAYRGDp8uO9a9URBqArjob+LtKA8cz0y
I0c6E+vcs7QnK5DO4+fXM94JEmxeIN1Ckoc+kJtrvhfhjEgXpzBQEumiAoLcs3ybx2mqdcmWzmbP
NfaxcelltGXcMTVONeDZO1JKXPIR0ZkXi9Bt3VM3mua8yxE9YOYqas8N5auH0fS+GAUUiN4PeldQ
NODdpzNHOtJ7AUWR+16Y5F2/Y38a2rdazrbnrA0zpAZhSWkir0FvHgxEFBmr2pzBwDs4njQ/w82p
R45zeKvH5mC9nkMLieaCagFjqaUGeZZPnnGpAD1FB6mboHXe8hxoBnIfSEGiD9iDwIBU3cSkOozm
5G0qTqeXQAm0Zt27enlWaaM6GZ2jrgJ4TUA2CdAS3z1pVRwSccRLUiNqAK6NJdSVwyzhrGJPpv5M
YdIQ07FbONX0+xlyQYI1FTweyNGZ3RMZxg9GKTwW4nfiRF10ti/ta1WMw3mhR4SNOIJVWKLcgzY1
TwRE7vCeKmpvV9rQUWFKa5hIKqirx54uyuPU6NbegXVJN1nK6tHLLXmlE8mcL+HeMn0pPfHXidGI
Z6/RSR1tKJ8s2GxW0JA6ddJqzbiFckWNe4qJ1fAB4e+L0VcQTTrqLJykKXG1gVCn3m74pVVqgzcj
B7ZeEhlAKZnSKLsqbxDPb2mn3iS5b41t3JLmOMIzqP07+r/imda6OsUhTtPaGoS1GcuYcAxfkS0B
mzhQp7/GapSElC4iC1PGRTzXczgxcwpHblU9mqNEatYOkoKT1owpaCN2iPk+rbUal4uDDvCN+hrd
R3Lw70ApUNfoUuh6a8SNjBNZOPZz2XrVYxRWvPw1FRN/xPRA3EBCICZ5A8kCF5m2tENVnjVk1NK0
Avtx1ffj3IZwTG4pbzdtApVQF/krOEP2czqcHxl0I6O5WDhU828dbD+jZlI2u7f7b6sOYkbv2RBW
XRdltBa1y7rw9cu3fwdnPHHho54wb0wRQglZXaNVk6sh9P0NAQoM4Gh+PZwupT+ONiMIzoxW6tVS
tkNPS095/gkiodGA02UfSphxBi3zkg5jCwAPSqGpbioHhRphIqUK8OcmMF8DnLcWkOLYgClvdK4k
SznXCF5piabRtqPeJ8OqpqsUnKqqEORrl4IdcBERJnRuTv74iCtoeJGoSsChU2WOr4ZRM4f7ltsf
EerBOaY1I4jViBzoJ3lSowGbUiUWUnCf21u4h9FaxVSLAw6HG99CVRTVoESsGlCRl1iXwitp/ECY
CvxRndEKUbdO3lPQrQBEOqY2EnVCuA2gcuOh1c16VUWjs+jIxDtqGElOA0EVNCYCKZ7ws/s246sd
8O/4sTqTrkYXxitDCmHAPhG/QvbwQPC8kFlhXNIidw9UEJ3LSi98qmyTTQezGHIeuOLsuZiSMN7O
6rMXP444TrZaH8YrBrd/sJHi4N+0ZesvSIoL7ixENAVeY/tbF4X00Jr6uTDc5DLJEMvuaoROM53e
YtDBFmZIjSnyv8jgH8Bu9erEMsdYNoMiineOFrBK07XbcsSoHoXR+Xf5GAHhd0MPY5mQkgMtXsE7
FbG3oNRfPY4ol8hMSodnDorhXcJJ/ywvzfQWFXlynzQTL5Y/Cmsf6BygY2S8OKV9BM++HxQrltHy
1hFAG2IO6C0/I9wYFnKvA6lMun8/tZXxlDeaNu2nyO69vZU3E9Q3o2rVxmpQQh0c07K+T6EUzho9
2CHzq+CcCMDwqqE2vCfJ7Za+NrTfrnmGOz7P/rFx1+Z+v0p67pPyE+Z5NCrxwS8r86nXSJFfZtGg
X1T+4N6YDgg7RDPDXli9JlfWUBtL3kv3zA7KxtugYyiOqqd5v5ls8y6PvGpVqhaZkMwjxEGjWSPO
BNYpF7kVEBDoavb3zLD49ytWrOabiHyTKDNviDGikPZWbiYP/fDCDNMeM0+bauc5pzxuXU4s89SJ
8AF5TbmjruvRsrdAy/CTtq5RNekSKUn7WCqPvUjVzbxHnFfL1JA81hos0TrOWnjYkZ2FzWXjteOe
cBTvUuNsdNdAVs1XGsDbFz2jPikCxNMwACYGTU0L9tSGEJ9Cpc1Dqae/vgqj0riEAsJcWuN7axeJ
z+dI8nm3gOD983bg0SwzwptD0OMEpC9chC+LuEKVjx2zYAgqK/TPnawCQhSaBApmjWx2YySZB6UI
W5JxMQ6c+1UGk8sruXLCYpLDCaCAX1lc3hFDjQhpZB0vGy5sBZP9PI0JE/7bFOhGdEzXrjb3GcZB
z6KrGZFcLPpqsM/JOtBBkAtSXxqiyV8KCLBgbLDkOKystXh2M9bHFgUT+SvouUhXqUuq9FknXHYM
I+ea7V9fyygEgVN1RIPvEGgay5dLI+eszppmJ0f6152c+wr/w96ZddeJpOn6v/Q9uYAAAi7OxdmT
tmZbU6bzhiVbNvMUjMGvP0/IztPWdrXcdV9rVXeV00oBQfDFN7wDyvF7B509feHOboAc06grb7l2
goTRgq2i5tPsdm1K02birrOq5VmRXOSStcq0vPM6rC05LYLBg8RapknHSAS9p0lKRi5ecDEWfY4/
cefr+9hq/E8oGxBYtbLyq7lVKJ4XSOn3HBlO8jDLtdHEzTK48lYRYmAEA+y+RLD9ApVC69ugmOzR
36Kzzz2T5bxaUrkLCnhoeCpO8i4anAehOjPLUguWakp6OEIlS2ZWtGt446UPcgxhzZBZG4Pzob6P
zRvNwXA8r2NljLV6XqPloEi/GVyjPbLze1xS91BBYvvJsbSHvQVHpZzvA8HA934KlhKgN7PMJA3v
ygJoMkdVG60IrIZJpzFcg3iVOI95SLacnC3zgDSyQ7pR2o2/zyAHFNu4rLLdMDORmwMgb5UVkYNI
N7UvCpCgN6IaJvAIKSgupCJ2wB6iixK4xjWvv7trgEWcF0g7/8U0jeHWALia3glHjw6rYwKhdaMX
aR3KcfZ5DpBzNf38jS2jS0/3MUgE8RGIV7YTKhkPjp1gmogs/0YtC0b100Brbiidu9ojxGDUMSgU
fpEhcwoykiGoim9W5vlo2TfxEVBiBfi1m5jX41mwJSp8qxU4h1LfRgtEPfY1icHY2YhLtzYy23ra
AYdAu1dXxwVoKT4CSXy/0M845Byiu7xL5/3iAWKxB+8aAbT6I2+bc7leygtOPkSlUMSj0YgqfQjL
P4nK6xFiKETkVN/auk0eWysYP6nGFTfNVBlPw8QmgVy6szIqmSRNH0Tl3JH51XvXmu1vPqihCyEm
L8s2lRvlEE1rOXtxeLTy9SvSHbwQb+QTPoDTxiGQ0QZC02QEyAVbnMD9Ro+TiSAMsxl6piPRkA7g
JQAMCyiI7trrvkA3clOlRJssACC1XSc4o5t4KdP+gy7mHJIGaffu/TLKO61KjECLhMUAQYkWxGnZ
j/BQHnHitccWTRSS/mlhsoZV/HL3/nV+qX5CQzJEp8BIU0BVOCkPkXcZxrwZ2mMJqCbbjID0H7re
eBl68A4vcRKhdHkNh+9f11TXb1oNXFca7lZAZQr31Tz/TxQ4SvJS5LRKEcAsg+fBqtSx6hes9WZp
mtxNVeu7IEiJxd1kstz3r34ybPC4OIwjqmI+cG7ilHWg0c8vZydojjM9QFTfQwWC0ETd/NW5cMBA
wHhqKMoSk3mjX0Fwf72F/3TsftOxQ6GHydP/3LD7v+Xz5+fq7Rzr9V/5R0mFWRXCYIyraFA59I/Y
sf8oqYR/eEywhDEahnrz2r/6Z47lM8fig4IvSCMkgEnw/9t1wv4DSQQRkQ6A0rRhlP47g6zT79Yk
FfTrHBesEJDe0xZa7rSu1wvPOkaWhVIjMvfrcYy8/uGnNfkXzavTrqC5jKS1SA+JJqN7KpmygoJD
Sn2yjv1KbVs0aBOK0Q5vq3lihP7+tU47SFzrlenpYURGv+yVn/Hzp+o5WNdMIj5qp4lu7UAZrIoj
LnDaIpOiIvkdL0+ckpdefYuxaPdt2nLoDti0eH+ODihd+p0jVYyIkoqpD7tmuGrIHMEhWRWeWmFE
QY3UjkBxakwmgWJwmeuzoJkZ+3d+App4mjiVMbrIzto8U8eoWQhvOlIAP5ZMXdHdjxipJNHZa9FS
cZIjurEYFI1TfSyLMjorLTU80nipL6JJtQcL47ybWIMtAizk1ztBHnuGRW11ThtB77uhrz6C1Fq/
RqSrSFd56gnk4rU96mw/yxJXrLa0j6srimv6KUG4Tck0P7o9oJBVrM0ttUn+6NooX3Pilwe/S+st
rJEJZHk9H+0mRhth7Vy0NHCoUJ2e9066tBtMfvtL6QzNjWpDRib4rT7bZWIdy2Dudquy5mMHeIF2
whLFOIkZUHgfVtVVsFbLR3Qj03FjdzOocRV6B9sAybPCAnm6g6EigZgjDWsA57RiDPw8rdv8IGuJ
y+ocs8+3dgraeGOLqv48wmT+lI9J+CcQE/cuSuwIxIjdRy85MuBYiEUKwGblYvOxAcW0HBSgWeJs
KFJwMCRtQCK88tYuJ9yPAvjFV3KcR9x36vkp1Gu5NQO3neuW7L0cJdSNl+UAc4Vzly6ZjXY82mtp
FwV7WpDqU4Wg5qGBd0C2EwDkXBAnflFVlZ6ldfpFK6zUEug+lwltGjL31U9x5mRx0jourxkqrX8i
U2h9FJjFXtlrzPi3x4/iPKgn29oVWY7NlYWJnYcsPH4dtnec5rrfC50VV6Dwx5eEkfPnwjEMkzXB
MmBvDVl0wRL0uzQOvnSwlWZnVjd1aYoZyQBPgPULCu8ytlBXLYrkMeqtjE3almcWmBAANxUz1wXo
awPrcIsrQbCR7XCZA61GyWJIYLnbYf7sh3jMrZakvQskL20CxP9l0N3Fc+leBWQt8LVmXK1CQGDR
xNcDXWm6Fig005oDhlqRf/rKGq4Lt14/DwupPm/W/wz8t7gFd+/uinUY7jofufB6CO+6Lsr2QG//
skYlbugrwj7Ta3+D7Oq6n6NgvmfMDkjKiSZMKbyPtCv+pK3QuMesCEH7InY3pfoLVilQD+NpHGFZ
jziIkZCFrWvEfXMw4klV+PvAHYHX6hLQ9FU4l3o5h+mdaHpRSWfbG+qnZH0q+tljRk3+2c8I4VpN
t4NY1OcPnspD0mMjUhRO84PU6JlEDqY0Ox8+BXLjcZHRquiwVIuGsK7PKKACSabuJeGBZrWLOCS0
fXuXAZQJD33eZ51Hf2oIDmgVrsndVPj8JHD7CZh4h13QpqlUPX9IIKiEgolz16eXUWxNSOH08ex/
ctsUUN7GrmMLGwQF9vQpBxbgH7oFb/cXaZolmxTPNuuiID0e1X0BzKnqzpyoLz6BDSvuowkQrIIf
ZC4mwZjaQ/kkMRdU21i4mALNYwCwbZlAX0FYYcT/yl3zByEuZjfu6Kwv/pFpLbivBWdCjUdJ5Dy4
WNxCgmNMAgo1DuJ7rcf5C/DmGAE+p24PXkE/pilpbsM+q/WuGEvvvAUndpEt1KoDjmF0EI3qFF22
mYLWg9gJJEM6ByeAeV+qrN77bTRs694Gs2bptOINxNHfi+J/dYzy79fejkFi1paBtU5z9XERXvvV
g/pLTREbpJbr0SHXUbXuxiAp073Sc3OOl3F0W/pZ8FxWHfcnysnBDF5WH42qTrEtwop7s4KWv/Ot
AeRZqMonYVOxgw0PwLKuVXOfVCmJP81rcBtLg/oZ3225+08W+L9S1ANU9FMW8svYliywL06SQPNv
/ANmcqM/MB2FgRpKVJN+kpaFHorqLNLCKGmhbhP9NLJl0Au7gx+XzP4EkEcSnR8jW5+/8hHEMpIu
hg6P0N6/MbJ91e/47+LG3A5SfmiK4+DMc4JCepu+hHLSFZWm9zUFXZp/4yyJ6bXNs2t1w24Yclc/
5SCTh0OvRVlBbNS+/wUlora+wjEUUctDaxn0X9GFFmcljV7TAwjLIl0elV2hbIkQUhuswSaLwa5Y
GIBNEDG2ohw1Nn1ZDt70lhYvrO9NYiPr/UiVR1VVcjijCu7pKHMNewbc15nokUHgdOQojdQWCycL
JdZ6yntc3zSmYkja//Qi/0XqeqIdYsaQkTAOEPyfzxF6ujp4/DiQQFf/a8vshJlElcgUZDRnGKkR
PIKISy5OVlffKN8z/YBCBf3HrUuk5HlqZ06Wx/dv6VXu4OcXBjcFIRnpMdAPBBPwkxcmcxeL2l4l
L2iU+sV162VJcbF6jDkytD2DbC42lcygweFG3YbjpsiXFnmu3G6b4pmWrYY2JEcA3Bcc5j1Yb1jZ
K/ZF5cKr2A/YEpIRqiC2lj1N0S64WVekTNM9XBoy3Q3q6yOc0/cf6m0lgpIYi4yABxWPj33wL0pP
gDBxvi/K+qs9405579eZ1dxVZdysH96/0Nti2lwIcIKp4X3QddRmJ1N8TYwFs7/EL4K37Yh9W8aF
Bx7b5gtfhMy927lvfCMRHPilNWxB4crpjpO2/p3MxNuq6PVOUIAyzQwmD8EvTQXEQ7QdLXnwMmFk
Gdz4eAQOiMwBRJLignwMduq/u8g+o25CCTWnTbfGhKifCxXLSSzZlFJ8KcdONQjE69aa8DYM15h2
9fvr/LYOM09H4PIQlDSSLJRi7ttrubAZijbz3ZfFSfA8/OoaTDLmNe3IvmNUbZa41ME4/g5C8MtO
ImGEt8t/UP0h6J4gJYQqwQ/kRf9lsaEfQWKWxpE8dq2M1X3/GU8qP/OQwGZcSjffZUdF9smC5iAA
ixng/0vP3KOSR0be9WPJXKDDSVniEdHeLtEa29VVk6k6sPf+lBbrU97LthVMggmI8cbGnC76iEK0
FAzXptotrwq4iaE+orPk0Wp6/6Z/eTFGHAsdc0QYHPT7TgOaExV44jLS/1JruHRio6yoyL9Njrb8
v5qmCtD9B33XDL8TwjrRDGSx/Ii3Qq2IMib47NOwFVuQ5lrlW5/hOjsuwzLpoy6zBeSRIhztCOw1
SsxdvEI+azQNFipIpVQEu8Ja3OkBZtSMlH4aLuvwOcEtLDqIOnARN2A+3f+uo8l3wQb9KcpKbhBs
iPlMsBgNaQS93cB+whyhGlXzOQ0zhAY32CwM64cetx421arJ46ezqAeqe2OJOONr6mljcxjUSD4Q
LKPCS/QXNmCVfwuwneI3ZDFDAxAKDvoF374HYC9uiS7+MibBX6jPwZHZTpUs2KkT5mG8nVoNAccw
UuEYRG3SKjYh2sKagwu6einDj+Dnh+UT1HhSiA1sC/wxd4g1A8/d2GsWdPnB9RiTzBva3ZlpgXg5
4g7z6OCFJDCdWj/w+Uc+hHWshZ8U5hXco9PmUT3CRBudv4q+afN6PzKNWJ/WQcjpYVJdMN31Of9k
3qR1TgTZpGnQ8M5cqB5cusJ5odDbHNVvPnTq0YaHAV6ap8lBp3VQo/c95y4/GTjYpqW4a8q+ghuE
DM7wcZilQSHrbsHRdtsr5mh6nycRl7ayGQOxDf0HczUL7aHgRkRF1n3qwsyfjrE3ddl1ycxQn81O
v9SXOBPr8WJcxoW9tISQfLTRBnD0Zcgsg8PSjgdzZnZh7PK1QWsceiyLcXLEbOjHA/g5BhgQAKUd
BfnORlaPBfXtmu2HfrsJYmUlbavaIx4e8F+ZbDVMzL7FTeif39G1HSgZkcEcTrdsuWZeNiJdfdZg
FJnm0kubEhxReeeZku+r6hUAFsTGD9uRH5jnAYOjulQjiGgnRbO92gtLkrXpFvQZyvuQpXk8Ar3Z
Lk00cGqJAvZTv8/jIK/uaow9pDzkgjZXsGkhq/FNTXUUsWsSF5NsvRUL3j7fULV1YnkYkqEIxYXl
gTH40lXLxBo2y5RzfZ/A6MT3YWkHrMkqx7Ccz3EynmiAJyuszXCXO4vg7zRuJuYh8ghsx3UHjqtO
9o2lzHuXAGa5O4bd9AL3yL2b/atAL/AnqtBOTBdRP3n8FhiiHp/CmANwzHnzwC3Iw5Ah5ZZwUDYX
mkfmkvnOi1L6qtsAKrj+osMO+/mdWIOArgcdSm4vr7LQ5G3Q94vspvdC9n82evwB4U4tua3ci8wa
d1PFCo7LDGCDxjsER0pBUkDgtID+WB9c6MwWNan19NCGNf+/c8KSD1jmA7GB1HEly/DmjO9cK72a
4JHikPKcd0KZT9qj2Yeym+05vAm/J2+sN0PriOlB0mFgFcBbG2IOM5U+r64hdjIh2XfKjD229JVG
s6txx1ID+KJodfwj5pT+AsrdfkD1JoumnRN60kSmtEzz9RDYNExwFm7FYSh04qGBl5rJawIcZv3g
a72w/cOerjVukBiz6ppEYW7wDfX9qVCblJK9s5GpykV22zhpBhuZXN284RqdXnzqXb7lyTpHXQGe
3mZR3dBAZCyh082XBZUt9xhbwPG/dIiGNf5z3TtwIelo5ggu3EeU4V590/RNtIT0iDIPc1gCMeFm
P4gk13gstCOKvJuRvH3BqcJlCn+MsYwAwowsBWE2+LKCC/dSE2w1zxzlS7FSP6t0SVN8Hpt0dCS4
TfqqbB7cpc1OhDzQtYdCoxDNDBMBMPYQahxdkVxiJLTyd50LXAmsqS8IlX2HagiIO1h+4NQW23LG
7qafA5eQi1nAyFtCWhrQ3b7R1czvijrbRMGRxWfnwmiLh+lgD+3MT1LCdPzdoGITlwp7Mu3OAatY
9Jy9MSE8tR6M4fkSz06iw8Qq8i1gcdWzoaZOCWyXefud9i9DnbDTwxJseXKZLtbIpT0HlgpdYZpP
nPXMmDnlq9iHfb4PAbyzCMMwdmzHJfCzxuJQVpr4oMPU8m4XW6sWwq+uANq03QDabh82qlGbtYLA
h3ATjQr9pQpRk7j+UYcQ9c3izE0nmugMq06wbPskzVGLOB9zdFgYYSP+u0Ngoo73HprH3X3cLTw8
zpAl0R5esOSOZT4jwXJoqlTyYefjSjqN1STKxwX0mddtXWWQ+ggyXiPYuCuOO9x50Fgm3PdWyKHF
bB2Jwr2AnaAgKAONxMACqETGl+uFsS9xSgPoghVgRtjd9VEBSmIjV0cHf0MzKdW9XS3lQwRPCGcz
BQ4ARYoa68ZD0Exj+6WtOGMuFdAvPDu5U7Ft6jbr/qbtGkC8kHVTvngIBaq7ynjOPc+rU863a2Rh
KYqK5kBTSPhzC30IxR2jJYz6fT8e5tkPpxvVYVgHH6ayK+dKlByr+zgcJmfb8Y4UQX4JuxUqZT0p
bwGSUEwmpV/VrJmKghdxo02rLD18ilxn9OBgDNpDXLLzUBDZRCWafs0GAFDqIAOj42Q4H1JOsnIr
GTquKxoE4JPUIXZXumJ03OIR87fierZtpz1A80wYZ5CgrQ8JflYNB18wyIue9lu4ER5U6612iHBw
cpOhj3YWVFvEl0Eao27nl8lRumLYoVsxr5dxVKNm6cxO6h7idnFqMACyXLETjIVvfWiZG3mPY99B
ej2zW4lVxz5q7GV5WKBJDNcWmAvrzrO8fn0aanb1BlhPoB5XOSWI0JZDIFV7Fi5+si4Ybco22EWw
BYuzOBvy5bBiMVZh2Fg0wk23Uq19F352qjysX1K3baZlB0NGd8xLfIGSwijbRm5g4PsDjPK47vxw
Nxa2XwZncWUVwQ3OqVaBW00A4rFMv6ZhbSxltk1YjG6zc3ys0JFMEoOwkhvl8jD5hx/Zt42+QwCL
KakaoEYzejUcS20l4GE/oiHatt6ujWcVI5wA1J4cRU/SJxuL7ZkPRi3a5Jq1pej3nikB04pjJSKQ
8HF3oUkfFQc4n0PqBSbCVb5tMswMkKITHxA+hv9sHqydw8sV7CIpKWSUiaOHmUPOKTPUPmIuZ1pK
fudh9BuT/UFpNZWDzB0DnNXeVDGTGrsqC/7y677mVpzWkkV0llgDvYYW5RnCpN/3ZPZhQXPTPfNc
nywY6JLJorEGbYlleQgddGbGMMeobYuq9+395KDDIo6RB0JZHWvmmsSUaqxsHpS8JKTf5PuVMgGx
Kl3O6JkZKKnJrKOBBWpr1AXLbdjNC3eqklRy7VEiTLveT57f8XdNHC38MgRUY76l3m8U999HuYmT
hScNHc3NnYg7quMWKthzhEQuPxLFoGuf3GFUwecZZ0L4si5c86ukySeOxaHFVk5c1K00KUsawRiM
IP7UweB8G61eF9FuBtM/Yqjk1PQNGJfEC2sbIRrM8hPDtUmRXts9QV+ZU+rHCQbQmHUsgDgR0YJo
NnfviNhiIdsE9ajmTGeg3r7hBsTCEmZycwdjb6Vsn39WAhEa2LtjK1YyUhjy/MaGYQE24IVT67Dc
kBCZrZjZ5AF3frXE/l+lcug9fX+NHJiO80T5Nw4PYRcvPLHIa9QzsLamj87sKCmmOf2wzrkdR58m
eMt5cUzbIKnmc490dHpYpWuyWGdtTfNJKdAu6TnYUZNU2AOTSrQuXG0K+TDo2CwV/TqIwNlsKzns
sDQlS0nc2GTzEyZDyj9iXdpP4Qc8Ot0muwpiaXM/+Fyb70AIFPo6IJ0kmQ/gBc0n0lWdaXjVeccP
xJNnEjWnpDTOOsZ0SMLEIzqsZ50rS/JsQILmdE2nKeHQxM6URHUrREsWGAjEeo/TEJj9CJEQeaGt
zQrk3+IVfrfe8s/NT5OVqPXDXIaS49JJuS93m8Kj415o4qMTtHNEa+72++dRDEy/HsBbodhxpnoC
X3UlFjElf0/hnDA69h1ZQGmsOvYCelKanCA/eMoze7es3ai+rmYnmYZdUvahM17wCypBUjs3gMm2
AD8rrlWvikew24nZMDqlJrWOpoaSL5FRpp4nNWaigks5tji+U1t64sqbHSS4Nuh+sc8q2zVFYN76
VGyQBM0L6b2I9JLCk/c8aH/Vl2J2qZ+AP+hlOltc0RXPU+qA7tsiFWEyH4CYE7lG34QgBs+yJSpI
DH5UxOGKSsp0WFB3pPqqk07wp4SaBZkZFLeXL2g2dOsH24KPtIWdmVKOTKlKeusYBq0YH/CiBue6
tWaH9Ucf0RTdEKtMFqYWxxT5MlImkU/ahv0R93HCWxsqGrrNbgmtNQKDDBuEHCXyG+Z4JCHEAKQf
qXnPO4kyERD1qWI7BbDv+UUqXk2obInJwbGVWKBgPiIXtv4R8AgzRV2E5FHfP716Kk1qVVpVVOM+
BRyz73bDNPVmY9Sz6R9ZsdBmSyKIPNe3trcsdceCrKbi9iNrYCFnB/p/caRaTtrrgHEtyaue8+Qs
Tutl/BgguNafh+OCLnTIMB1F6BHYLvkBcmLYLB8C1EL4NZGHvF50lne1yURdnBCIM/P3qnEpkoKv
tEOdliBFwj8CJqdz5ZZ73DBNFfi9sCjj1dx0s8I/TLZ8ZZp51RCuVLzeFOZsdIokJvrbOa1rXink
Z3PrY40ATbVfgLcOwx51FK+4li3NEX5w1ewo7RYmYA28RmjRgDGQFtqADutXJgOpqItn0SymQtff
I0e09CbRhcNlduX7vbV/0TMCsgOdjoEORJ3TBmsIMnzGC2X+vMSDqTNBTpYYUFgeGr7Rph8Vz/ub
S562O2lTgQ7zAYl5hhZ42mfVbY03xcDw3g9mM735vjVK1KA4ut5/ul8vZbBKhvrGwMgged52xFx4
H7DsRPM582ITn5rAExNJIcGa2PX+tV67gW/bbwCGkEd2Jez6X6dSvW1IzMBDPi+iGilkxtRox2z9
wUv5DNEhcTgL16AhaIy15wP9GKeyC5GkH1zqbroQZrIRUfKa2PM9Mv+YfdQqMSVCLX0M5a7AGsz8
6f3b/2WpcPUADgQ7EZ8q4FXm739CIS0qroZklv4zGPyF++CAMmUhhysl1PuX+mXPYdmE+SQQK5Tv
vPC0300ahXoICdRzlIZQy4+xDvP5yVml+USCOJl/u+VORyhgnFCwR4CQa6IycArnQsJDhAn9++cW
DTN++7DwsX0YMyL7XeIi4aJ3cUS+TzKh+fPXEkqluiXaIfP1/rOfLjNTUx8oqJmq8rmBCX27zDPG
vpCVEvE3PQlKR52mdKlC8D5EwPevdLrKri9snhYKEFejOXYycytIDFH7zZ2/cVGUxfXQluaAgtwv
OORT12SN71/wLdSVoQk6xbSdGfJCzSVpOtlBQx6uBBOt/kZHyfST0d81YY6gqHmvseoweNykWaLT
aCsLXKn1/v0beKUS/vwFkmrBabBxDZHQjX+RBKdKhOPfyho7QVsn9Z5ZFlajdD3SKD/7nrZMKjWp
MY5UJn7/aIpbPoqhYl8FePqm5/P3xakAobFGtP41X3GDlD/VwlqGNUdCj5NO2O9CMQC9wGiyGIjW
cvbNYQmnoAHyncZgtIFGEJ3IRQaJ7OgXBwTKjBJ4QYtuj3RD5g7nGaNlpACawjK5VQ+MhmBhKRdh
3y3wF3Ocg6Mgt5G9MEd8C2qW25LfG/Q9qT1RsyjgRNDDCYfXjM+FHdRu47zKiSR2D7yM9liSKzqT
7rRANbpMa2xBL95f/l82HAxP4KI+QiYwwH/Z2iOVRYr/sv7UpB1coGPSDqYEQgXMZAA/WtbvX9J8
LW9eOKEWMxpmNGjBA+g+2eMMyqAw9OH8KUqAs4o9WkdBcW0MoArrxu5t7mDjlUDscTB1YpMUWvCQ
+Yfv38bpkwsBTpbIaXCcfHOv4++fYify6vXMu0w/FQ3tzwtEhobq0S1mV125/XDz/sVOIwigVKPk
EkI5xvraOxWeD+AkoEDc939PXZuvT34uzbbI89ZkVu9fyj35pPntOMEZHz/J5E0I+2SiZHwLy7Ke
3EeYbDCMYtqXQ3JIaKNS6Wb5zOkAuXCt+C9Jw4Z9ufjQWEmFfRVuWtq6tGAoecz8vp1FSR7qrJ5J
1LOECiXF7Et/SZs8NW2txTJtgHAIGj7CKQxMmxg0Fj89Ib3Lw1mFz1mUJJaZFDlTZeI1BUEBM8Oy
iKPloW7sxLt+fxFO1ps1wOZM2HynnsQQ8nQNfD8ZoioYl0coMeZkhrdiPjlrxorr6f1LiZP9bN4p
wQtOArhj+vqn+3luWnqqjhc/IOj9eq3Rp3VaTJ1J9UdCPSHo++y9BKTDKtRLbbqkP/6EaI3pEFiz
zeL6njT9TGrBlkjnVn1MR8Eqcux18Q5rU+Q7EQkp5jMtRgomdH5iyuNsJahNhx+DP6ZFZohkIU3M
t7OiMcLfTU1lXvjq51zFep2Oy++tCVRYTI/X8lPzJqHBJvzLciLwNzvUKU1j+ccIjS+SvQvTyBTP
MeZv/ELtVDMtkPeXNHz7+tDORY8JsDiAJRgoNlT9twduxxOAgm3jL+Uk5F+5QoXo4DIePQZF2Hr0
+NPhkHhLdKnDrIx3rRfXx8otyqcpwXD6VaWLoWkiNhGQxH4Dy6Z7jKlf+w/l0k8phjYTOMso/1gx
avsytV7fbgIF32bLLCe4nXxUAVI76685kdKVaj1F09rqc/Hnyhx5uojVnKOVA8zS29E1LJ6s1cJh
eiiBJm77SH3wOJWKg1da4lpqNe2GVnd7ZuLlU8oM/wL/Z6YEuaEUcojMjPAGp/wb1IR/qRf856Gw
drazE62SDy7n83MLNRDZVBWktDAMj8/N6xrGmRifMiFQjAttC1E5i77dp2KMoGRbrbpHo7QnLYrH
IzpL+YExgW4BpzJcRtc8yqzN6FXTRVk3+2GOJho2aZ7/OaK3Qdc8HpHynVXzsOZAT0k/LXT/ge9v
7cD+6A3a/uzqof8b92fvEYlZ+OALzt+F7LO9l+ns8v0d8TZYsyEYKxPMUPxgpk+icLIhUDYuJBD2
+oX3BcMeem2xD0q0l3htdvD4/sXeftDfLyYBypljnhxOuG93H4xHUjsV1S/4gFRghBb7AWyn22+q
qriePIEj3ZI01UdGhOAm37/2Lzv/9THB6jCyIYifwiZGv48aUPLVS1fXFK6ibIsFHX0H4Nv7F3r9
Tf99DL8+pYfKCHlf5HAgnxaRiwvZHImj9MWZG74Z8WoeirGWkwFyL+Vd7VbxXdbHFkD20o/anZja
rDybMh/h+nIA9gVYL7hVgYouaquTj5y3PXnSWA5PVUXy4g51hbvd4Hgf7SmvvyGFF17VtGc/Tq52
/4xy6tSN0ziw42GT3ooqYh9bsgro3hTM4pw5orGmIv2SN/jv5t2oDk7i28/2Mojtyvv7TS50AsJj
SUwaQBrEumBB5p6mBI4l+8UDVP/ijWbx00ykZwjYlsdlXWCBR+UnYSFlNOLQiMI2hLsjGF9YD++/
Gd9s5jdvRhqwpsGDIP3GMX6SIDnoXDM+SOVLMjI4oJ2mis1iHAV3PVOSYTd51XKU1bCMm8xqK6Y9
TXVs6FtdT22Afz3EBut2dRLvKFAaZz4BfLjK6KdvVWFdY8Etr7TQZ7WoxAM90PK2sXhpm4DBmN6u
w8LYJW+gVco2knekjQgyzl72TQd5diMksukFneJjhtrxLa7B6G43cT9+1mU6Ptq+W3y0asgLm2Bx
5oNwB7DVQmXQY8sozbdpZ/MA6eLgJjGgBMX8ussZhHAm3nu+FV5lqfb+dOhqx3gXFP7ym21v1u50
bTFWptwPqGblqW0nIo6M12wZv3RQPm+sTuRPbSY0SO2utlHuN4jx91+nY3g5J5ckN6DEgYUFBO9U
U8dB4kRVHJ1f8zb3LmibQUaKR21d0qjMDwwiBiK9n6iXVtjlU5Ysw1WWRfZHa4rE4f17eWVIvr0X
Uk3Cpxu62Ao5pwxDNVd+HyZ1/RV2s8QkJkYHtVFrOu26CteLznYLOhyVYYYj6oLiJhLo/jEFDruj
TxLhGgXXCKOYBgZANpSTaf3SQq+tPr0ugqw/dkIsN8GYJucJMtkeOv1GObrHTBdV09aukK9xwgai
6+q3ZxbLcsiLwbqG9zTxA7O0roIeiXS9oIqDgF7WHpKZ03vbOFBIKsa8ZJSigshQdmUNpGTOmeEy
9HzyJ0pTcpH+fnCX+jytSqE2SgKXYScyLjJeh/0HEWU1I1cQdejBLsyVhqAsk20P9uF6xliyR9O5
xUqZ9Wucc8ApszqzYZP/Oagm+wvOzfDNy1xUg/spB8P//tv5Nf6g4hcBmgO6hrrWL3094TIJLZa5
+AoT1EaaFv39z6A8NFNDXhk1lXxZe2PbW1ufNb6emEAEU/s7atu/2rChgSBz9IURpMKTdgdIqb7q
V1l+jWGAjbvXFxJgK1BeZWUwHGxkdx86VY8HHSDU1yK89ylFrLFln6zOw2/W5F98sMi101smdIC1
jNy3h/FajbgwLEX+NZF2cN8FTn+HQLyFdD1JBufieDOW3XDRIqJ0Xi7CuR5qyXzpVWkgk2kIILme
pyuI7uIbyPkOlZUuK+5/c5e/pAwSYp6AmueCmTZiYW/vcqpiXUWdN36l690lj2QWfr+lk6g3Y29P
OPki6LGZ+xVV4FD5zbcUmeRis8ZuO58J2fRPflQmV7aci0dXeSMTEk6BA4qdJcud5HLrdYx7v++3
/7BtH3T79f/81/NLldXo/lOkfBl+lrrDMYoY/Q7bVhVggZ77X/+df+i20R9QPjHviyJk8IwE7H/9
Q7eNvD8Iq5i3ubQKQc5HJHj/0G2DP5hx07H3UNQC9m009X5QLYT4A4FXfjo09FXkXv8t3Vjg3W+O
HNOi5D8UTqBLqa790zAPcMT1Wnf0zv0yDLdg8MF31MN0tsbpclEmnX+EAMbAEPMW/eI3vbzyC68D
1OQ4813TjDbbtrWeS1na1wXIVSaVsXgI8hxVrAB9ol3Se/ImLaf+TudT9sDAvDwrGKOeV/R0/m7a
OIRXIfML0F37QffdZ1pk+REaBbILtCAWxZSiXb/YLXa0WZwEtBqXwr2ny4cWe13Wl7EU5dkoUEFY
hvq6wTFuG5Uxeio51HsHNaXzOqtQNanQH9+5ViIvqg4u6SYul9umDcuztgyNJnSCQacMFvcjI9To
Bqibfe3ozL7+f+ydyXLcSBZlf6Wt90jD4JjarDdAIObgJFIitYFRpIh5cMzA1/cBpcxKqbKlrl7X
psyqSmQwAIfD33v3nssBSIHYUxlyy06c75hsR48azP8rDda8Nln9JdQJo1AJbtAs1CilFK6CKbQ2
3jguxN5YzBhHNXTUfkPr6MZFgIKHzkb/I8yp9ZqVMWPmav06jnyI0ZBxJBOgJmVfZQ9SpJYklluk
u7qY0r3brgHfYiyItZw1qkG9/1Q5SXhNmsp420H+eGGiPj+WDTzpKEO0bcxpc2UZoPhptCU+rZBk
K0OzP6mTJb/AFp+IeYzsLcFuAzCbjK9BHIAnyC/aD+WoezIT/aviGl7SmKgx3fqkl9FBrBPxPkEx
lKkVBCEzvBRZXRwUwiLzzCbVR1aYQFHm7iSQujcSeSqvTbvk1Fli3FmqGx70Ii5umAws0F8V4Pq0
kkMlICOgP9XI5D5Gc+I+2dIqAljB9TGsMUPWwyjv3VAkl4UC8zK2Koo7nJPJp7AT7TkFUfGB3Pp6
V3C6c70RLc/eJH0Z80luGLfLbCeXCFz5Fr0I6ahYQ6lgklqjGdAB5EpaYzhbDP5u3Ia1Qj1hhX66
iPyln6b6KrSsfD9PvXGyaLnvitpKnnrHTh5lHWsICmrztkDhtZ+IELti1muc9NGs9k1fRdegY9r7
dDFcfyra/FAoPYlF4RjCjjWdK/Az+lNJ6/0iI5EdEho7+zTNSf4tsjbnXE12UF6PJz0eBctRNntF
7QLOT90zQw/YX+QvaIFeh/YzTLavppyKQzTXwI+QyR0qJIzbb/hCEOQfDZG9zKNRE9oTCf3Jdsr7
ajCQELY1oUMqUSgVaD5EhHGoHE2FyZXHFE69igeqb5ItLflMPl16Q7o7mTdYj9yXJHTiXTnwQ9GS
5A9OAupkMBAYA78qTmnETRwNA7xyn1sb1FDFB9touy8cLIaGsCztHuHJIdJH61iNcscQESmCZRel
l+RpdktHOr8zw3xvzWN3tMKlPIisqDbkVQNJZLN86io3OdhEGm7nxJAbXu0TCLIpvatbrGQL+Vq+
kVFALPGcrUKA7BFV2fRgU2fe1npR+dxQjoBNnOkbDg/1jdKA08gteZIN42AfbpvZpcUubAFUMQEF
OpTfDmE4PCprHzyzDO02VSNjX6K9bbGC8TYHtNS8GKDLPCzOm1GdCPDTxikYcq1XgBMbzmNno/H0
anXJE2+05wqpwxxdL22VkfnTrSFqs2n7zTBZLu7zsfKicA76cuEAulQ9qD/XHR6ihfwuL8+ovXPY
0Wxz1H+eWzfqCTp0fZnLUA00TXlMCUhwyECCFpzkLo5VC+GsixMEdn3yCTuxeshprAcI46UHDbD6
klsxSrgqdm/NwrEObUvGlLcwbr9NOoWsLpukGvjgzxZxGLsUS9yN2loFNqXCUK8Gp1J9JywWBFxO
bgUIO9yPLm+Nq0XE8Scs88m5WIbPDBGsPW9EsvDSdrhqIwGFjRP7uU2t0u9mxT0XvWhuOjJELimy
so9KmORXbUbcFTHLkMvcKtoselwHDF6NTzTK9L3V8S1JWqq2RKHoXxc76i8j7YlnYcj15QL87ZHD
f/KAKHDIPezTGDhSN9r16KGRHkajr2hhfKOtQZajC/J6iOT0Qe259CXRHRuSNOugnXTn5IBkSOl1
kFKEY2tkoQGsdhVmdNzZHmlaZPS7Mpm6VRJbP+R9uEtwNASoF5ebbDBEUA+Inb25U5cUzUtJNmI0
bS1ZDVfaEOlHl7bW51Hq2WbEz4KImNdtwiN+ApNZ75mSI8gEJuk+ZZaVbIpyVB/zEAAEOxMWp07f
zLpl3ix9qrzUGGOOdecoW2Tj7TVOwfxAWEu4BRnQ3ubz6Dwwog23mirVD/GQqHycHSr+PCvW1kAI
dNXMkviPZX5Rl57tn+bMguB6EgCfjFHbLNS2nt4qJ7NUdZoMALQmSsVqRJa5GjhUWENZot4y0F89
lWka3fcmBxEYmTKf/dJwu1sZyXxfxTzS3lTbGQfgtqGIsUNHvrlNnR0IIdU9MY3KOdGLYHbK4mYY
ymzfmf2T2ZjwGqpW0uyEgPAl66wnLA7Pati/od98cqrprtQW7NLLSJfTkLA9S3sOkNHe6zKqj3Vs
2/cDuXgfM0qnlxXy+QmtzJMDclJhqScYlTISZvgW/bGWrRy6HcR5uVgXjlpkbnqLjvQySPACiGAd
eJwnfQ0VHafeuZGdnDHXWOFbD8jMgWk+cuPwb+vooaGS+GGl7vqZU8+uiOvqkmDTqJ5qNlDOXqt4
fgqzrUQoXxxhGjebtee+4ZCXnbRoLo99k9hP5mzKzzQvovQmpEd3smNTa+7XvLVwly9Zjn97ascF
OWfUmekrAYkky5ho5EywGANZimA6swrRUGJsSkWdd+idCIa02k/Y/UmNnKJ8o8LGhz0gPk2KPu6t
pLb9GRDsFf9y2rq5zXEyj49JI849nFtAFUplelnEW0axQa9wFnkolzgPYipcIFSu8iEmxukMy0Hz
sVPNV7De5VXD3TwuHWiOOBmf4T3Ox8a1FNRbSr/TSuI+0eZw3DIWgLeuaTSnJDlQEaF+mjdwujqE
59jY8AKjmARggzND3BZES4PbUqLDIhAY92FIwCtBc8dOjc6Wluc+5M36DGii28yRLT/3hoVCczLn
XSKHZIuTwg2USAU+n+QVYdiipksQ40Xo0F/62Kecfa/WhLnkerEz1VB9Ez1mAr/GgggLzmV0/2o5
peV8atWeMvSlFzZA24dQirWDyWA4KfL/FnHfwjp+U8TpGiPrX1Vxl6rsnn/M/vj+M3/65VXxB4UY
ghaEISpFofFXFYfaiVwQxoZoguiX0Q/+q4oTJIaoMJHBj73Tz1eY0fcqTog/6HGbro0oB9EK3N3/
xDAvfnLMm4zbVAvRo8Z4kYqQsfGPTYV6qTJ8SnN8jY0TTTcaPSXFQaCbPgy3bN7bVWaUW1RLAG29
xKgvEZ0RP0+i+LUN0XVAGS10Yq7UGFJrvEhOXZR6eFYaHdR1mTjEYJNmfEbc1OSfkkXIc9Uu6msK
3wsaKjNaKDgIPYFfKMNg7MgTrB7srrNJpJUwUo74gZrx0lAQBnGXTbSj9Hz2splxfk0Oi68hpkO3
qZxVeIOJhzsj8rW0XDiKoTgZep3gDj3ODwLT0cwhwSFA0FR705uBTm+JqQWagnHDjH1hxcklH6rx
0Oe9TWxm3xwYaaa1BzBjuh2kwkSs1zeV7n4ay8nAoE6uApkV5CZw1lrST5PZ1nAajRrsyXSOXQ0R
a7poDdEMZA+GGL6qPKVus8kiYyyB9tCDNNu0/gIAZcHDiKExwerYazc0AM0VttPeoF5PrRPqR/OF
KzKfMtTbYXO/WPVy6BrRKuJkN3glgrTRcNaM1lTvGoyoeYA3drxUqcgTke9RRFDPl1trDZblIM4p
qjP2wICACQO3yWoCfE8L3KaGs5SG/FmfgjHO+jQePDdqJn04aPiD3OFEj5aaqvMmehROBq1Vse16
U+umeBrwod9BVQDnIV1lenXL1dDnplr7RmK1PgKpKVuz0D7ARdW2VpfQlvJqO7QfibjuBUNQdziT
LwYhtuxrLhR5nDHUmT49JMItOZTl2a2mVZQGa2ATVvvxmmjxAQdSQtJIPlGCziDkfEXXtKPDKTRA
VEuoapJkO5xSnFnq6a6zekHKIZF1m8RtoD3R3IuOjtPZwhcGVxtJvBPuqWWGLsiNGfjMhG9kcZf2
udLr/EXvJJG/bsZbASAUSaSdEyIqj0DMYxxrXe3YGrx3hBHlJCcmqcYMp/8cp4LMN8wZ5o3CFTQ9
Ss3oc9QIjtqpKLYMZJQdJ7pyY/Nxl9wy6p22aNNtWXXajqm/k14TaGV7hXQYeGS6mp10LZKrkLwd
Ng65rodhVM2rZA0jAUuUizOS7eVYhosKn1hdUTHxM39junVw4Gz7HFhOTMz5phcWjUG7fYynLPwc
N7GLTWkZIHhxwMxkxtkAT9EDVOcrE63h7bqyr0MNII+tGmVgSe2ypPbMNKsGMGnUgC6TWm+4ArX6
RsS6el2ZWfQYEbt8aqQYz9WQ5fsWJChhzla0S1PCUUIGgRDH6vZVH7N2R4vc/RAJAFLoXfQzRN+P
i65elwawVFsJrXO2DOYZb5JCsduOn0xZjcy76W2fp8TQnwqS0slnn5cq8sZcNe5op/WBVrbGm2I7
gG4ggsfbbEl5i3f5i8VJ3G8wADobpZ+l62WDJT7UxjjFvm4P1QtDu+jeTEWkkvLZmF+6gnDVknY+
vwOVdO6QgIheXvEk6s3DqFoVmd6yQByfpsjv8eUYZeTsJ8iZgMHLwfF6hgZb2MAaC72nu6G5cX/f
rTyknOtzD3yTTPG0unP0+YyriSSdLHT3ig0Jw3MMaR8dMtldzxW58zpZZXzj5k6yH8KqfLUT1d3k
KoJiry5UEs0xnK4ZmRqu1vSuKxoHivBqBGJ1f9CUiga/BgV/7/ZG6I/d8gAxXNsQYRgBIbJlApp6
YGfvVeNzlXOMK+Je2UyjJqhdUH49mVByN4ZWL3cV6fG+sJvxUxa3DAaBTV50JswttcD0guh5CAaM
Um9RNkI5NuUSgGdtdxMQvEeoVwVDxcS9HjCL3MylWW21POpu9KapV+eM+gHzxZL5OKcyucVTFKGo
l+ozluJmI6a+uiMjuer8eYwNMG896UdaF71NS6Tuy6G0n5gVLspmYWkFC1uOH3fzgLQogvpcVuz8
ztgwunEG66LLJUK0pBhbEWn6QyRpXkG3j48VVcSN5Ky76aQ6cGXdeP4KLq/7wHhIElmrE2zU4nyS
Xqy1BU1HMrU0bdDJu8BL5gtdfi2KxAi0qXI9VMPVZWJq5yNeas5LWY23ua0E0LbcCwROkwi9OYnD
g2Ep2SVWNYlTUqakOg76fdrm9cWunfmDOmotJCcrdu+EO3X7wemmA3D3hOkYQeWotxP1mvFJ9qlw
K/kpcsrmpuzz8GMN2u3UT3LyYtS1D4Q/z0GsVukORckcQN2Tngr0ON4Ivi2xPJ2udgeiMwfwwXb/
wJCZ/lEiWnQhcEXILRBVQMKweiM57huB7YTVsRwV0fkoigAcpAQZYDYg+NqphMF17MZHMdkrpzy2
dvNUoJxJZbgc8fRbLzq/H0x8WCY3UYfsxUpV99O8mO1eFQsveqdUV4sRVI4tRbh1tpO6vg/tAbS9
YjZWRsuDvKCNM07nXlbNtq2Zun9TU/x3wvGbw7GNDf1XZ2O/yqvm+bX6+4Tj28/8dTbWOQDTpeNU
zAEUhfC/zsZrZh4jBcg2GNYpcDkA/5n/ozHG0FGUWMzAUJXqf5twWH+gMyHdAdqFibBbdf+js/GP
EglTRSkM6tN1bYePE0xMfzwaEwFfA0dYlBMZVxJEB1Fjztw/NsRylM2RrF6bzgOJzSiadvQMwRGe
DTcvxiCCLmTanEqrmTf8UbihkxmXUtHRZc+e0hFExqESQHNCgGSWdlO4ywA+JMkZUsdA72Hhf0VQ
FUqmoAK9A33rBb50X/RTTCwsb7YlAyFukzFOY89XQAGUxRFZANTezBhXpzr4t0F90ssGtXBlQUeZ
P6SSjDADkzQj8Fvq9j52r5OkI3nNFcziCweJqm/2JePvvMeBMrPzcC7F3ErcxH8pvN/zH3/31DB6
+/VTw5T9pUte+h/GiWCy+LHvDw48NepS5vc4iq31uaFy/E7itY0/kNtTahrfU7UoX/98cHja8NYg
iGYs+G3+91dRqf7BVNAC3mQyzmPY+J8VlT/J7fkQm6YLKicYsjbCyp81TqY+M73E7LuvSjDpepzQ
qsHjhuOle6Rw+wL8nuC5aumCsp9cH/Jf603TnB0djUBYtXPuncHJjpRX2WXq8/PggCq3FYtJBwfs
XFXo56WDS6CRmGjUlctWGIVKOgli0Rh3/rYm38B3rR4/gavf1jwKGyIc8dSSzh1o0ibbROMz6cOQ
oIzuzldpWW4gLT0OuUtPMQHhXld4Tsz0C9nm6iYv+OeZRouNhMnmUA/NowaaGhPAYHgpVoCgCO2P
HFDuUkP7MnAu42frx7xK3ujKwAit7MTHiHKrwRLAdcb3seqpC9RGPlrwf6AlQGgd3yNYInRtU1Gq
m0GxDw0ntajELhZSovmDGwZRV6CxTbM3pOyTZ1lcSkyF7UaV/NJ84BIICKZ8BS6D6hyKpG03YcO/
GlT+BnSojA9ChIY9NtJ9KgDscqLLN5a0+H8zcTs6fResP5lCc/cSlySRhdwDL5q5BHVudIHZactt
VOW3LqVXkLd8ZI4N6WQKSfkzGnrQS/4go7ayDcqCBypWxhhAVTY0+N7mkrR1aTS6b4YzXelspgxG
mfAS5orGdXDvaYx0gVHmMA+g7BCXCfVCdI6DSXxgEpq67X3ohBkoYQZseB6Wbb2QuTs6LA6j5UNH
0z44mnL/vkgSOZO8JWS7qW3WgTYbt8XgYJdW3fuR4aqvk7XhF6p5OyT8UVGaiQPDJ/Z7rKob8mCm
o+12OhmJ6yrq+Lcks14lrUbQYNXqgT0gObNCa+IysbD6vADzZJpXrOc3bJ40tAlz9fIx+QJfjHu/
8N9SePK04pVyM3YO3Cgcvn5RcJVajZgw3a6Xiypb6pG2eXy/38T7IkRi0uJ3I9+XbozroR/l1kve
F73l5EdVi954yFnVvA2Q2bI6HZulUq3PQiS7+SGP+a9UhF8MjT+EJ4/+fA00pudyoRq6nxfu/Ch5
Tmx7DI8jAqpLzJQLvFX7aAPgA0PDHXZ6FhNpV1fvF4PIG/J+FP5pnRVfCkDQQaja8ggCywxIbcCq
m7XhcWY+eVe0JKIjR6HDBEXbN3CRb+Fu6CQiV+qmaASXdK25xyhuT06rTDum9pAiZJiAJV30ILN5
KJk+npORMHim3KwycKQojcvs4ug8qIbKRuAMdD9oc+eBynMC1ji5HWLz6v3xMiB27FWt18lLILe1
JymVuoYBM7qxdiMwzx7JJCh3E23xAH8+j2GGmOz93qIlW62q5dkiqIothCVQ1tL1CTjAkbCu8sXO
li12bXfHJCoLZmzxW5Ts+QY2Bq2hdQGsK5xH/DYRS7kzZrYx0q27QNBe2L/f5q4fV3oKywi5QhcM
qRY+g59T9mbMV8UZyuSh1xRCkAx2LzP5wiyAW6Bl1FT8fTg62VdgJ/qF0bm+XmrhUW36ksOxOl2Z
k7lzxvQLxBCOIvZYnsNMzwJ67uiBFlXZRybPaUXY6nm2aQPYFousLIzyrLQUdgucGPbeAm0Lm4NG
aFwyiR3WxJYm/cQv08bBF61h+XanGhts660n9bY5jBaFtU3Vu5mSQoWqbRqBAorTtyONzW3k1r0z
FcJev41RVWI+Ludd3bGZYEEf6EbytcOBPwHcF08RzIo9Jxb+gzyDb3uT7k568P7QDok1MJ5W7vnd
8Y3ZsCQaU9zq84oqDxXHMxn58toZWUxyqrctIwg/q3J1g3S0PE+WmK56O3vjGMelmXkC3q+15ZrZ
Jiv4lb3GfRUlwbekebUbBcuZBzZPIglTwhudCdEGO2e+c0L5Jm3+Z6J0oFaZFE0J+4lQ8mSrNc0L
inoTYSPxs5W0PxYVxVOmxDfK2F/Zq/DcAA9+nJMJILCSt7kGnnlWAwxEIIXLSYGMS8jL58zMi8Ej
a1FYgetoreIBpUm/6MQ8bJgVuuC9Vf3ejLJ8gyWqTi9z1PZHSAPcQkMNCUIJI43eSKqSuRoTWXUT
RwK7JTyzHHUH1nzyjOesUwMyh5o2YAJba74lpXKsw/5Z6arqFVD9i0jUqvciY8reHGkoUFKxli8t
ZoVp3HdlU23dIgNlA6dPGn6dEhtT0BNTCAGBI4JPN7wAoljIYDEwnF9leuzYZM2KttiDGOmURwhP
gx/Dnc+JOncNbOjE2Fm+nDM6FOYAQS+IwBMrd2XP8QHMzv3fjmI33zSs/6Psi5sqwaHwv//neuL/
l7L1/VyDpBfBPNJIWvo/i/ZzV9EXAQ5/byczg60lfgMM57AFOfdAnaCCUQT4glTCza8/90d94vfP
FQz/mQeo9r+5rdxZ6AA/6n6vje+bHc+gkWSv1NWItuvs7def9qMP4vunoTWkH6a5xIP/5INYxkgR
5GT3+3xmgawnATdDWxOh5fj2vf5bOv+mCGABrYOW/7s68FPSvlSQZMq/F8/ff+pPfaD1B7p9Hc+K
jhfvR32g/gcgZAs4L9W1sK3VLfZnEUCsPLpbDub8P5hc4C3/VQTAb0YZiB3KguS1Rn38J9Xzj0uW
oh0vIrYqHce7gDf8s8cE2xWzAzO2Tniomz2Oj+nGJJx7v8wzaVNd05pAqP+6QP/wbP7TB9qodxET
U7pb78jOv1ktodHotV4X5omOGvSRYYRf4RLiZZHltI/mVvuN2/LHp+TbF0Tgz/WCkYCa8qenxIVW
3q46zJON3umZMymxammq3bfmkOx+/dV+3HbeP4pbzb1m4Idp++eg1CYmNavPNHHKCuI1ExsOI75k
zCOWHpHYuxCYa2epdvX/kFL0D9+SlWSyGtCLu8j5f+yBjDKDgkfKwanVU3EonZrQHsUsQcVBoiq+
ddJepv8Vfa3+4Rb+JAp//6IrKYGGD6ZdWBAszh9QA4BBCntKxAlEHx9ko0IavDEFvecPnU0AHc3/
Oj4W09Q6/tzEQ/sILgje35QTmafqpXv+9ZX/969vqSwmoA1QAhjRrnfmb4sqJfecIUko6Pyi/fbB
+SU7lTTo3f/nZ2nUywZTSyTe4qcFhXeWpLt5FiejJaexF2Tb2V0x3b3nu/76a63X8V/vsfU6M3Jm
1ku1j6wK0fuPXyvpoKhZVS9OQxi/tTqKhJ4Ygt/czX+6dmxCdMX4MHapn24mJb6wOz0XpwXqKvSr
gSQncDWKD1YL9+Gvv5H2Y7Pu21citFrDkSu4hD/H/zghVNkFN/ApxTlR4CPjMzVgHkRLN8S0As40
n4VFrraRuNMdQczGIRpC4zem0n9YwRYtTToe66PKSP+nBYOcl2n6GiUyOZ1+NLJSYx4Uus65VlpW
qHSLIsCT38AjXPo1lXZ9eM0a8AA7yO/wyP90B8Rqu+OcCvlA/WlFEaVjTQhreXjXXF1VVZkUUjOd
BPVJ8Ovr/08fRaCYw6SeVwssix9X1FQ7MBQpDk+JyeV13YhHVmEcu/gOkRO/MWr+uNWzfdP1x4ey
ph/zcf+2fAEQVbmUtXIMicldPEVp6qcSF+PTMhIxOZQzu8Ovv5724xa8fqSNrQqpBo0rbvD6Rv37
RlBnC1ZKzXaPakjSqoC4ytiBg/GdNSpE/LYh99Uwl+kmdlL9/j3euJiAIdpKSQ6lk1hyv0hef+87
CNmzNfl3i07WYkjKLymNWvW7i0QP/YenHBc3uCkMAIRI4dAHVv3T7S+dKRVTYYhjm6sFFo+YyjSx
lC3zxqynl1JgAybpM22q0K/SerYChP7WbQNSDl1cmvM3hkXIjQxxur8uxCu+TohAiWiJlzVsE1BI
vFGbFP2zqY3ktmmRK54lVOs7tK/NnjCe7hXnrHGwmUOiNkt14zDqqXzqBrs6OZEwjk3KBSTfNp1v
IrJdGjCCuvsRbL9C38cNpbbXWibHHpG+DXmeLkHlPn3zkJKvTwxrl5eSz3C40u8OIikdwmjEIHCC
9Sizr1oYAqAxhEbobWV3y04hXt46juSQntouKkgHbTRCjt/z4LM0l0/ArvT6iEN1voNkNd0oeoeI
f0FUkHzWyG+ApbUYFrrCET7SR5lXrL0us55hdrDaRaqbzzMZMa90ctY39DCYzwUBNi81Rpz9QDF4
11jkMZqjzRg7oaBB8OgOJjJRkzeMhkjjnkkgD+nkOGf6J4pvTIIrGhKyTR2Q7ELDaF+bFhgVBEq0
zwgG6Z+NoY3wggwefSAruHbXmOvCGt2P2tS0r1kR6TpzdOLnlzbUDN+ZSbvuIUNY9DNm4wDsnd9S
pDN2hI7rJnqVzJj3txxyarLRW4syey7iJt1jiifKBw08K1vEFv6jopwXm3qLg4mCmPdboLaa6tNd
Vs3WFNCxJTLcLHPtCrUmqyZD7PhsWxlXcwZQASm8cubSH9SQjNZ63S+VwZbtroWAne/QsfDHwEfI
iqDpeC9aFdIbVnA0R8F70HusFGvQq1kQJR5WUAA39kyRijg8ZLIBgZC1DOjZ/UisDb/W6ehxTIoB
QlxzeBchN8IBPYMjRncHB4Di1IiWC/Y0ZsBEgZnPqOaJLo+RI3otCpl8Y85a8wFFor5fKJjsjR5Z
4nOJkPTeWZL5kssh38h2qrSV46g5Wy1RmyOKv+EQIcTht+TTBHYMIfZGhbN9n0MHHRm1OmXmAROc
rxzcaqdCxBURmBmmyMRsjXUeLfwZnfd9Bvwk6Ku4ro+ZOiecjKyMwZHalrdd3dIAZIBUfK3Mpntz
xFIdgFOhr7QY7/jzlIaT32fsTP6Ss3GNao2quVPm+hFIWtNuW3O2XqbF1jaASEsEW2SFb8ncs0fP
7etko6VVuRuqvrpyQaWNPpry+HNkINWga4Fm3GKUK8uZXPK5s+XOgST8RFxwt6WVsny2orE6GqKI
4CmPYvlc5jILTBOMfouautlAsR18WOHlZ8bisBDLAckldmB7tx5GaT9NstVpLRVKIDkD4gbXEc84
erduTKEH6iO867NWOZSZrA9pE7fb2eznr2FUjQFCUeV2dqviMckG4dPc6by6xGyZEjni2VnzbHeC
5yNBJgBDPfb7odG2RV3xixzlSkyxyvZPhhaq6caI6cjQf0JxkEkke6iB6MJE0P7bqR7PnHSdPVbw
2dxAk0YPFIZ8ENiZcAMHOT44UD188G/xZqlmJcBJ0D/UmSXp85ftFrYykuZYfcnttnp080SnGa9N
2xZW3gZ9rAqjsytueSsxDKT/HZ8tgRaojlTuqB3p6RlfbHmjdn19k7cdi1qxOJE9z2FHdq+e8ki0
LX3ooKo7PT2RI8IBW8cKJdcA9e41Itqq8Ks1kmpWF5as2g3ux8bupyhw+gl6Kaw8lG8dAgysInZI
aLhuojcONYH+a5Kgl9eIZwSvvI+d3iSjPV9ToyqaNvw2barbXZZ0bEHvqdBGXbHbAt68ItOeI5w1
YPRcsRlEEcem3ItJpNPeZEL0VNcsW7+ibc5QJi/zJ72SmIEHgo9hhVZrersWt3Xx2UyJ9n6b60Fg
prW7kD5nBxIyFeNX8sRkhKJGMT8xRnAPaJ7aPSDMCATFFCW9l2tp/KUdumccH0ZggiqN/HBm+3jM
F6VXPiQLMMW9Q5PqamjIorVycMYxrNR9qoBKRlhePyxuVOCxtcX4MNCGvLOi+k3Pl8eJ1st11und
nn0Vj7TuNn0g+lp/ReYQvSJXGz9Evc2d44lPAwmZyfVEZI9QpNYwAk/mrX2Eb02c1zTmNVFGFvu4
n/UwnfadO6knATz/ItvOuLMW8mi8psh6zbO4CynyHMf9qJTDVAaT1uWXqWnE9ZIs+bWkD3gHUV76
De6IF5pzeVDhhvhSudaA/apedM8MdfLvWsdI/AypmDf2y+giSqM92bqhuUkLRxzncfgS1sr4Yewi
JHt9r14w6Jufs9FCntfkoL4ERFVSyNFhXrliTi4NiKAjAYiu5cVD1D7ryVifCoBxQZngOSOtVwHa
RNpjs9PY8rYKh9lhM2m6HqJACe1pG+clDsKsrnGfGcsHUsbCszr3y22HpMVzh2h8AkIg+0BtW5Ec
p4QANh+jiUKnMhyd7Mqa1LGmnd23e6pc5ZwSt/2gMhZyfSXr0bbqiq0CcmTxXI284d+0QbaXvq6B
fvIiPJVpW+Sb2o1DTN5wpQ4xm9suE6EG9piTheJHgz3cRvpAi798bwi3bHlP2cSMsJlzE+mazjZq
qPT7fFljogPQ0/QhgIZKv3Q22heyNKXmBE5uCzZEbfxa6VYf4oKTzIVA5B6EkHpg5NayJ9wouWsL
TT702tx+xOUtgmFCP7Wka6w4hCdPqHFMyhrqPeZ1IwNCLVziV7UALeN1KkMaMvOSfCO4VDfDQp2C
9sdufLMKk2sYB9OD2ozKxUyg2SMPlsbWUYzG9sq6JEqvtc3Rr/TERefA2n0L83j6VMMReiH+134d
LfqlW7W2iE6huW3mfkqkD7JOx6jelm6RyaaJl5l2a1e/mfEU3ZAaAPVhwY97XIV5pJJWpdwQQiln
AOFNwxCmbK6VfEwDXbUQ3LpQXo94nFACkpdpAxPtmSSesh7VkiLs4TG25qpnCLGk15gecHGFdZlf
l24OrKLUJ+U2hqXg885uNbEvkIxN/ccJrXMovlWw/+2F/qYX6mBY+Fsx9m+BdJuv+fP43Hz9eyf0
28/8qYYgYZgKF4anoD9lvwfP/amGMBFK0P904K99lwp974Ma7h+08VFKEOpEE8RYJRR/+qQJMwZ0
iY3aou5DZm/8J31QUqJ+KsNWCh2+a2grdNGwcf9UhmUp82FtceV+tub4sUu7st5Y6Ep7njq8g5Pd
cDCq5XyTV4Dp/TxmwEzxS4SECrhiSErm78aiPYZJX/BuKjPLh9wxfp06S1knnSk2OXy/q0yyBJXq
NX3+WSgNYwkqoG0Z8fDNhhoFZFyiPuIiJvuQ+fSHtGP4N2EUvMpTE7Wy0zND59AdihUQ2BwtjWD5
vmLQqdg5Eue4kR5+puY0SUaCVmHggJ3MdDfyx+ngV6z6YC9JeCAMpbsr3UgccVp/Tm2pPCZ5wSxO
lpYn5FTuOEVHQb2KNWqnra8XunmbYmpvByd6NRWOsSXJA7zB9VvmHtnWdbOYs72heClKiB2c+Lca
0y6nZbcDW64iIzERFm912RFrsfDp8aDfWsakeondXTifEFShM3DVnPtw6C8adH6Pk8sHVFXaeWIg
hv/x/7B3Js1xG9u2/is37hwOINFH3PcGhepZZJHFRqQmCIqk0DeZ6PHr3wdZbqRzjx1+4zNx2CGr
OgCZO9de+1sl5zBvWP5BwNVUnCyvfgZ8SgiD0Y5EgEafqRIOy1jdapkFzqbss7Tpg7tVdT+m2vxC
HaKvazBZa/Bh3ZYFpg/A9wbcgg+jGW5CN3VWGZU+H4GkIJuX9iVDBNDa9bOZadq27TOyLxs/f6ow
tnBwM+kPLy4IGYXmFsV0ZM4YP2asF1+bub7VHWsmI0g7tjB5XyvLUA81HGlM2CHFnlnnm4GW+G0+
EFHizViG7VaeJ8DRz1bmPThNUu2qETXDaCZGl8LM3cyAJ/a+dDx89t5jjq1ZYuEeHiMrxMZGUJ/L
SrmkLfth96bp8DkCV+rmHTKfeVMkknJ4IDQJo0aMrzePy3tTM8YNiD4Vr0VlXpq89beNFxLibMaw
sXlyVikBRusYWiVxUaP0d0qaTOlFtWHQLJ0qaHG2h8G+d6obYYzdVcQEKYESSrMfqauSK6tw9M8W
X3zdkBEdYLcXyZp0lwrvsKdCxXT/pF+Rh2K3h4ox05VNAtL0VSvtWdshW1Xh18l3h+tcUM+vIqDM
VImJqVY0P5lFTY37b8vXfxb6v1noIZcsI06/93T+ZaV/+lAF81R/Xui//53fVnqDmHmTNcbU0Xlx
jf5hGMX3Bp4WYA0DUcjN4Aj+aHmxPyA/f6MRoXmjiP2+1FsCtxwslUUJJxYNyeyfLPU/quq2gCOI
2E1PbeFuIFH+JHhjJermpPLIdPGAwxRxjM8nYu3502/yvzRJflIioSIbJt8RcpfJZvIv5Oqw66Uw
qyjcd9D5DExduHi8Maw+w94YbwsAy4d8ZtgKD0dbv/z1ey/X60+NA1rDvDnCtgcTnNAPfuwfZdAY
kNFoZp6PBgRCbuuqZlj3IypZYevZJTVE9Rr5RQ0fvGT8k0Hf5GPUkBA2jgKhQcICek+XJru2h25t
Sk0eu2UqpyEsRgvSPCRqcFJMRjNmft01bngpnHxY/398CXo55I6yNXMj/aTR68qq0TJnfy9nDCOj
Vc3bQiusQ+IO06M0sQSGRgZjQytYwg2C/l4G0hfXdhVNfD7aB7cOleFt1WDk0vuZrAx0hy2Gxfww
kuWz9frBeCiSbpE7ZkwcGmNwf9MR/FFu//U6UNj49DmWBq/4qaZoMPp2kzv4eybyhrUCAbAaezXt
XAIL/vrX+llEXq44vT8M0N5Cmvm5r2L3jDDUBu/Um8xQMA7AxSNZ4KhaU97pdvR3PcCfHqJvdxja
Ps1pbvEFj/jjHSaMpiwLLef9SIC4Y0UBVtBF/6yv9+33ox5Dx0fVx939c6/NVywX+aB5eyXoE3v8
ajXUrn3WeA9//fN9a/j80Wr79k42zW4WpmVd+JdFIWV2xF8G7/eCoKTD7GIYjH3umWniwk0FEZ8U
Opj2qqrNLlNv0ynKcTBamL4uMc7WK0o1eacmUgAQk3FT1SiJaF6GOe+jvA6PVY5PKuHefOwjtwSy
MuuWtorSYWb8KuJNxpp4eWD4yb4RTGEPzpzs//pLguv4eV1AVsc7brvCpdam9f/jVQtFmDMhrsb9
gP2VXGEmaYgMbQ4aczrbKmsW7bn6OuZKW9tZrpjKctN9XqTdtjfqdpvVSt3gRASB3ZYmDI1S/2QI
nIk21pfP7lAUTHc5G2UM4t6ghZKvFOkyAbm++QNTcP42nqE0tSD/HuOoFOuSwmGXwXZICRNhOcsg
Otj2Oeqgu/YJrRZ2l5jTXMg5OXKSvVb6cIrshIA6hJldY1beA8309JCCAlqXhozbFUXYW8zGExRN
BsIG1+O5zmEIkk/lWicCw8BWho69qXthBY5Vd4HTOVUOZieq9pmqsqe2WSYNyxw73aSdwUlM79M0
NQwCxO0mylpzZ4dW2qxSJ6bszAh10gCf3tmxqT/UXVN8cqOY0teI4cpluj9N4DdiEIaYwXB5lvH4
DIwFrkYh8Af4fn5Ip3Q8zbhkz8i63rr1kpKBIzLGzl1bAmJIc/sVmylJFD7dljD70DLNu9bKXFtb
URJtNFcdiwKMRu4YcpMJ/zD2Gml2YR2u4N8N5InQLOJ4UO6IWTwtv+eaAVd8jr7HmH01NCujMF9w
gaB9Ipweoqygsg7r6VHLUb/4U32+gWeCRk9dKjY6+0uQFoO5E5XvHbrZMl9V6DS3Kb9TeWh1DN3S
bcyHzCIPo+aO6Mmv7uABvkK1qbZZLDRkjNErVhWjD490ArugYiKQSzOmK+T4aD9M3TaOzTsRFt2G
ta0/tKh+KwiDrQfCRbybimuuHKO+m1R+TcRlDDcZNG8f5d26C5nUj2EVYB+GhSGQTAFLW6vUH6P7
Mo2u4Ux9jik496Sk6JfQmAn7VM6nqc1eRVHi91UNo16pQ5PLDj2QTco4uWM3HEsIDauqn0esyGgp
HYyBVUtDBJuvFrNEdUNgQIdHNavGK82LSKIjETSYSA1/0ep44sOM4TYWGcG7mYk8TSBQz83VD+6a
bSjbJpEHVCsdkmRNRKvYqWYBbcxVdWo1WCuob9NrChPprksa11sBHfVQadGJzzOKOstUY8iraTIs
RK0x3xtmojMdzuPiaFOlZytfijnrNoITwAp+NzHnbRwGo56Wb6q3ouc0NLp30hSnZ7NXw7HwvP6Q
9T7xsFFtnZSu1TtJvwZXuN4fOqz2Z23KavzUEwwUAqzcxoDH5bszE3AL16nQo2I1avP4aPXMNdOU
jw96FtUbK6+sIJ066EgcgXcGEPZTMiIVl8haDOXwn2nZZfU6Abxx9GuOuZghph2+acyqjZ5tw7Sf
vvatGqob4Mz5OqwpCmaaDytVAVKB+QPtKWLnMGYcckLvalBFGJ/5xuroOpjF8TdnDD7o09Xc6s2n
2R+ss+BBvYELJrt1FrZQtvW66j+MlMamn3P2phOm3mJ3jIjiS9ynGJrqqWRe40HTqS9oNMZnuiJU
Jz0lH8OKQCchY/Hp0NqhpMAA3TCLmV3yyJLPpObiVdXngTQ06kLNrqddnhk0YC2ZbevI757Igs8P
kr7SO55ifZ+nzA+kii8pa8ovyMfhcfY5Yk6TWd+Q7hoe3YbjIvZrF/eniReWNlC98VXPN6cXcPb1
YljbHZbdb2Zty7bAERH8hUhv0UxC5c6bTxGySwB0i0+Sdb6+6/t2ERkdI1q1pku/rc1Se2MS93k2
WBhwHCM60qHAtJ1C0vDdLjxSq9gBKbHwXZmiOvY0XdD94+krNXD/lPSKdb0S8pgyn5AzYmkJFONC
7sJSs6+gbGqXiTeI11rOzjuHLv1Ce4rtz0NoMzkYOnF70V1iIsMs6i5KF3Kt3Nh41j37qskMpr16
We1oZ88kEZu6eWWPBOdJFgUDdNpNb0prW6MRHqAfO0Gfp/G2MkOyM8vuAU8KaT9tm6zsbLA3eLJv
VVj6Pfn2Ub9TdT/FO35+N3tTlifjk2oKict7ghfQjmU3rZjdxc1sChWefHScmpUVAh04cmHFN+Mg
xmL+1dTynwPr3xxYyUOnzvn359X1d+zjf1Vf/4thx674kuBZ/BUscnj/P//969//7ezKbCKByhw1
vV9Htijpf1Mp3V/wfXk+MiQ81EWo/P3sanpMNFrMFfompT6VPn/0h0zJMQw3BOOO1F2CP/q///OD
1a756b//7Gxe9M4fTnbM1NgYWxafFk4Sc/nmfza4TEaZGYDn9D0BwyAtvubgnccpPKSety4HyPeJ
fqR5vkH5eTYypDiz+Ztz2TLQ9i8fAYMNKBK+M8ezn85lFbST2vM4ZVQsQjeh9Tz59anps01ZbKNM
gAindbP266ikhxpe13XEkyiscjOIF4vBoDlmGkOLrvVZW3EO37Y+w+8uloOYiXvL7ld44ddaT4NP
r99wxvA/4RIp4YFnn1Pq8uVfJ/Zy0PKPzUxIW0GHVNtMtr+3qpYxm4gJY6njL6Ld2uJ011Rjmms9
64LJLJ8mjwhn7on9CGarYAu3hHkVdYMLjHKGZg/+38sZqPJol9gpzvvWbDZNdoJGdIdU1m3Gkv6r
BsLK8V8MU+MU7L4Ca2O0LDVWiCIASlzC8Hw6GTGt/5yTdxGoLruMWviQykFtsqbY9G39GYFV3yV5
dxs17hXzbV/mqAvaNAukM+Q70uK8FUsQK2NZvhWjpe8yEuGhAwxvpRWtI/oxp7IZbCbt6qB2Gt5s
3iaZeY6KNPrVWfWfxeVvFheCtBaB6N+vLruPSkU/Lijf/85vBnD9l6WpQPiILhYz55IZ8n1F8exf
HIzQAmQHzmsYbvzRb42PP9QvU/+FE5uFkIaBHBFV/JMFhLXn58d3ab3wYjreawIcnUWz+JNX1hdV
ybC/l+9J1HoZsnhctQ38FcfVn0vNuVeAu5jWl89eYTxPwwB+xJ22jJYc28n1NrMmxcEEeHpocn9e
lcZgH/wuy3esBfXa1SQwv95XYGR6Z13FLjNKXqOfNM7An2nA6BcN3v+OhIxubRL2G9RekmxJDQU0
GrkX2ije7TAnaPNtcUUmz8CrQQ4wByk3jSag3A2WOuqtCmRfnImlInmjtdpVmo8H1bjznY1VYl25
gxsY09A90NNkMHoaw0NM5s7K0oy7YTbtHZ6yT45VJCsx8KS5RR5ft3piXKUmn0nX4RgYTqM2NhjM
WwyHxFjkTx0kss4ckcYkHPTC7V+rjuSD3uyRdsCDfeHYFl1lWGXov0BcqnPp7GxYkhtlYYoZOOWA
88mxWZnmO/m/ECs6Ea7hIVjL1OWrIH86IHn6mPoZRpmEaiedkaTmluh6winAPbnlpZDNtv2GAdfO
Ie6/TafJcY8sMqxGtzIufi3y57a360+0PbaFP9zRGSkumY1NLck91a1SD9xegGEaWpMZDRvh9Xog
S5k9d3OV3GVmbB3MhkAf0yQIEaNKr+6lqYX3nLntKyvDQ4ZWZpMP1TqSAZ86uVFVPjxD02/emVrw
n3AzkssJO3igYne9U9z7BcExDGzKLvfu3IEUnjI3cbLl2OD2renVL26SkiGaun3+VGYlQ6pYD7Bv
Y0WzSgDZK2QZlMwIC9TJlUwOQOo3+PF8gVsi7iisG1GXtLLCkD5cpZdHqc00cCTRbBLAKBQT8iWK
hGFIdIWJZudWDG762RU9lrcxJGwMrnD4lIq8usc3RPxjkVT3sHKxIjsjPr8h9U9Qc9PPNeGDAN4M
XIGstjOuoxRObqtjU5sYKrjp2oytr8N+t2kSiuJ5IEvLbAfOZjZh9WslPeyXupk/TQnRKapDCtZM
s0uDqGn5VRVpP/ilUC4rwkL7ccJ9R1mAyaayyyNzbAnbKfTANdmu063Aj/lkd4zo7m38wylGjWi6
uFj5gDCSVX0h0hUPJbt2FpgT1wEgMi9ItyyWGyya5Wbqi2k9tkX9EvP87RJ8qmBDAdytwzHBQIrJ
KH+qjTK5mRhdfk/k3O8M4Fkf9qjG27Aj+uHbJ0vDtPa2fWfw8jmpC3cR9lD8cAoxhrLau/vVKqm1
xde8iC1O0tTZDR4fwAeTQ7d0+eKtWUyXqbPbR3cs+B9zEEkHG9vhEtZWTRvdb/pdOljp5293Gh1R
3m2O/L5bGZMg04owG9AJfnUesHdwwo3SLrBnmT9Z6HvwwLSEhJvCcu9ASFqHKsNxbYzQXZWi0ycw
85A3j6Np23VWeWRclqsmGHvc5gO+2taNk5tSr5wz0xjTlQwNcQn11LsMUkOU4o7E4uXb4Wdf0IUF
hxnj+AtHXqj3eEd3Iggoj2LtvpolBG4nre7hYPq7in7b5tvVKoaiuidiDytWk4VlGxho8Nh+eXon
17JPhmyscOWgRfVrJ+LluyXa1M2RTeaZfySe9+IBhwmErJKgSeebpoxvetrWxD0/9DKqVr1NEyLx
VhFE/8D3rkXbnfUhuo171IG8RXBL1Vd78K8IzCP6QaPFLdzL2Jhbs49RleenSDXYRPXROzkOL1iH
NiWNthL1RJqDKKtLyz7WYVKrADjCh7lYdfrYEGV44/Ss4ZnhRfjxajMw3NIKkmK6IbBkPYzpugFD
Y5ZueGu02ng2RgECC82UQWTPiXdOlTHR7PfWBnhYwdwJ7uW+p/PaepnkmKiM9zIaAzovH7IkJlTC
ubpK5yVdWBREOAj7TRntvvTsO0Kn8iDrO/MMDxRlJhLPjea9Ef0H+7Zsii0nUppDExgkrTDJvmiI
X1kJJXoqLae67xCRofWk83vR24GYYxBKICe3dTuiL3X10XeznZm2McHgMxc4cYztKNE60mHKTplj
PDqTzuiMLw/ZOBUHHfl7P7AIr3UPmWIsMxL3fNij0QwztKpepA53bcQ0eZoy3T0qbvxdOjn62u7D
F90oZMDUM+rC9NWc6kudeO5HIvAQWIPUP7uOBvM7yx5ao0lf4bwSxZ6iOuEE8gLwlDjIG79dCCjW
IpTOrAdmn++jdEYmZjLFAoe2ppt8L4vmPZ4w6OmlN92MmL1rpNk+aYmSEnh1SHHuNnMvMKMazk3O
mn/HbQUGzgmNWxJoLA4BxFkGRael+6xE3AGM1zNOL+qPhryYDWPmh6mospVZ168dVou19BqfELT+
WSfLONArdntfSBsZqHvTLf1FxuZOn2T4OBj1tDLNDJu7OWQB/DbtWlkQN6dSDxweQ1rYZfRMCHYT
QBdbt0Q3nKAoRBuKBO/dcokYd+3EeMzoQVND4EkJSKufjgMxiKCBReiN+MLSx9SFSG01VvHR4Bb4
aJluPfoKA2EZNeG66rV+y54+bLOGvxsV5oahWP3GDdPqjpbkyBitpLJabLhDrbybuq+HzyUgqs+D
MMwbB4h4YFNhYVJN5nXOU8RK3iadG8SlLYMwKzx/BZIsOvUjVO1jI0IDLBSBEjfCl93Wi2Sh80hE
T60zamfHUB60GTFKLiICYqgibdMTI3dybWVxx5RMEGObhmVqzQPbIHium4pBq6MFansTSrsAaiHD
J18m7WXI5iTFnE4k1ar1S+2mjTz7QKWQId1UcpOMOSa4wa6sTazGryXUgLNB0N/joJJhD3ZXfnJk
W5FLNJEcMPtxMLgDk9lWDbfenQ9ZQRVW9L121CsWMObY5L4KCdCoVZsGKcZOhiOw1YUSw95k5V/c
hlNSo8LhnDka5sWwVMwlV2onBQ6dbkCppGa4HisiyTVtF2EAD3JvfkmVqup1SuY1VAKp8I9kxioh
kW1bWDosHpVZu7mar0dCiHZIUWwDHfYOG6DX7YxOBneuati5eu88DTK/l7Dt9h4GkRfc+zewSpoP
bHoUIM7Ubn0S58H4hTWBNUQrKLWIuwoTNFKDQBzTL+yg1Zlk7m5V+6hHjT7YTyjku3EYo3WDSXJy
TPcG1yHoDc8D+1Ui6A4JvmRDbaq+ij4IbNqZLVseole+6ZOUk6o+jseE1mDQpU14ABlxSiJ5sULb
XgNaTg/T7IxXYerFfrtOtRi6vGPOFz9jdTWu3A44Qb9hko9M1h0zjWl0RwKnxDvSNUO04gtbhO/4
msY4QxRJJjpwu0dTEbhDPo2Hkfp3PtmUKlmQRkVmb6YmxQjqIcfj78vGFIB535EoVwAFw2qPMZgw
yQx7j0UfKqzEnt3w01hYd5ru99ui9LsgsrrhPnTneWNMc3MTpaDn0t62rlt7fpazmWzm2rkkfkWf
em6xGPn0mXLY3Wfp1vYXWgtTkMKv+4JM3l4PhattE6P/UNGEGGyL/tqDbrrGrWYdYU8PrH5xc+sP
uTgNriMvEaXKhhA9cz1p7mfCe0JYmF36int2ChIGMLGLQhouNJy3UUoMfCbpJvV9MgZh7cVslUQK
jC3wcyZ7HwhMH9EXGb0zKbQZ8Xl3Bd4mSxbEORgLXtB6iwF0rEPa2ccpmoGrpsZS9Edw7L7o1tC+
E8SbnoahbKjjG2tvgrc6gF6513tUWyRipu3WWd9mhxkNHBV1tqaTlSiI+Hkxf8qVnl83cfHGAZTI
c8TYrkZzABIDUL5aJ2X8JouCXV+TxbvbO8uaRSj6lky0fqsMXb1QvjgbMtTGSxtCJKUGuphJap/h
d0T0lXAcHbEFQuufZp40UpOeHIjdV2RnlKc57z1sU1Obn7NSunZAdmX8pUTbR9MFebotaKIRgOsv
0B2OhhV1QO5774hPLBx9ZBuXpIu8T0B5GCozCwSUuAKyzsCgpbHk46sPOn0oH0qK/o1tzB6c+7ba
AgEbN54xH5IJiEpN0Bcb9JzdJMhALwZRwlB2XLx6dhnDn0lTmPyCNz/LiKIkrTxiIOlwtA+YElUU
bnCulbOJA4p9cJ6CMRlm+lBEHxBwJZv+a9wUxd4122Sv5FCTfFJ+ZCPc/2YCEtqbzSlTXcE5S3kX
p9D72yhu6wuc+nmdYX2DIUSj2I4q3F6hmaxTWLhHPtgjB79w7fpxtaX76R1yR4vUryaW/6g+f6P6
YCtw0E3+vepz8/FFvTbZDzry97/0Xfbx7V9MBBaaJxxEsCwtr/dd9jEW2DRuVt0B5LWM/v2u+lhk
/+jEbUHGc+HZ2csc93cd2dL/ieyDi+pH2QfXLRBprBSLfO3YfLAfZZ/c7IC8h3F/MovZ7+PrOcNc
AXnRtGQ6lafeTayJbJeEUeMPoKEeyLwkGx5sTxEJMbfhfV54Ifc9H/9aGalzFhwCTmPqCwsGugYv
qOFMQs2vtG05J90zOJDiRnmuTNe98LutT1/7RoyeCU1URUzz9ICC6JIDU8c0Sh1R2AHGbrnVe6+4
zTK9vG2Hobv4pcN+kUxR9qTQo4CyKA9PrnLKZ10y2tfpsUaCjVf5lzz2iosS7ZPjZfOhYSxw5xpu
dOtIe77oRq4uY2SGWxMowHkO23GjDWZ7zGrWrXEws6B3cEFa8UL/SUg9eeiSdHx13ULuGeCgSrLY
Lm8l5Ntbx3XiT5JRjYmKNCUPM+rF1o9d496FgHOxRyfd9PqyPWp6OZ5UNIiTJ5tHwihaBjCZK8f1
0Zsi0M16ZnnqsoBBmy/ZyBTgyuyzZk+yTHKSuIqRSmq7+ZyU8xATyjeFj3mWFjfskvEWRuF8VIWF
sTdmPmPNeuoGaZl9Q1dpya3wm3QPvuc8ZGm6ddMxW8+xnTKF4vt7fahA8KJonyDbJDexUSCIt8Tm
3WMf6rYQYLKgdTJx9tTY7Cchy2tX6sMJiOi05/xrvqaWWaFWGe09YZo5HfFMowsg6haFPRYwzWqr
u54NqW+l4WrrMszLOw2h5L6drPYFNF3+dRKN/iD6Llk7QMPPhEdpjH6728jWW1IFo3oKsCL7t4SE
F8+mYtcxvLpcL6eNDTCpeTfoQN2YZRjf5dA0Z6Otq1M6tmMAdWlJnODGWWoU338zzbRDN1TYRFba
jGN3yQ6GDASR965slsOv48t2MxFmsir0qt96DQs9qXivvei9K4ZYmCg27frGUoCAOrrU4Ktnwm4b
gjxGgzTQTQ8w+lQTkL3Po9rb672Tf6QlEQ16jZc5yaL5zHZd16vUDrU3rzJxQIRRQwCmHJwcRp7L
AE2ZODC+6phkBVjsGEHClOIsJ9oZH8YnNabjyfEzfRNbTXedUNUAxqplf6eow15kDuAbCFE9XtU2
SZu+ldlnT1orUOPRru/d8pbsw/YiFh9HZpstmmY/c5g2jNJdmu7dvIrb0V47DcOWqwbBZEBUwFMN
NYM4J99QB5sIl5zoPIMqGGouNaujwuKJZaSGBUw0UkkxuOm7gnwMoHzX9GTLYdf1dY0NOWEbiyd5
LqIiOqvYEuy1jvk5J6yGQxWJPJ+aMHYjQk676d5xMhNzL06XzQzkYQ+TuTh2c8/howCKFQa9hrt7
W9aQq1PQAkbAOFBW3GgZpx/XKMndcR18MIElZchKktTzGjP/e44TzAPHVozX5uxy1EoyO6FPPvXa
U9Q3gBZwM/scZLRoXJsJc5SM4pRSbMdRzmzVXj3eiVw3PqE3lhSltVC13OZOhShyjYTvjYTzmFHR
jWILzRfQaBANk+NFlORdo9+HzQR78TFyi7q9tGbcgWCUQCvK41yLRgO84qXFyOG4hyF1r9Ix8t6s
CMZ6GcRIe4P9WBD5KN2NV2PE32pd16bvE9EARraDGqkUGxeb23/qgL+pAwy2Srbgf18H7Jl5SZI/
d5O//5XvVYBhW+B/2HIZKjVhAC1+59+qAEf/RVgOmZoMnVANLC7p780fIX5h3BTLs03exLdUwd/L
AINOM+gfj7AKAkr+KQLU/rGXu5iTvW8FCtQB+tb4MX6sCghkyufUjsQ9sWA1Z8+5aCZMi3zOZeTY
P9VWpO7ggqo3MnrEQxxn2gWRYdqVFmPI5Et4dpA3QM1XWI+GNfaQoPU1MprGvn5pdJ3XoSwFHKn1
VXKbKihY5LHZ5qGCYL/tLJiCtYGwLjSivDmrYYNJs2lXMU9ymVO8kwyGNfC5te6jnDWskrE1WGeN
Q/l5LFkzkD3a4dVnm3h1MZYkaCv8bAEeDeRvlal5y+Mij+RO1F86EaevLc/hrZaB9BAIQS+TmlVA
qzpzEcfn9gMitYGOmVvklOnGXRQ7dyiRSbICeSMel+5P9jftdPPHwuzbJQAz5XJViRLxYBX8eAkK
dotUCxvnflamf7DNDm+ioLxZ+dUIN8xkXIbWtCj8W4JpxYm4Pr5a7XgVuLhMR0WOib11Xbs6+HPX
X88Y4W5EZ1XvpORqn0ppN5d4yeW1kzS9Rlg3YqCTKPpI694uiuGKdhgpz56nHtvctPf2MhFNvfIg
YrEDLfieSkIE//SQ/C/meH8xmv5ht+VLWwsfbel40l6lRv7JQ1DDKohCvSbnuSrCF2O5+lFVGc+G
sDBBubo6EKiuDkU6QFyMUZFY79t523CqhDQ76l/qzFiaMPYwnpdRkONQmfZ9OPFv0hTiQ9SVcRWR
WnSOOwcyJbFet7YXPtGUETs/oWWSkQQbOFmu7xN8E2SEKI0xTdNZT5VqN7OOn5LWv95f6bP5Xjrd
aVDC2LddaO8nD6wDU+LmOgEeuhltLGVs8PHWTl7y2k+PllUNb0kMaS5vzeGt5twGW4MZawWWFJQI
wlTdd9s2GcYLD2V24/YU0HmTYW02GepMUkUCt3IYp4dZewUJuiAZ0xu7dZI0khzllNYYyS2BSOjS
uGU5XsaSq4QrN0mvi9iUp8nLBW7Gsv7wcuQEcK+U64zUMN+2AAOwZTbN3h/r5CrHAHkd4im59Uqj
v7ZRLFrK+A64iIzndA+/KfUDUpTERUva8dy0Bj+oWJpfswfN1V6eTS2bobUOzScrJuDTJ8P9ZFnK
D3Q6Zn8H9PpxzYJT7Amg4ihjhomvBu/5jw+MgAcUMp6rXeJWZ2TY78qdZjR008bBwwCG9xR+GveO
qua3QXjgCvB0TIE1TPF7yvD6Te2I8ChbXX5ypUWeXpzrO8jZzyPF0lpSFTySHwp3sld2zqGe8a6c
a3+qwhBLShvNm4boNpihlbgQAJJZ8Lf5qlOnTdfWgv5kuZq2vYXyxYJaZWj1dWts7FYTm4TOOq85
9uMNLNX57tttW6ewSZPEma6VhOdp1Iw6VbmnP3ta0XxaUlk+ldosYdkmTPQVdUzqNopr8qXUsx24
fHDg3eh38crsOmdnAR13N5kXe2dPZ7h889eP7reZhT8e3eXnZwrTcxfcllgcCT95yAcJuDKaVXih
5mGysTVcYzUpqd2ns883MFKB2i4b7SGdEnK87bH2aybX8T3vPD1hezF5BmkO5TI8ellfvxLgoaaV
jzRCqWeo8IX2FV9m6f1ie+y07T//Alh6+FjMY5hQuH+6f0o4V8qIcRswet1uxtQYb3BSRluJTZ0s
2pJ1JpQD64VYzPzkAGobcB814XK6fWUMpLrx7EEwFlP1ao6uQZboCMVS1Ex3y9wLH3JXFuEqLiOU
6b/+7N/2459+fAvELwdEAREbC9iP9z6d5ETN1mBfqs62AVFDhvjK3RwyIdGo/MkADnCdjs14zt2+
3LXFQk0RZekcvDrpj1UBPXagN3nI7UEdKmY+H1qn8HfYXhnJU7Irz7PXJCdkyPF2KPwczkozNF8Z
RqS34ifWlyYcuoM+zx7oD+ZybjtryEqMlsya16k9r8al8dl2XfhJxAZnT0/zjg0RxJuQOZlt3pjR
tma6/IXj+7xTQx+iwcVqM5du6QWtEOOHweSiWonCYtKwqYWxmc2a2MYq+2LQR29is5QrE3bAIbfo
fJUujzo1wXj77dELfS16V6EW9xvoXnw8+mjHeVTigoxKy7xIQfDSPmJ0vm7mbQpt/IU7r/8grXRZ
QZafJnXDY8dx+9rCoZYQi8XKVyeKWBZRZA96LWaUACjcz26RvplVUR1kFI+HbBBNoJYGoWYhF8cj
bQ2bxuxNaqDb/s2NQJH4ww7KY8hENDUDQdH2t3Lwp7KBtbromqyXF9T5llw+nQds9W1tzoeR1kgo
48Al2zVZEQkIFUav6leHVBXsIKxJZB80h1iTLhOdaX6UCa06sEF6ggiipUlBgGi5bSUdrBVPkv5l
GvT8keW//SIQ/T+6xLW0NZiawl03sbcE7FCOXfdla28KV5+4DyxIX4zg5mG+zQ3yDlc+8e17DwV1
Pc21exit4pG++/9j7zyW41aydf1EuAGXMNOyqKItenGCICUK3tvE058P3H06xGI1Geo7PYPe0Uat
LACJxFr/+g0eR3ZINBStNAKtylIOTETksGo6tftVCT4r7K9wVReYkY/a1GzN2TDBTqO55JyfazlE
7WMzwn5QEsgVI2Zda9eQj1oJTIBAxFjwe8KMXGJeCNTObNZYb5B+ECrxE30gGoK+T/aFFqve5KZS
YfQwVduJ8VFxAVWftKGyS8IHvgPRQ6PEBAqTSGPA7I6y+LGBagDbIamswAupW8BAMDygbw7L8JeC
UeON0g9zgVOPxV51EFUrTWatagDiYEHf167hYWB7TLgTR15aNNyoZqj5937b8RrIUJ/8pWM1prlK
sVq+C4K22fmqyVdn0mLjNTT8SC4DzSqTM6Vt5/LHlYegjQpaZtrw1wxCOmTtCir8zHpRl0qOmjoQ
Q7IncimBBjBAiFFMGTJ1hPP5pBVThGsjoaaHOIdGutDAjW5qakuvRYCDx1czTb+BDp2d003KGsJt
gi8HA140FvU0rLGBJsgWr+ZwCS5gL5AAswujiipzMQb1qsWeGUC79NVVZEzpb0zMb4DQMTDD9KFA
J5OQOJsOtPFAb+G1ntkDDlcp04zGldPh/UT9v872u852LsH/+Ph8UvlevET524fG9p//x78aWwue
9IwjW5Am3mFs8OT/5UmT/ELPC+4NXVoDsvp3X2va/8+kYqB6cNV/WTb8G94G+RZ0KfTKmBlDK/4r
ie/ctv7xmSTYguE8DdXcXVErHutfJWcnyJYyMTom92kt5AWZbH/cjRMtzOclgDhnOTJSYnTLxz62
fAYBh3S84Bk2LRJk+4rEzd/ilv4bTfgvVpl/xR9kzdp3sb5BiOjZ+XOjPBfjWyv+YfZ+oJj/SSn/
7kLAO/5cwo4KMy96luCFt9UDPXQ1fdPuzX/Fh8dBxa7aMP/w/0TBaB8tYY2pnveKU3sDWokFIGmw
jMrikCH1EKGZ/a3o9n21mdUP496yjicd9ijGVhR27ckiEAu14R8RdrVrINn0m+b9071jKUKOiGnB
3Rl5ylEbqzaEg+ijxoWFTnCHj2PF1LfXLlQ8Ir754n/smOmQ35ciScZEZ8CKR/dQSwQMEYOl8hrE
PiFyxbNq8mb9cRoRPY7ZtuiZQf/l9mNROCcc+0BUSBiOFhURBDeliED/E+6ibvIPqyYqFG/+f/nq
/MdteExLnq+PgRNvLpa6lnms9k4MpZzKUqm9TPJNW6Q+BCGlgqOQ6OrIbLyurksJz4Vk4/Ciw5Xv
m/s7z7+O96hu8MF3+fIzuJ3/9z/eNBmYZYgsrfGcDLDEyrlAqxruv76fR63r+0NkvIcAiTYK1rf+
cZFRK1rZUn97+INoW3sIUdIGtuFfpjrCsknqpI10zBGKOqs3Xy99av8YuiX0GWSa1Ssfl3aFOWoB
0zkvJsllXRqCOVSsSJxCFJUIPCMIcawKYXZ9vSx9+bxJPt7Z2VaHi4XnjmHPscFww3AwDnqoekLJ
65+FbakDfTCYCcL4yRN+kt6QBkL4BaHpe6NRuw1cQx5BPGoEzfXDNirr+kEP4aIto6mJV3VrH3QB
724V9qRIuvCkNoWP3MpoR+ZDwAO3kapTQ81xDncycUaiMOz4rLF6Gxux8jlzYP7g/rBOC63HoAGf
LLcK1YXiatYqIbjxIi3pd5KqKwiNrzEtrUk2DdXUPlOdyfqhZDaWDiFaNOJfFOuMXB65JJSjwbZQ
YL82A/8LvMLSFQlhHeHY2XRP7ZyuqAp1OM7VT4uqZu9HcMMcpcIRxZ6yrak35yZJIvdjLon38Ttt
q3Q2vm4oXXdmNpMzO83cNAlnqD2W2oWjYrQZ007TdY39jYEN9RbLmPbcnoAEi8nRwXIxxLrwfZDU
IubYDYouPCCbHH66bSYP/WTg6WX5I9uA/JKtEk1vQ275TyFBjTE+rul0bw2WMFbDpL3V9aikS9GY
7W+lQii8hMHTPrh65ISbEdragYR7/qL5BgtTuyikwOsxg1i8tKSwVuiO2/PU8o0WGzjIJj4RpeWS
35csXUEL06WxchkH5ltLVu5ikG33K55Vo5P+5uau+DHqIlianRI9kS8c71RZcUvqkBcpH8y3qS1q
l3DEavLiihMDX1wegvCnlgkxf1828jvi0U72mSuah2je+ggy7bPM6cKLMht8jIFrbQu1KTzA94mJ
czL6FSGS9QYUSQWTRje74IMTLF1oaGsH9XAMSk7yh5Am/qLU4FCLJnIuqrjdDhly9ljE/S04T3fb
lj5/uHZJf5wz5A5pgGWOmvpkaXH2MvgqunWP3urKcbmdyBUht2d1qa+wsLYv28GNUbnrVkb3jDXr
YqwizUee6Ws3ZucHBxlE6u2slh2hs0TiCuwk3oZk6m41s/ZffVsYLrtE8S/1wcVHOAltu1uYWo4c
wPfNK3pwtBVERy3J4MQVsKyr80qhfdGIl91Z8NeufQzWtk0ZGtc2hL7zwRQPflYBwNG/DTie9qrX
hZWl76oayVLXjQyEUZv6ry3RYAu3HIp2YSidsi1k6Pw248T5rQSk3jVKM5zVeHC+hq6qrYOuMpFR
ARyvlaZ1Fz4Kc+6HrybWSpvGXynOVwyw+5GssqBU8R3WJAkzrn6eBoF5p+JlTRwmJi8sJrStY+f1
Vgzm8OTofv+cg44fkJiq+AvoqYW/5xgtIzvqjQVTdOenlmBZB6MruwTrx+4MmO0ix9fiit7TuEvd
VtLbNY6yHiu0EIMOAZ9p/WzoVzvXcVTnL+hTB3wggFPHOGwvx6ayzrXRlheEQouzBNrTVmNmuSxl
a92W0kDvP8nJq3C5ID1HZfCxqLT58Ep1vz3USB9yZGy4Pi1yFLmrCBb8pvcH4uYj/IkXYVqEtxWx
Yb/EZDWe1nMIJcCGW7aGWI3ogDalxMCzLWCirpoyalYUlOa6U82KhGhrmpNkqvBu0jMIDiS28HcK
P7SgGdn+Urfzac+vDe502sK9hBl7JmJdLlP8KatljAEEVL4sdncOzcKmiGNrBZGMMUbjFhtYVgUJ
ZYGyrcMETCG3DPaEA4a/oUEg/EjW9U6BgcZlVI7c+MAVa9vvfKLA1dRd9vTAIZFsFDg6LtnXOUXA
61C1LcdYnxxgxznbkLjkZcsp8BxFLhm1vW172KT2b7ZK3JwOOfWMZKV8OxSIX8i5iUtoPYX22to5
2EbqRv7vxu2AfppxuHKxUtu//3E9t8QtIoV6J8eA6cMk7OFqwI4RDxxJ1pODYfKaPUykmcTh2dQC
mvX3JbEbpTenYYd8KuFfLIy0VV+TpG0ebbQbq16E/FGzRjj4DvnmyCPhzoAxmfno/4hxEn7ooyzb
vgPbkMf9dTRpKt9q+AZDpYKpjx2520X3ghq13QGrIWgMulhgyJuo8+cdz2tZ95cuPgx4tM34Za25
0QUEi/5CU9rAXUitGL1CcaW+cErE5rVuQFVRnT7bx40GfmGTRdnhbkIGFzMEfrA6Aru4aJVutbFR
n9qmn0jGanh05QwqitIBWBlmwHQqO5aFO+TvR8DEBVpr0vhmqLGMrGHAjI5H72BGh+8t2F2XGuEv
l8AcvL1j6zarLXHma4VLpBiBeJDzwZAr6s0tjWi9I7c5eRjcyN3mDDxuZ8AIy1fQd6dt822QkDvF
sAVHTZfwqXeP68EipZfQAXdZuA2xgwTAXRu1NF+gzKdr/C+nveUzNprY0UtCPdo1/N/8DcJqt4Ob
0tw1CYoHNhI0olAJrtq4c2H4ZwyPzMbdRnWZ405mWE8tvWiLm7nun6cDypxlA2F1q/vKeA0uA+6m
qP1bT+rRfYbWfgk5leTmOZ7tn+eUEC/6W6r82BErt41qltqlwGr9LvATDhkjkfs41bu1IsboR941
zsEt+nGjqJ14NDppPhJmaD7GopSXfKmsTViFykpGkbJSSjP0bN8vLqZAqW+KMMvXep1nayUxxsv3
u96iVFnNRklXeqJu1Dwv+PA18ZmoMcauCqChHPNYTIY1dTOKQj2zqzBf5y6Z3JlsjXVZZdpyrFWT
l9h25b7TZXrlO1qw07IQ+u/7Xp5gXB5cxcREEKjhbHKi8dJucn+dpTb23WbbVwtA7eSKeKtsZ8nR
enJJR922wF1iMQeVr9TJ5PFP1XRBVsV0gRhmJla4RrZUZRJyBGraDc7Rr3UiGbCEldzppZ9f2fU0
raJCdMFCMgp6UMdCCLQK2I9OnWw2tpa456mLzKRL7BiXv1DZYI+Q7E04LGdY9IzXmj0oa78uR3jE
DZ9uO8Ti0K4KhczIKbMxkWByES0cLXSxbk37nVsH2A74ZlNeDG2aa0sQ7uKuK8Z803HgUAPldnOm
mXoLrRRhQ92RhRaE6XQhETLsK98aNobOJGlBrLty988s3cl6KmbTmAMkOTbUd6i8FTgjYvkqYmwm
8TGD8wv0r+Xpg9qxnTIc7fe4JmmvOKAwoUJAuDKHAUzXdZjDjBFjSsUk+i9seDEjlOcA5sN0qBMb
6+KBnGkHs6+dI3WypMnBK6tFhskwstG+4KRDSTEdVIuUWrjtOLQsff7DnalUUPzcmW/YtWQE+PzR
69hAvb5A+uR7iIHMbaQaE8J139oO2FXNV3RlhyMCcZcRNqMM8PQuym71MYHijvUY1O5Q2dLbt5gF
Cqk/y1w6Md+G6tboDZnCWFTOAr+/7kppLwoTBHyIlTeHAfpGM/MnZpraIo2lf85lJKtULTg5RdDU
G4bfA/nmgb7F+rtHx+G3Z7Dk6w4jIBWWTQcZq5wEWfQhirsyKjCwtbKfdq78bCZxhe+9sdHHIZvr
tmrnhDbKnim6G4pwWmJHHnicVltuxOxTZqJ78Gnv0Jw8KblRI/iebWAY7PoEYENWS4y6RQXUYowu
ShOTw5LrhQNoUlXhxsWJnV+MJcL6PAwYUqJctDCsh6Jg9N12mmIs3jtUlcmopbON29ivCWkvbkuI
JkDVgVo1i0wPz8LYKq+xKS2flAC1Jl/17EejlN3PsretW1urzXGVOlg8dr2c9rOQFuw97DxkAmIk
b7Myr02nnq7jwKpvywBT7T7rbOjPY40p+GRZayxTfeQmYbhFKhxv+ioBjSMkaB9AYgdXbpkU11N2
prmK4U1JKtx6NRSBgdoO4/IkOWvyV8p77Qf8EudCc7sW+xtdFIe+ivEz0tGXXvuTLHatRCuKfgFl
rNPxKmYZJPAEP55ZasFTRN8pXuF1VnPA+iSvTK2NDznhgpsukvUPq6a+WowYmV5Kx22xCA3tfWJG
+aMv7Znhn3fGgzp/IS0tw94gdEJvzPPuLIwc8yLMmvYxb2FOYMk+7FMR9GcDljg/WzNmYBwSGbIo
uta/7u0y+5U1tjrzTM0X3NMLnVektPdaopvndUsHbik02Jgs5Sa9bkPWn1Ra897IbeJofDzVF1Hf
h5eFIt+S3nae9MLOkUROzjIIiBsVTYpGBjnnghpv4lPIpLhbdMqIDlfWnGRxGntxiddKidybx8vX
di/pKlBqG9Ni0JxV0ECRa6LsjujDpzFvAbQ45RdgtvhL4GVFuG75WBuxsUqw/IsWqmlj9iCojLdY
j2d3RZJhVDSl+q6ufUopBk3SD/BESEqnUzyjIYLUo12ylDdo/7PYoBY7rbOcByQG2L2WnbOlixlw
WIhguhpKe85HMb2mVIxfRkzj7+MqqZ7KrhztbakIiWjHr6KEmAPhi0VCSi3NVJsf8NAY8mVTROMz
WSh6v+jqId73evcWkAiy6EB2z0lWzc8MKtufealaS+j4zcpSksup6NNi0RhKum0T8j8GHtU5o2oI
uG5VtpcAgcFlTDFEUHEaN2vHEdVFHZBy29SxfsP7/6vNVUwr+Ka5i87WofH47bR3i6a7TlRABjNI
w4exJipClba21vLMPzTY678Cgz1jLjY8m3K8nTomVUR7ovVU8kHbxhVRpG2pGFiwduktViVDuwzD
qr4RKpFcSyy4NoRfqJupRw8r2PEMYAtzG4aWfa4nluRwqTt7F2YuvWmsB69Qr/Fb4iREM6cESMdG
+45Wh+8J/pDPPrO8FR5Ej3j6D2cqYqwtfwuSvLFqb83I/GUjKEf828rXYPL7TZ8MDrIGQ8YXrjvh
5oUdDzQmx9lWQTzW4CvcFMO3H+0+NO+ivqg3cQfvUq9d7OlzaioZWu5GKGILKVK/pgd5mLMYrsZy
svZVZZHKOrTWukxz/6VwyXFJ68EBJjRiLOF9Uk6FQhej11S3Y4NWLuiH/IbUi4AKVwFvztpd68js
4EeKdW1XKjLU2NIvtbA3fmtBniO0RdBYd1Gw9/Owu8rFGJ6nIhG3KFjdPFjKyVe6H7hgwuJJmm3G
cbvuS6NcTe2oHny/s7x0wFMOl8BiK3sjvW05cRfdOBswub26rdPuLuhQfo22au2NoJDbdqifob7Z
XhyEfLEoBPccpIqXGW5/Tiln7wdm0JdNUCXUvyQzQ/bEijdty1ejiqHZEZNS0QJUYfJaEMSsnmlQ
Ec6IvYlXoCWEvwSNftfpyiiXiqsL9xI+X6AvsWSvxoWBDA4L+BwYeemEtXuZY6d2l2fwlcmvd7dh
1ASrEgjrztKbN3you4U6UarUlYERwzT8RDaZ7UWqE/QgBE1S1eO7oiUxidautqad8PBtiGHZO4KJ
ufWQBdTGpo/FG1VhugLu+NnAY1oVUNuXKgFDjH8HrxstEj44uWMkZLV6oIaa3QGAiZTO0X6abjqc
mXM4rVUxVlQT7OQDX/N6V/F/h5heXQtV0Q/N6P6uRhNSL6/ePZwK/I1FU1Qwx+rRX6EQwMogF8VW
dUcs0aIqX1lt0C8cwke/oS19RkFhKpkqH2ggbh33nI/4q9GQtD7bFXsIItK9lvX3FtNML7Dobl0b
IP9r3PXUZMJg2AK7Disj7Z11+AecHdSVqimkB3l204q7Sq+2dADjukJh8c24RZuR44/4LlfmYkhE
Gc7ERT1GlqfpX6C2NXXDz+YdpJd+9wsS/rhQCAy4AFdSt5YzqS+hP3eUA3jc15d7Cr3HrRDZhWmQ
mvlpemAb7TQEKj4LdoAVI4E7F2UATvr1KqduKo9wxrBVBp/HYZkmbIDOzJjBvI9D+tgHj3TluNBM
zBS/XurUBZnv6Z4Qhxkxzj/lj+eXoJTrZTowWUJcusKS7hnG5/P/3xpH051ItLrF21p7mt5eTFZN
YE72z3j9P051Tm4O9h9UPbYiLOfjzeHGDsRJbC1KPmAXQafqewxoQMsJ/nwKFUYtKPXVq6AGa8WN
RN1hkv/daOfzq2fgmgWOyvuHm/DxAMIUZWcoBczHQENP0RattSSFuzpPlRj1PcqM1d/eV9bDKMzl
MCX57vjdq6itHFkalZfhn3KGgvyAAsL+5jz5vBdxSnSglIPvIBh7Nwr7Y4O4ATrFOkmRJrWYRjUl
Yumi7M/hakTfbMUTK3ERDgpQSxOGaR9tE7eJItJgncLjaEOGqTRnhrTvyjp++Pq2nXhMmm1Cq+ZZ
cXJh8v1hy1tllhgoPQtvirDMSV8UvKfjJF9GEAW/Xkn/PGyEtfTHUkdzWxpVhCQWS3V4NK5M3LQW
2WC37QJj6I4Yn3y6l4LBtAAErVeVCcSn1pX/w6JuXZPk1q5jRkBbvaGXzmoDFCwzp2QvnLjct8ao
7IIhnC78lGLQrHJiDQIgY4qrdp3qJEvscbkZL4eiA8aSHW6J9NpIW5H7f3OhxywxBo6MMgH3CY2E
vCOOp36klSmGS5akR/JX++hmuXqp9c4NdivRSzZ19r5LsbWoU0iXI0a8diJpnEZrZ2HcGQnGM1pV
Jku9u898qiPMMJd5kcG5cuCZ011i1IAvU0JIThUZ9sKvY+TsEIr6BWaT9l6JlW6JcbfpMeAaVm3r
6EvWiVf08fZ5YsJliBNkNjgOhETAEHNmo7cx+frg4RLoCsXj1Kivtg9B++sdcGKv6cS3wuDgm8V3
/2iv+VlfMYaV3JdYac570kJ2PPURx4s6hqXkG4P39YKfJ7/w1hBzoLaAdeoeT36rAlbUUGaF5zqt
uQN0gV0d1O25ZZTt1neC9jwEf7kzIyykvl75xOvLWFuFrQsX5zP5AmV7r0CCzz16XfnUW4P2DNlZ
u0N8Gr99vdSJi2TKy2lEw8O/jmfoDEcoOmWHC2FfA432Gkg+cDD2DnFe7yz47bjaMGWTC7iS7t8f
U9RVhMUgtuUmH3ut23iA0nvmuYeHTLStUH0HY8C8N5b/UkX/x4/a5zuKnxvvE5nSqo0r29GBSCPY
BPAFU093nEcp5+wnuPm8RYbx19uUcgPCFMQoaBifMmnKBguoAAM0hot4aU0W6IsRXw2DsHCesn59
/fROXRaJDdQ35BYw0z0iJ+AjVeZmWnFZIjM8pZR5wSABYLfBqqv5ppT6/AKaqkFpQ2kgmGodf74q
BsSh1WVcmWLehYbyWE3Or3g07oLB+qYGmd/lj/UpS8HPsbg0znxxdF0kUUUyV5jGzlErBoCJW8Dr
t9MeaX3e78EqvqtGT69I1hE0tvmlO/68mKXtFPOKldbvE7d8KaR2Z9QJ/jxEM2BXpv9V/vVMDjJV
Cm8UNVQdrHi0I0VD39H6duKhBNxjpuuZZnIVWeo3y3wuSudl4MgQIUn1ccyswqdkjCL+aq9XdOVO
wbxpV458Eb/eh59PEVbRsCfkZEaA9m5i/0dlMyr6mJPQnni1QVtLu7dM4+63nVuHuMKDuEPRYcjv
Ynj1mS99vEvmg4MgXvImiBL/WH0g+m1d+C+J5wroy9hM0Ivn5AlfjC6juilnktXImRCvFGYCtXpy
S7Bv1d62I5mGKcOkzUBZNElR3WCImKyCsqQ4mMuCqsCYDG6Mde/qg4VtXiO+OeNPPhjHnZsfDUHy
8YNhLhmmwJupB0SFRYhEg6SMgB1fP5hTBwR+BZx5RL+TH338IploY/KgSL28tYl1LXpPTbQ7x26/
q1pOPQrI47AqLYu8pKNHAWneyEsM+D19LA2m2X64Gy113Hx9NadOINSX8BGdOcPimCM6xao+Bp2S
wCBocHG0+UyNAkJ206SvfWz+fRVNzwhNlE8GtjBYP3zcX04bWT2si4Te0f8137s6sg5Z7T9+fVWn
Xh7EoaRYCIhsyDo/LjM2RJlPBS9PGgnnOpEaOLsvfoG4Fps6EM7PIS3jHSyW5ptP1akzD0asSV0N
ZfBT0wN+ooaG2SdeEOhXba68TDFSj/ihjKdbXsRvVju14Wl70L/iaOF8YgumXKNtlU3iEU+WbDOc
lw8kViurr2/mbLfx6VDgJiISMtH1wmH4eDfdTh87Ae7mOd2gPkSkU24UGMeY02CPBkBvD/ex5hTL
rmj7qwp3v0uR2sYWGwpjPckSwV2AOYRW+d06HRyGsl0Xf9fdaifvvD2L4dBUojA+euS136iC6A2+
NqMJVthWL1rrFngdOw1ZOc5jN4JO2PgJnBO7GT0kQ4+CwC2eQ8a6k1W2+3IgVQcUCVcxdLKk83Id
X9/IE/eRwRYlKKlL7lwffryPqc1vQCtZ4HA3/Sonrd2oJYwqP2WILV++XuvE7dDeiYZEEcOUPS5j
dE0iOSVp3Jt87ZcK4LDKhPqCxCT38AOK13CG228qjBMvnaYB21PR8MX6xG/ua+yuavSrxKqIpzAK
lKXO6B4ws8YKVpfVfVUPFUq5vPf+/lo1DToniBQF4vFJaWI3EdVOU3j0apeYRiMbrdMDtORgESbB
g3RE8Pd1GwvOMICOAwJH2ccnybsytA2ZtZ6iBtVSaj2jydxoD0PlZl5m0Uh/fYUnvjmsRw2FsTrE
1fc39I9iIPNrMyQJBvFPj+YyNQlhQNRYrQxocf/NUkiqcN+hYEQN//HSStuM2iynRdPcIr8WKdZL
td1aZ1Gnad8cX6f2qMELNesQZsrz0Ze0hxeTTyADXpN1d11YvAlR3SHBqhf4sx2cDt/Pv7+N5JDp
ukA5SIV49Ni0EcBdb6bcm2b1moripu7qVTnbrn690ImDGW6xKnCmpwzBweDoJk4DNBCfFjANxCPi
360zVXdfL/Eucjwq1T6scXwqK3ESmyZrwOrVsIGPyn0jGnGjdxjIY0OAe0+gDgskjuWqseLgvhhq
G8YAA5vOqRPAvw5KVE7oY4G9POYxmkYEo0xJ6WrrPXr88KC7+IjmEoEhmSL5NmtgaNDdyiVcOLyk
BcLnCXO9a6ERILKImeHdTC4KQjXXGpKUsqbeqn3l49kMf+wqTlWqwwIbgTyJ6qtwtMOtVjcSGSY8
rd4Is4teqXvPSdy7iBimJXc42WRgRXOIjV16MJSIyhmmcu2TsQ1jMBnOC5Ng5wGbv83Xt/fU3uQr
bmvsE4M5xdHeRLpbtdJib8IVfKnG9sUJyyvTUDZGVqx9BS+0r9c79YZTc1PsAd/DjD9aT4Qyr4xA
5h7W/TPmdDnoyW5o82+K18+QH+7UyCcA/sAILPdoGXNMQkyC3NyDSXoo0XNCHHJ+Vsk9k6gLptLL
TujPQZ1/0zIZp9cFpeWO0lwfF2RumVXEEQswkUJOT+GoohKqTeUA211N1wzO6XGw2MRFDjHnKiUr
kAlXzkFe6f1OQPUV8aDsDBUdtNaa+dKHHcaGK7cIPxhjufGr0Hoa9RE+UEIuy8ptNQvsxZ5WgYZn
d2I2S2cS2Hm1sUlW9FQG65jfs2rT8g3it3YdO+m0LTHB3KDo4r/PJoGnURuvbcXWHypDfPcoTj1x
i3BEFMzADIY237I/znT8h0SWJ33uqaTcowtZoC7dJhqRqF/vrFNn0R/rHBdGfdkjfnQJxXBEqi5z
8IYlaY/rrxc5VdpYhk23qjNvs5yjr4ZaYTVRmXXuMXRCNokom2b8sUhCiLWN/EZ0dnIx8Ep6Fhd1
23ETYdUcRnnKu6KEVkYnOm17s9xAA4NQSVTN11d26iCwgP35WiDZ+1T8kueE2ydUCq+O64Pe2NZS
8+VjkdZvqEsPWWh9cye1U/vCpkuigUVLZR/PaaaGSD3HpE6LMeZC6qFre2eqh50OFr8qDCX0zLJq
lxgKGDeR6oeeDGA2B0WUXziBQwBxYcp71L68UY0fYE719f04+fM4EIGRwG+xnvi4bYfRbwg9pswZ
qvLNcIOHUO9vU4Nh8n+xDsmKsN1Rr30qDppekWEJKcejEy1Bc9qXXCrDqujqbz6kp8pWwCnUa+r8
D/voPTQGFxo3BCyvhTgeNvDchvxQF2IfO9pVWlR3Wep+A1Sc2sB/LHlcsMaTmULUUTNPGcZt0BVv
rpnCcLX2ddF/03MYp/YvHSlDMspHeuGjvqgdHNL/RjvjmNHlcxuWv4fInXOeNAzVNRJSlFIhh5gT
eR1VM+FY0WZ6Vg3zx+2bRxNQ5dHHfdrrdGjLSFsQG4RtfYtrcbFyciLwMr9xNqM9OA+O4NRcWHkz
G5M14wpHNaDNQv+tYteztguHeEf1OS66SzSJ5bql5IuIfMNgHMfaLpP6bQnzko895m1f76ZTd8Gd
lbpAHOzb4wFsmpZNk0NS9qZy2k14my5a1XwUpTgDM31sIzl8s+CpRzzLM95NrcQnHL6MtUBWFENe
VLkYTZcdDkMT3S8eiX7qY/UNMfWvL5Hv+qw2dhHifOouXUs6JIAbqZeg78d2WloXeUiFJuOieYwJ
s/XgIb1+veY7X+OoCIV7gxONzitKa3u0uwJFpkxm08yz8NNchkNn3Zqh1i9zQ4qzsEiJTJjj52IT
ytY7T/nddCnrsBxp4RJtlWGAMvvNjzoBYsJKAPWZT22CTPWPR1Qwiqn0e97oZvLhsxmBuYGVZmwa
v262LiE0C3YK9CmRrt2gDpeSmQz0a1Nbff1DjBNn5awLh46h0eaYx1ChCjXCwrMc29s8NhiNzOTm
yEinAwRLwj14XPaujaEkorNoFgHetWtNyZijRiRfXA/GoG6k9NWn0KTwxrVCfaIsxqVpYEshm0g2
MHvEFl7um4SRyZHdr00rDolWUcxVreStF1rY441hZ6+c4EwvEuM2Ic7kitcWJQpWX9Nj6HTuPlXt
HyoO1d805qeunwkYGnSSDuZwn48PArgtThuyLHCqSMbbEH0ucVNj9BhpSrj5+l6fWgr2JVyD2Y3n
U9vK0Kmqsvmz5BZGuCorZ5b04LO2d8M0ePx6rffndrzrZ/TXoHvlM3jc/hMQlHZDFtEc9MRiLrCI
lCg+JtIlfUISV7mdamcaMZTX7agPl7quBAd9TpAwjbTcljm+Xu8/6P/sG76zb8ADyPjj2X2yb9j9
egmLD/YN//w//teXUMOkwQR94P1krshr+m/7Bo5R3AdJmKN75w1mu/3LldB0MSeeXepQaSN2Ryb9
b1dCUyP/DsAZV8LZjsZWjb8xK/6H6vHHNuP4YpbFz0IywzDyE66VaH7VCdu3LpGqQabw87E6y22J
R7viaFLM9qB48Rik4ZDll95OUSncV0x138JiEremnRhiqRXGHdOF8TGxlehMGKiv0NQ5fILK3MJ3
FWoB33HFmGR7o6R6UJEVA9nqXs2RGy3yPkqN7AxBUbMlYiSOL209dMl0weFpEzVhvst8iXdN3FXL
TGrBKucYXYFkiU0YgcGsY7c7wC2ig4/VAUkQeRbnTae3W2n11V536+EXkUbPZtYSPeE26o90KOyt
Wkblc50l6pLwBWgYRvOC+hdnldEJkafYeh2eTTIcPbUszA0PSrnMcQ8cV7bdb0LVQYSyrF0s0moQ
3w6W4cwJh7KpR0N8pYSh/tjL8dzsYKxq0VguGzDtGzJ7iWzpID/2rfqYisi9H8UocVgcjW2pu4/j
6FjrHqGdb/TZAbvCyjO7Wr+sswwBF2lJQJ1RdJ715EkLK4wuXCV9cdtKYIAG8VWUVnKGWbK7TQul
f20S299JXxgbZhXpG5bIsAQoOd9m37EK55galoQevXWdXq/dIRqfgA6GfBFEpPhWpRMsqyx1nnW9
S9bCjlEIOsVjFmWPlcLSeL5OUPSH/offKgSUGnmxNpPIRqJmZ/nCHvIe9QzicW1hRG52a0+jaS18
NSx38468r/rG2jiaH2HB06WJZ+sdFX5o2y2/viejVyEgAHDHsOSqTMcB89tEC27MREuuST+ervwh
VJch6N55aOgKWJQ6ClYxCjK8bHNrxin8h0wxotvBatJzkZXyPJSWcYE/Qgx92x/+h70zaY4bybb0
X2l760Ya5mHRGwAxk8FJIkVuYBQlYgYckzuAX99fKKuqlVS/kuVb10aZZiIVCAyO6/ee851b1Xf9
thmG+W287IdCPAFjNJWaeA+YVU0obFhwa69QV2RI5PvZaYarMcHkEc6uSr9lZqVFONidfWaQHYYH
RHhogiHFh/no6WfVLGTS9gFp9H1j6k3UucjUU3+YHq15mS5hqYu5La2yw82he3lsphni7sx0Iqyl
WhG2tRmcZF2TNzQKGnERkRMYWtR8lXcclNe5dOTWZficAu6vQ1ma2XtLuBhCeRLjPaQLV72jfXNX
RweClBVFiGzbRYqsKRM7FbRDS1gCXrUePJGYVYYIyU8YufJb0ogzEpQc/Sseimpr5ob7VnbJimWp
lvCGZIaZqCeloDdG9YUNoXWrlYkXMzhPttPYYoFvSrWcWiSoY+QThHf03VKJuIYZtlkmc731HLvd
rB3RAa470w6ZLfMwmGV/X+kOJUelpkcnw4SSE46w4J6GZeQFaX7ShLXghQ38OvJxa4cu9lQdzF0w
RBCMiFnu5bIxVlns5jFZNrny189yRoEtQeptMweDRRZgYupHO7nO/Ka/dV0ilBO//wTI070PrGnf
N9Z6o4g0iNrZOzoTjzVGd3M+5ElN+ohy29uiZsNhKAOjuS/85aFkE3ldDxKep9kVL7ludGBaSRea
FFtrf8GhfWgoYx7mojMjZNKRxVblmmAMMn5adUdIcX+1FKKIWDz18zBxuckhYzhe5xaLQhfEOHb0
w9oZ3wyEKWdBX/tgGtI81MPkhrmBMQH5Ox4ILvKuN5MsTnKBekAsCUg1a3wgBWb5jmVHRKvmLZTt
JH54S1dDcEWZD+rQzCIjd8odYyTSoBMWct1cx1OeTfNnzAv2thNo811futf6jDafeYE6BGmm4qQM
/Ger1ekVCAVkbEZZ1tuggQh0ctxnXoLrHt6K9t0oyPGeVWZRE9vTe5Fo7dl28vYe/7YRCdqvIKr0
13St001nVEhyWyl3vhw0wHew1p7pq49XfV3dXzQ7xywgjt3qe3Eyq3S8XdGYbxU2rFvdyIObIbto
QWCJrhsb99SutlFvmtbsx8AdZDx5mf2djqjcKG9+m8DqRyVrZkXOscoiDLLaVaaBmkG4r57EjOfV
NsR67/oqID+tdZ8nP+PZsFxsCY5fHQDBzuyIJo0FK1WhcnL7pawkjUhw3GcDZd9u1VvjVdWpTRDc
+pl8E7zfajH3jkSWGepa4jzkuTHHQl/BugfV/aobB6oHsG69ZbibUl+4wA3mghgz/Z0SZfqkzRjm
iqkewgXE+i0FMYQkfIHqUU9dAr2tzjumNJd9VtAk2LNuaqA69avB06z7dZ1upzQfw47e+WnihAGe
mCagkmZ9ROAV8khAnQuM5spd0+xAkv19SbxdNKu+JbTVumizm9Tf57M7bVN/rDaDNeET9ZOrgnyb
XesOEyC1ggT1Vc9jtHn2gQcq20418rF0nDAWzlWHdy6pwaX1LN8qUa9ZroudJnX3tMrBezO8qvra
D0I7O0N/N1i187D69md9sYczysaOZBbLO/SjtrJZ8ZCWOp78PODKOjpu/VqsGGizwoM9WebtTl72
IdPKvjKctXQ4YiWeSJ5M7fshbdrbFRxejAPUkWFR3BmpMJ811cA/4a2MrcZI5JOB33dfrdK5qkVe
YNrDk28VXaSbOvFI9uOsKRubd11t8gbIjoff/1PgpwJvot/dCH/ExYsNaat3yXefFMOIiDlC7Qe0
LopopP3QVutVZmMGEk6ZfpFog0NvkG0s1qqLbddZ3x1yE3AYN5FZFt5DmXAIo1GOEce3hG5hXUtW
1Y3IjJdkINekbu3sBiornmnwqeyRrpbEsD9XmF6PHWyTDUh4ics6C7b5XCYv/bTMO3vO+xdiVMjY
CaYA0z+tck8xCSEn/EUZrCtEnBvblCyd8kIaqabsVZscYhUXSw89v8CKFSwhksHqNI8nzO42rrG2
lmcy6dMo8/U2ynCdfS40t3mgqCpPTefzqncMeHa5KqGJte1osKVOxZkc922NjnPnQ4O9VhYGz2Z2
NNAEdr3VMzNFlN2w7JjFtE+JtSFKTBXubeeI+ZDZFblwPrM4UuWdCE7Fy0D8MX753hE7pYz1RhBT
eYnMMI7t2jdbx1fz6+QnfhUO3UqRghMV31uV4p5zCWiMHXgJb02ZiRd3IS+NMve1ToMk5kDeAVt0
2wJfOvKARgNuMOh+VBeltofoWrqR15V1gZ2hbK4BWxEYWdruRskaJ61mp9+SEUoIcZyKV5rbjyFC
KvIly+KGujca88uQy3TXrc5ecLOqxDjCQkgZslFtZnSM9oml6e/sYZ1wRKQWTiO5i4AG0o2Rgxig
9Og3Q1XeOd5aWrTRF7KpEDeQTQqNRedSv7TGkKIKSpKN10yCxsEygNcdYNgQqjjEnaoIyeu8xPsC
zqcPtsbkAf9a9TtP8EJiGJcWZ0ONxtssvOpmnQlm1qVZEU9ZmtukWfFpP/hzMhVJnEg/a9/yqZZY
buumwgDlzVlZ2sfE8fPyNM5+0H5Si+SsteO3WcOpHTRUymHRu8BCyDY1PNpBSAJiB3CCFy9Z2sTa
mGCnhNQ1fxcujEiFIA0MxeB84XfaFy1VyfbitD6AmMExZ0h/jvXBz4+T9LvrTvDT7eC2zxZPHkyA
nkQCgqrLgISliQyrXe45og1TMTdgUHUgPPnsH1zTWHmCSZo5e5P7ac2Iwu16x/1m0x1MwtVbxSlx
ArUhqrC/72tM5IVb98RfivpOV1kWu2RvkhJHm2tvVyOx1Mw2Yqo+M8ZmDZ5DDRdkaH5hklX2xqsc
86Q3g33sdUDmOZrCjQ/1NXbcpQbIqfF5einaz3Mu7ScAQERYDLkgQW8wLlkuekUcCmfuHs4mlPNq
XJ6Vk9ykhc9phQwyP8wqSGNZpHkSjdOqXy8CQ1sxQoxAjT8TBotTaSJaQwBB5i2MvovwxQNmNGrk
QTT1ca6L4lPqV+PzSOnJnmmQ56VZ04faWYetfznZSZ0VO3K+2X05Zp2dtUQyoG8bDNXuJPQDKRjd
Q5LU+ghbgB+d8K0fyqFv7kFs9PjxjO6xz3qg5sLvvjRtCi/H069sE0IPylMdN6x5ge43AW7lSQJV
CGrxILN5aOIkEY13Pc2Zfddk3au39sj06WYTiq5l+hr5Sue1n8PqUReKkHtTVkv1VOjkbPqFSnbA
1sgoWSYcm2yFxs/YPtU3qUFbFVDcTkOdipgjarbo3XkIwTMjdnBHh9DBrqfWgTFkxknmqK8rVR8V
v0abDlvlctt5fkmAe1Dl930aUIl1K8RfWUzmBi6OsTFRRh6I+s0PGebIKyeT+QEno3euHHYO3uxy
M+na18pv189ZiskeU7XLlyO1st3oTrk8kV5DMqYhlU7ohrfeaEtLDOIkkt1oyuq+udRJ1sp9BQkZ
ZzIuzmNilmQFUvmC0Q7afVMkBs4C45JN2lwKWcPpr5wLISBvdOeyghGovHQKd+qQF3X3pWVYUN9g
WhysTYUowrruDN4CIRF/mR8h2iWPDz+tu36D8qirWxzrxd7NyArNARsuT2Mzi/nTqjSSaUNtZMM7
3k76AH16M2H/9RBVMXxWJ05J7/tbzPMZmbiD0RIk+b9rWw6ZTd7peU3nXaJ5SEGqev5Nk9z4MO2B
N4dC2GGeR1VGd+ejal10syoACKpzqg1OjBE0Cw1s0cTsHjSfrN/0xaytnSzMo1U6W83ut05mbHwP
0MAE8rwdN3zVHUb+uITW8FNv6vbPzs6/YVD+eWwo1wwbBx+2qQ9D1NqQXaMndAyF6M+eoFZM9vnv
BkIfGqU/PuSSyOVhTECF+fEEOMU4s+mV6pybOoEKbIG1att47Z/92P+0JH/bkmTm89Nl/7UlSWu9
ARb5167kj1/6R1fShw/LaBVTgEN8Nt1H/r1/QGUD4w9HZ6JgoQKj1Y36+P/1JU3+ilBqH9sCgjSI
A//qS1pQahFe+KS5MQdE1m3+nb4kMjDa9j/1JTEymggYeY4C0mCBcF6GbT8rF9yc9o0xZMe5I/47
VKJ10Gcs7kl0Hq2eZTZskGJF8CDKDs7/mEDQpMLwAWakAxvIfW/UCTzntnKP6+rZyYZxKJiYUdfn
u8mya3tnFN6i3ZVB0T91DRV1hL0caceSVC7BhuYgqZRrnK1Vwm4lnGqQODDSJveKUDOPl5vqGfMZ
6wiZpWiDDbsJq99Ig2FmZKk2OUKMF0RM+hrwDXRLb7yXZTz6QbpJV926EBiqcYhQDppObNBoMq8C
c8ziIajda0WqR1jL6X6oTG3rDQavYwo53eLFbuQPoiiWuznTxzP28vr+EovebLy51bKo8OcU4o6j
p+z2CnFfOYIQ8VR1dETaZY/pIziaos9PLLs7Uk7Be2Rt3m6dhvBwc8hKTia6ICOenaTb2qNnPpEX
ZRJg3FcPhjm7myCzX1K5iBunXYKYPEbrdjKL/iDbxY4zw7zN3BUge+N6G20hnXMWWnVreVp1thp1
7+jUtA6UUdAYqLPe3MQUO9trrYgOVnky6rqKc3fu7mXPoo6NI0c0NA32Gb09nHNqkOkKrGVntu05
EX39XkhABrIEiDQ4uJ5ohA33qJLeHDhMNHWA97la1sEJ44/MWZ8CWzOQG9ZNxHTuKFVLimoeNA8F
jIh7aw7mkyU8dZsPencnyuxrYVrZq9O6uILS+URraokdkI0hYQBkfblCu5PtXD9UfVnT8aqGswnV
CMA+rMskKO/6qhjP2lxOUc4T+5k4yiS0B3M+L/lQx2J2zI3hcKSgQ9JYl0n6afU9rQ4rvzMnEuZa
dtqYNAh2FsI4WVmnHxeA7RU/f5NOdnXnyabK4mVOgnsvd8Sdb9qSFlhS0H5P1/Vsa7Q0C8EbpYTG
tFvRPN3rJne0504jrArbPi2YLURv2VtK9+G6na31mT6gk2/gnGdHu8iMWNjlhV1qSTvuypKMMeaO
W62bTq4VDEc9c6+lHDovBMBfwbHyC+xgM3VXU8HnHbgH41lf6nBKtDEiDOJR441AkPK9ny86JKuT
LQMq064hrnkqbhGQ3Wgk5xjEfcRBZd9Te4AQ88XbIDyPsJr2cbEIAidq4KX2+mpb5ua4RHVunhyb
7hPZ5Kdq+Qb1UIQtQXXhOulPNrzXSC5BgndDatcK4Q8iP5HGhW4/sxgON6ao4XzRFY8qKLyHpRvs
R9vVYC4W8EpQyAIuxXaJVufoUbKFSW4+Sy/pNpNX9zvCKEwK3+M65ldjPQJTG6ECNcTYJ2whiK0M
Sa2tY3q59UYpkW9LVczgWorhHit2dQe2IT3IgtNMroh1gBE839UzirFmLM1Y8MLerThGr+1eHpfe
UgfYakkZ04BUd8oGvmks2l7rFudM0zpreMDawVY6CDViEoK4M9gX3y6Jsuor1Trnuve/wvp3Nq67
Bp8KqsKtbUKNyvw8uUXSnt8QyPva2IJuDYlp4Zobry7DyDHMen18GQDn7vQ6E3EvKvOUVg1bcPxs
NK7SCmqKXVHfZeBkWHaZkrLeVW3ftpHXLC/rFOREx7I+y4l7MF/m5QV3f443ONe7h64n2V0nZCf1
m/qmBQ4YhDKgLr1NnYRweaw3A9MSm2KvciSw+rVoD6KUCV33BvZrK5rgfiy8d9HSv03BRm9V5lc0
FXwDmZ/msq0SLvrjJLJzALJsnCeHZj/UPKR/a7ZufXOst0vWgSGAB6WqeXrMKvip9h5g0HjE3JtN
vFu07q3UinYhK6uYdGbgbMpvyt5vYX22s78vJxogV7Pdu3czL+wHq094RErFrUenSjpfBiPvj9la
L+BWVsv5OnL355ExEXMRGVriAWd1hXffVZrPJsHQ+2Nr6v6xWxJtOwbkHe6TbjwsuZXeZNWFU6MV
mIN7qXm7rERBGsGGyZ6Fbw8badr13sjT7PXiJw3C2iduN0qX0b5Krd6gu4SXzg1XNSUHKdjpKktK
0J7zSoAxS/t7U9qU5pZtqutRDsMtER6dHnvQ43ooJMAViVoE5Rna8zo96YnVvXa9nj/zTk6JT6mn
a/Bl9U0ineBdRy2wkoeRWIQ2lPJJAzV9rnXvQJIMY6racr85cGiJMsisDqySI8lhDtjoOK081Ky2
0UD9sMQEPV3GiwlnkUZd5j8C0HIA3w7VN61AGQHdxTSH0BW5uks6233kPRJsBHOP7cSIU6P5cwEE
GiUhNYc+n+e3kl2NzWKUEsJeNvJ2vqBr0A5l2m1euIMITavunwGblWerIsqGu3i0vciEO3wIYMN8
s4nywLXdPFRDpUz2jU1yYGBVx0aZ8bCKduxu1s7qABgpAJehOTBQ2ICv1K9Ja1HPjlrU98SHson+
gLxFrWCDq6UBKMm5W7QjqT/ytnFYb0Jr6LU3W1+Gm6WHoxZa2kVB5UGU3XuaEi8Iq0l6gaMzHYQx
Wiou8qKjdUKYylPn4y4M/dYa7wub6RusSKs7u6OoDjxzOVtsUxdLtNjs8DnyYGN5vf6cBGNib5pc
L+cY/qmzmyo7v08CHCYMsjzQhVNTEBBrk5puZTR8EcwyYSpN72rBLXNE1OXGrrD1eJGYwCr8HbhD
BZmwCHU3nQ5HyC2w/DtZE9ihMYg7YxrGeGASDkJCEt3skSodz14hDoOHFDSsq6Z/LvtipFmYToNB
PNPQfgFNJZrNCDGkC4l8Wr+7FFDXic70yTLdr3aaBZ/BCtavbTq0WyurZAX+xkuQq8iSPHMVIA8v
GMzq2Hp07zpYbe9FOj2uv0wsaWSmDgSkxVqsr55iTjwmhvUYkAgPlrC2ZhpjPaPPpjXbferP/G8J
ndrfF+Tm3ftl0sloJrPnVQbSJHLTES/szsc7JxgZhRWzqT+DgCRPAWn9xL2kDxOYHM/4FgCXKTbg
FFLtSEh28oVk7OYzChtgVBahNKdpmBb2lZqWxWs/MC4nWvtQpOWtvk75l67xzljUIZCBf5JgEhSq
HqT3Y3Bnj4F+nuDJxmlQM4Z0AmHeuBW1IWRJb0cEjyNCFPT218BbTZcOrkgfG3vxGMvViuaygbR/
iYwh13cBdODzMJrrRpGockCeQ3Ke7YzxKqxqO+n6dIU0h8ZOX3/PCpOg2Hxyve8u/poslAMRNKU7
9p9TVAlfXVJKtrLVSQjnaq5DJHpybjM4haQGXqzSSeLQ0sn7tLDDtLSLb4L8+iZk80nauJZVLC2W
um4ZGz1VyVx9okGW7fTc0dgfJNNVz0yHLmzp+qeyv0SH6tSItUpRwyIu3DZ9R5BODrGcgUtafhl8
z8AnkCimABlQl2QjkI+C+lnXU6nBklTIP674htWViVniLVnzcVvDI9/XopPbNLCaQ1elVmyW65Mg
RW2KDGiWrykDmlvERQzH9Pw/wp3/9b0Z83H5zS4Z/7n9b4U716/D8PqWTcP3cfzLVvkfv/nP/JXg
j8D0XcPAr2zhLAhomfwzf8W67IcR4qB8Jf3C+SlY1Db/QO+LdotfwwSHjPxfW2UkPGy8UZVjtXIv
+QDu39kqf+i18E9f6AjYEZmg+hzdByFiYC1w9IQmuE+r96xN0Tv6RPvkPi/rn3oIv28d/fgkE0cf
5keQTL/YVaoGess6G3ySyUaaKfKLaNo5VAm10N//JD4DmyXmN7Bal+/80+Y/HbVk7UUp4Fexb0om
/WaQTEvcbv1Nq+7/c/Loc8CYuigH9V908BIRXdD2q9gz3Xgvq/KdFK/3gv/+7e/Dxzi0TXDE4Hv7
cI2AuQCFIZ5vT0kWbAK/o20OniAq5/x/cOq4V5ELgsugdfPRxZcKnRF3xjeSkE+vZp22J340/6pv
it98Kfdjh4YEVReLG2YM5s6wz/56kTxJ5N0YKLHPlCLQe1rul3R+BKP7KKT0fyNz/dBSvdx7PtpO
14WrQtvyY0dRM5yWZ7MV+6AbyOEkt25f+F1Ctzx/1f1LaCec75B55N+38/HBZI3TN79ojz9eOrdv
J7PKGrEXXd4+TLD4mMVBxgZoZf3m+bqcsL+0vC7fEeMUqwLicZ7qv57QdSqmBVqNAC1BhEcNWndT
mHry8PfvxZ8/5SJs/unZ8tEQS22q+JRghtjez4+yVs2x6f9np+6n7/PhridWLGvpTXCDVNMSu3Px
urakWvz+8fpVA42BA7sllmzPg2bx8aYXQH6IyZnKfVbXNvO7oX5vLUCYoRrVoDMvswHyVRXawjAr
jPFMWDw3C4PbG2E0FOl9/VrPbXP0zY7sNpMry4ysqaNqmZyTDZD3qsGZc1W6xJWPssvFRVHiMGJG
v2AREIHuzauTB6Bo9qvlIqQOA/7YMaTx7hiy+1aYLDOWxTxHFgREMmrQAfmRWpFr/eYmolX7y22E
Tf/Shw28wAa4dHluf7rAbVI7ft2KGuGwiVxAl0QbL2Kcb1e7XjZBotMVC3pjS0iCs9dJy4sZVlDg
d3ZzlB28ggh55EzoBrCzvm3ATmY5LTJC3w+YHozt5JXvi29bh3QlxFZ4jDV7sRJ5awZth1KGH1ky
9jR6yf5n4u259+auvqOTYyIQNduDQ2vqRdZECKp6dvYJM+iwXSC4q4Jnu2RwlUYkSNIDKxsGULJL
7QN9qGYzlRVVPUkJD4Cu7SMDd/XWJbzxjNHl2EEG3y2F3Z6UP8iC+HbGypvFrvSvBZhxGAIcj4bS
+rVO+NKlHMUWlZq4Sc21jUfHpv8prSShHpwYfCLNG4Md2cBi2+ncPkVHALDWCy2qdb7dWrOI12Ay
I2/kFko8FtoszSFEg4WFQE7PAR9MO0YS7+fRrmW+w6Pengx9xNJCAP3OD2otIjPbfELz55zm1Che
UvrVj64qoSoNlnju3Np8SvjuAjWlIZ5RzkwrxyRRKGUektfIsugEoUW0iQNgkFQ9DoocBp/owzui
AMeXhFMDf7oTN+5UvOsG13SCw/pEksD7PKjkYXTX9qAurwliittLJ7Att31FPhPrXFAhJqIZe1/M
uX3g7TZGiazznUx5fiiJUG4Cym+OeQoRMLRREZ1TSwQ3hZs27y4ZP2eDLJydO1W4IE1N+X74Ywmo
BpJPiNrwrzKXU1bmnATstsS22BldPDJiP/krWGISm/LyJQCSHtYdw1MiRYoaHCstJQj5vVvtclSV
4tqYpAhiBJ3yS5YILdiYhhx8AGplvoau3vRXRGutTz4A0k9zU9bvppcRElmmywbuchISIYXOtjCC
xxae6CeErNw/sFAdwM62QwMTRI0EYT2T095DSsEManIJxmQuHfTRguknZG8Nba4bPA5dz2N3STSN
pM3rfoX+DmRXXDjBlRLZI8iOVOKPborXAM/SNriEQTNRYPqdB7LaDTKZ7xVbmC9rv5Y7mIojcg+t
N/NtISxnvUh4EbX1Q4pOxp1L4yuEnOGbufJs2VpC4HqlnOGz9EbxzL7IOf0IxGaB42D7SbOOrm7n
C2T6XKP1wZVwsrR86VITkXcC47yfBzNiT/1u+llwlRiudeRAjC3JG0usLUOn4qx2szMZEPNmSqsL
EJwrNFmUAeAfK1Q9vR+TpZc8FLKHEp6JOfveiMDZN6Ur0agxILiyjemLGBa5w+xMMyMgBxYli9+A
4M3fBzJPwk6DQj4Y1Q7A//dx6klQHWgMduZ+bOXXiQx6GnEuc99EuCfKAu8um3gojYbD0o1KXsux
DzZpyXMOpSIhbN4rn3z0eycYtNt69aooXWcxRrUqhxKkfYHQY6y4qVkV59usEkvcMGK6sSiwt53G
U19OFWIMKWi2DAQ/EU7s7Gs1MmC51CDC5nubdfGaDxpqCPQor9VMfIQlR+Pcpsr4RK/FOs4TdxQY
wuRlChLYFdXSxhKP/MYZVh4jRk4BWJcL4FXriUlO0bxFGWlTd4bL/N/Wq1fHYaHse9YPgjK8uxW9
FijmfokTr2uS0LEm/44cgP7KUPS8yZDjNpyCvttVej3FxVKwiJlTG7uKj6Yp2+9/vJXAsaq3DBOy
aJBCp0jluYN1c9Pn1Q3wvHaboRLhItTiZuguewwaHKfKENxMqsumPKwNG2c0ZydPAhXX7mRsfqy6
KsufxxLdua5YreTlHnH01TiXyZif6bOkW7ng4vWY6tOeZapPOJWzHQhFiSBXm5FjrayIY0v7fnXb
z/nMGVq9pGGmQBqyTawRrCrkPmGl9z3UJ7f5JEV6SXNtmmOyTvXdMLH2aCmrhwp46EtZc86Ddtpa
BYbtFA/C2UpM/WtgTOOJzha1eTvd+Eh694Ory12RYVusg1S7Hvv8xsot+UUrCjpvczZeJ8X6RMKC
evLLxY/9harAXg2HkFsSchGV1Dek7SW3VfnsIfkgihWNdnpRTY75Z57nx17qaK1oJ5OzVHfRqFtg
AJbBpIG/pDsW96+aQ0vZ9HjpXYx3By3PqkdY+c2xb1hx9No3PiE3FhfKjFqYdlzqLEJTsANyDbbs
Q1VYukSP8d5GQr7Qz97jf7T7XZMFoWlkgsHoQD+ZGWPFYlaw4aV7ZBbMnoxULw+N6mgZ+4JJbEOj
BA2dRIwSVsLC4mWl3agTZaS6S0SNiegS4ajqrPrYeqMuotafuqNVDVOMTWIxqzjpZphCp0WZM21T
8o571j+U28l9Zyoo2npZkD5h57LOjqoILBIwyEyS/tGWU9uEiTtZnoWKN8DsFqKj8t6Hhe5v6Muy
/i4ckCz0uck99tGiRWohX4XqxtE33TCzri/+xUoVjf043jKjJLigYDIE2NVPi80ost6OyWq7NC4H
Y3jxSx1JZTtXD6qwZmaWhktdyUbDzkPhLfLYVEUZ50L/avvTnrksCvvFqkPbwX5mujxfLBzyznEK
7dqwaOfGo1cDa7bNZcdzalphWxCPNFX+uDc7oFhzl7yWmVNuPKawG5PkjJhIH+MLRr75PPGONkKi
ffW4sc1Ji4LKWs88rulbWnkQqEoi48PKmwPKbE075DNi961HBHXJAIrlm9bnFLFzRMykbEzJjJWy
njkFVKPIXxz5G7XJry42TEz0QRjjQzm8OIz+WowOK7qpadCrfccLNHZNJa+B6DLb9nvqBALN8vOC
3TwLzZW6ogz69sQD75ww9KU5WQi/27ReZAN/2WNdjoduCewsiIi/cPW8lBwxCH/Vvq+Nx0lfTn3J
mqq8/LWppvtk4TX377dbv+yS2ZoghuCTDOpxpBMfToAtnTpVotrLjiKsIXKLF1RFtmiT/ciCbv+0
6f23xMxfrf2XD/Sciy8YJNMvhq6mp8Cx3fKCzCTp7JKo0cb50EhyGNnmjNCZNyWZ2Tcu8tbbH68d
RdiQu8tMhTfCwM9CTKTzSnaM3M0D7/V/fz6MX4QdHJ9DFXWx+Fzy1D+ckHQCls+KXe5HeDGhow1t
OM5YxJVlf+lyYPwapVLoF5m5dfrAYZ7/t6F3MNQxqSOZZcvIpflwBCBXGKrlRr4P2G/vHC1tT8JW
v7v1f+lY8Ck0KuCkgj+GSPJhGzblk0xcRDp716ZgdOHfATl0x6gzA2prtyQLaEFVec5KCr1/f47N
X88xr2Xr0v+BV/UrR3oxShtSloLiMKg02Vd2G1xpSRK81BPl4NAqZ7kJNCe4tPAfS6Yk7xoGh824
SHIfx7ZhjsEag+y4q/CcbdJRUELZZb+n5gyuirYZvnUIK8aDlgDA+rP59x9V12/61di3fVok/8qs
/lXV1XxjGXr9IOq6/M4/RV32H3T9fG44rr5teXQG/tGo9n2CwrkdXfjEP8RZ/NU/vabGH6wWrNCQ
bxEF/ujjIU8es//zX5b3B/0U/fJr/5CC/Z1GNfK/j4uvYRkcBUmITNkubJW/roVErGT5msHsJjdu
jq2uopIlEzMlyk03RZituAuIDVvWaJg0qaIyNY0rN+trkPmJPUcGoVabRM/lN49K4mZN5uYlIMcC
FTbPFHEo9AziuU2YuTRrQzQqLQvaReZNnyt3DNmMWNc4QaGalkWNWWEIKvg9rv/ggXe/76nLb3T5
Wrc9Mx6EUI+j1Ptn9pBSi1ZZNSsCGjG/4vLkBU6JD7xUs1IziWEdMfe2Ri8tN8Ltyq8ZU6cUk11N
qbCYfbJpzSU/lHM3M7GqgomYBsDXzMKSFRdBb/pkT7VME6LeCgojLPzC2nVBhudgzpLsyio86W8Y
sOaXDI3KtTAHlu2bGIR4bkd9pSxY9GiixDpRtKs3nCvNM8UlVSzD9+WEjaK7W4gGfjUzEyVXYbbs
p6ctA1UCYydTj+bcV+fVmdtbtLstLC1/7vpwgdS+q+a8PPtWPd/Z1BpbQhjjZWgPnqfIeOtoz8tm
gqFkLztl5t6tQVCcGRZW/TaTR4F8oPZvgXWisofG/mAtauBtNAwbWy3WPlmFUYWNhgOFkGSPnck6
/V/2zmxJbiNNuq8yLwAaAjvMxuYikXtl7cVaeAOjSBH7Gljj6f8T2dTfksa6NX0vXVAmo7KWTCAQ
4Z/78ZtgmbP4pKTozpMq02JjJm7I0djt/EtgVlYd9RAhXu2qHZ9HFqVNPopZbcZiEu+ZX8Tvg0Hc
AxBUt6vr0LjMyiI8WWNEa9TqRMBl1EUlYnwrQbB39BGjk89x390QnJh+hIQ1c9IOg1FsZUliZnLq
ctcSUsy39RwS/WBQNN1iv+rpTvXG4mu35rgT5NK5hyTjLLux8ll+oQAKbMkc89TfFFC3HmpwDOLI
XiV7StvCfrOSKnsMlct3YzLRP4uWTOrYpc6NoFTT3KRjk/IsHBLMjk27tdAdjzMUwKckrdjcV/ny
YdRJf6bQOfyVgKHf7z2TWNlG2FQD7eauC58wKtIlKIekMd7zxPYeUqq2yHgGsVFvQqmKbxDggWyO
KVvNxFTVlnpgQehX1C98jsVnvEXpg7/k8laKNT37vTWFO9HMJG7j2iHduFJ1yuXavAR2p7slhgYE
ecffiyZxbrvJGZsd5u32Lsf+m0l8INzltF1RSsdpLaGGV1PwMb6353DKTP7V1CL5Rz3AmntE/MLF
LC81rs16wCxhDIoDN8FZ2Btm/LTOtNGdU2ShYzd7DyJgL946PthiGzPR6vTh81Jy9+wkzbgfPAHX
jShjpv3+SBI8KlqLvsVKus/j6NKQtWZiiAZn7aIUk8Odgx3sMhCzPjhd7m5kIzkWFiuO9ngq4ECR
z+y5X55iyTl0kxFe/7xc7VUY68z8wc+kwncFGmc0nx0l5wpLlu/V7p0lOuM4j/0rNW/zo1EEYUEw
AEeXjbWLmjnvttFur0r7vkrtAGsB1zziqrNOo/aHNdopFqyyfOQ8TVz2p48s28d2WO78lg+SOdQG
aA576C69q3LuD+1IM7GmTTkY0oyvZBs05Wn3WoiNzdN+Ng4pZ8qqNmPXmBsRCMmX0e437YNLIRyc
Yu2NE9olB+VI3mcY50LtoJsVCnKjXXW5EjHCOKv1OppvtfbexdqFV6zfe0lht+I9jAfzJr8a9kSo
SzBl+nm5uvmw9QX+ir8Po5/LJ7bDn/pkag9gjBkQm9K9N+f5w4BNkDgDp8L1xtf+wcpsnqeMU1e1
IFHO2mhozsW0ta7uQ6KswZFekILAKeZExgPap4hjkWZnee5teTNoMyMy3XSgnRW2gFzR19jVYW8K
i/TcJ76T8eu16oPIiLwNl9nZe7PgRD46N562UZpJbxHe1NbKpWsOhltzgMWZEQ1EKu7WqxuToxsb
W5wUj926hk8EK4h3ELwsHwtt5vTC/rvfpOa5yBJxo6qw2yFsBMhK7iL0MtuhiKMwJC++2Sdb5sGc
LbV9VGkjaeIl612pzaXrJPrPCkZ/ZLhkI60we3R7o+OWwJba49LE+YdVlQBt9TyVcfzoaiOroy2t
9I2uW5uPiSnBvC208bVc4q/UJXSPqGfzg6XtsZk2ynraMjtq8+xge2ep7bTLyKVDee6bq622nH/x
UuRLHMGfbnA8+N9mrDBPgRH6kRqXdW+vKtyPs1/+8GRc36l5J7W5dx5AmCBUYvlljTEu+ZDhA+7S
qntyy7TcdtombGvDsKutw+Ei02/O1U8cNlJGfjE+cRGWd2Fjlg+5rqrztBU506ZkIcwH35HOVttz
T5W2LpeBHW6NUduZ6Wtwpx4/hzCKZ4rbrA1l6dbbQPBqz/AATzTLofZHE0qNhOPX+zWz8Mi4tncQ
2lJtTJirXTmvx5rK1ZM38IikJds7GaXwfpJ//t4n/8U+GRlBg5n/9T757tf5v86/9vLX9fdb5Z8v
+7lV9u1PoQlCFwAePKvw93tl3/2EnwzuPnUuxHesP2yVwXQScuDsqPnKmlv721Y5wCSix7b8jelo
QvF/slVmV/6nrXJIhMjHjsoxni6T/wVmtzpag+3R7Y/hZGR2VPf2sFuThngsQw6GRXTkTM+JS5ds
YxLOP00YXx/T1piqQ0HlZxH1/QTjicMlVcuEzCFscH9bLV7XhNWZncckzYNf0JiThB2DF/LKCPoi
tbdoW/HLYtXuu1dPX0tsXWSXqxcYq+4zXXvqUfbhC/4vMAVQ+51N45WxxOnnE1ujcPx2nB3QjAGY
kSfikzbcisF8DwuRe0i7rOd1PRdn2U/DrtF91vhb2RZ4ZMcotVruGFNwmxpCPMVMgHaVNMIfkppB
c8NOBTViqlR/SqackQGg0farPYmBuQEdJ8oBLn99owrFGFeDyPj8s8hAYjA3M/zkk1v0KjhgHSWV
m1fjSUG3jXx75IXSnaXFA6OF/eJVYRW+TbnqYFiUgfnuV4O6xfscRq4VsgExF12tJok8GCh2SgRQ
63BZk0DIhhBSbGOPm3QIe1cjc0nrz1hfYTsGY7VlWGR8jKPtPgdDXlUbtExxASwdmofZFbSjF6XP
zDMZxXuPwYL0/WLy1coqXe6DtjR+KMhcEWZNWrzTJf1ulHK5a5FZDtefD1Npf+LKBnyCd6A/WeXA
h1FXsL18z69pu+7H+jCO5JWboFV7JHyDNCFF67WaoKT5Q2ZdkkCMHp2aA0b/CzGHND3GpSjU0ZND
bwPQ8BlQ2oRoUYpjBcHHaGj1dprTBPDB2tCZOO6HLLHeW8MExS7aNTAPXCrqOA4V10IAMitHyiTM
aWURoBWSBqSA3OemUuVrT2fUc9r263vXpvIS1DZeTDUF+9S2em+LFd0+1xRM3+DoTd/gs9qkeiHB
GS0fduDldIUWA5M7PMtTlCuX2nJlQTRzcXZtCrcb5o0XDsRScp7nqp7XA/ZogDmlZf+YPSpxKdKt
qoZ9tFp4Plu0j+7D3BxSCrwbndvFPLH3GrRMK3LYLsAanvrGRztOCvkUV+F6m6mZRDcnR8oqzfi2
8qqM0UUyBwd48YLxamq/oqyA0w8Wo0GaT0MMqEDcAuCspnzmifPu0tl6qVz2UMGyolpPHZ2o+agM
tZuK8rZKYnYXEq7lPgsURnbfaqORdsZzEgdk7DP4y/dKlc2D9BTzD8P29vO6Vg8gKcR5TOqQTGKX
7Crfc47K94Ydk3F1ptqCB1xhzXY0l679eQHFDmplDZgi9R43Kp5F4itkzWurzrio5rjY18O07Kxm
oDbZZBYSjbM0Dl1ry9uR8+z9Etik+o3ZfRjcxNpN6TTwP/rSBK9TlUxt2BI4lIJ3VFPO7KTfJ2Vk
t7EQybcVjzpmwIaoAx+9atkn19iEQLEIcsAIaDbwD5PXfAUjw01v5Mifx6SpCBGQ9c1J1It0N1I6
yni8oGtscVeT+Sl74sluIVCbbfNqeO56sDqfSZe9Gs2w6XFRGbsaMZgcWDk4WyutGSGMNSSjmYVC
INfP5nbyvPVmJoH/mC5KvoX8/vbJidWSn6if0gW3ivPZGOdE+ldvVBj/g2Ig4Q6xnjDvOEYqZepL
IqLto7600hemESSOF6JEkdVX+c005MUaTb0eSeaWx3jSayUJ6mk5pCbMCDqDEGrNjgndap1wufp3
DcaJl6Ig1roBsaE0KigHnlXTYRopGK8PfVAUZ7/GodUg/D5aHirAVnpj/HFdWbpiiH+ES1WcS3ZT
dK0rYf7jLmqxcjwv7Kxee2JxtPeaLKtYTPDC+itPmL7x6sMC3UCPDy2H22G2noSrv9GQ9su2tiQ/
CXEgdTubMw3n6WyE9R1P+/VO9kWzbpsGZKMca3Xbk1v8Bw/17+3SX2yX6EEJ/u126dTMf9IUry/4
uVEKzU9gFX3EyT8IiqH3yXNQ8algYK5h0eTwT0HxaooFikl3EV0vxBT+/y7JMT/hbUOipJQFFJ1+
1f/89x9GG/JP//37KDP9I3/cJekBBx5fD7GTzZzPtOOPguJaDcNU+1lwNrtquTFy2W7nwiqeFgj0
36t6Yrh4jWdASdBt79fUxjW/cY1yxL40HrC3E/DA1T89OPYQvxaK09BNp7Mg6QAG7dRcwxoxxeRG
1F2TIyImN7aU/uvqDvPj2LPQbfqVlexM5KH8PukMyoRb6DVdmpxszDWkMlwDK/hl9YFpPqU6zQJf
ptzlqY64eNe4C3s+7zug3fLXmjBMQqfgXR4uE+zYznkiz0NoZsR88GPQSZrEmG4LeCsMbess/1A6
cePEyfS2JF0VWatMfxi2TSwnTFxsEf3iP7TQx1BIV1tyMEqWW+X3YoYr5Kw//MowHps6B+SCszO5
o3cqPjG6IKGRELYhgdvYzsVKKQTA5qIEcRSoql9hnFNA4MVy505x+iEAoS6RHfAgk75LFIksa/m8
ijS9R2AhvjNSRpzNZXIA7RucKRCdDmaDo2arqsp7rtKEQb+q09LfrCs2f8J7FgtnCr4O7h9jjO+r
MIHprUFPuTu5DfKHYT9EVlx0rLRFrluQPUVhfeNFZbeEN73CbKGDw/XGDNvgzkHeRCehhOhp8iuK
Ste0ORaGKRFtY5x5YQbJPHJoa3nuynk4Cz8gJmQtvDlhWQ4bg8XtXsA9MTdBonKqv9ZmjAgrTO8l
80T2c84QkK1tIB6kaqWXN078EJXOi4dtUs35rpQ0KMOIIvewZORxWNMB+swLzDgzk8OZbaGdbrx0
SR6Cof0h+Srj0RxUl21pxGl+zElROht7hvS7yRw1fGPP6xnHGE7Na0z7y2my626nQh6OrMTe9LXl
lPFAYwnJD8Im+9Cwex+FtrP3ognRqZdMzPdqkEn+2plFvEyPygiypiQwTP7z4Ispe5pXP32ARbeK
8jufrjU7UVr1Ge/t4tQAYS6mouMxuzM9jJB3iYRVVokGtoQzTBBFZg+5Slifk4DvEcsOy6F6duSS
7OYagkI0CAGkPq5FuzcwMLKZzjHjcQg7k08DQVsVFbe33UdrAwQsKeaNX5PEcEIActJsq6gbRLzP
02LdGP5g7bIlBIWb2JjFCnFjsem6bUzhb5bGeQJZQHO46V5U68TRavYE98x6PZI55n0fl6WFo+es
8bYOeq5Ap+7MO/wXq7eVcrQjMnwAknI1nK2qp7qTZPeJ1PB8GTGp4IOpikPnkmoE3ae6G0924xkc
UfW0CvzzWGY89+DlNSDMUD6qlBuzaPIf+H4+C4NloAyK70HfONscH+GmyXL5YmBAvitn3BuyJojC
SF88907BqhUAy0HGJR1peiRJIeuwQ5yTICLrB/lmLB4gJL2G2AIxOnFjG419zIfkyQMStqsAc0dx
Bz4qz8wJG5ssg2OvPLhehaff7WZ+oYUn3ZpEZk9+46idVXqYWi2qVj1dNcnyVOCv7N0TIL+Ktp8Q
SS5x5HjrIuvtuiUHMQXk5c0uHYczlJtv0wIJdKEg6eyPg//CSGq8aWevpJg7kawpqDoE+jI3Nr6Z
amnYIxSJujcL7t6sTvIHhXP31wLWzLGhPOQ40spzmQVOZgT4ZNnHlhqjoTariG0aJ92s6O6qEeul
z1mKhI/11aQKnI7YbNov9NBhcewGzpiTCRWFN+VxZt6wixWpZXhcJe+2ZefcqGxQw29ZtvIQCewJ
a1pG43aUoqJfMkKy9/hWYb6YHDWmulDotpa5M4O2hkntj/teBtU74m3wkA4JobqEj/89B19quSM0
s2Kp78U0ZqQZE/MFv32JncUZPnyROM9+t9SPXZcmu5UI9L5siT9NaghOZJbxdJQMgnaU+5Usumk2
PmeODWYxlfZXW3JJ23Y3X4hpQu0XrTwuhivuOW0V0TIw/pHVvD4novICIJkiuxumECETbfsiXagg
Zurm0ZTLAvBQwJJZJvcilPkxIyMB6nH0g00xBT4RUjvZ2vnAZCkeUnU2yzbdV0zYoH+U8ecUiFW6
qVpXfkEty4qNMqbsYk2FPEor7iTZ0eWXahiLSNmterEnm0xcnPu4i0oKlzd+Jz93bCUvitzVhVzc
BO/JM3W7VJc+ufibnoGwWnvV0P+1zh0xcG8d0re2a+WDrTyMfLJhxsjC1B15oi9f0wJwmp066A4j
1Fqy2DYQJMtRtN6Pw9nth8dhXGWuq7LFMLybnae1QGwDojDfV4Oo8xEoZJ+9OUinFAgNjTfyJCpM
YGWqScFf1QDwdqOAKrniXqp2LYrB92CYvF1crEwN+owlmBI3BOG+n+NNkq7jYTarl3lZukNWzAnG
SqZgfJTldqSI4tHWgze3pkY4Mdpt5/U/W/P+3h//xf7YdjyLzeu/lhM/D1/T3wuJP1/wc39M4uoT
Wp3OTHv4Wq6a4M+huxDOJxNQM10uPFP+QUv5behufTJRMdkkoy7+JiH6GvoMjRmpTFs3EB7/tBn+
d5vja/zmd04nGC3sjk2bdBmRbCb4f/KfkOzP0mYN1tuwRjMo4Fi16wo9bw5fCUnYTKNRphElkvZG
Mif4LlbMMAtm74e1q3F64Le+oXBlechHwH8VSMqndF3dh6oV0sS1xlw4Dlg28Y5PSGIUksXzE1DR
pe6iMZyImXxO4wXO1nHESIgBZp5YTyFoGfchHCbMgX3eI9thOm2CHyA31mw8zp5rLtMpYb7P1R/7
i5GfQz9A62wn3uRno24APbVOyvkyyQGw3PBeOjZGzXiJTL5tCpDNZMtaaco0xSTr8NRXToUkUWZ3
cVWlh863FOJG7cUvdcWZWw08Ffmlmm2pRuOXOa2ylyB3+g7KVZo/LpAShqXvTsrNkn3axOPXkJAm
7usK5SIruA9ZjGxwrtgq/ShclI+POk+mTLOzaY9aLBYYGqpuwHVVVA7l6Dl3GK4n47TMzbxui8JI
1meD/khlbs2koMwxdlrX8g9WRk7+MJHYGLqjMBNy7uWmKqauWJ68kqTobUvaueZTqFzLqqa/ie//
p+Co4NCKo+pfrwg3fJnxW/GH8cLPF/3mxIHSTncrcwJ9yNUjhN+MOOEnl8M0xZ0gjQJmdP88N9vh
J8GdijHOJOhmsbD8c2nwoDUFGMpw6CC46Vf9B0uD+F9BM/BfHpFVFogQ+8vVPva7hJDt2WmPZpic
qQ0fgBXhlnycRaL29lwPh6zjvDIRmqE45tR2DlbRvAnCp6mZhiPcnOlgd6I7MEo2zb/KfVp/OtE7
AV2H3OO6V9VijPJni9Ai3dUtSOOe/Am64n3IRvI+wMTMzwAZtyCa0zxnwjGcXdbHmyHBvGC0E5BM
Nvzx94BOr0cp3KDrd+3qV/6bao3kDpDHPEROKsUHrVSD18OCQvtmM2kE29JFKL/HAxBIA67qYATH
uYjV1kFLhcYkytmBdtBAuu8/p+uU8Og3qhyyBrWFcFskgQB2Esye0RfDc9Djecftk+8WpiQdAft+
BGcb2A94LMfPYdOWm7nvKhJiJbzizTjn3S/VWplPJAMa4IkOCMWIlZujZACsUeyn2ErLM7DhsthD
6C5LRGAbVmEnt2wTZjLq8SuxDePQZ6o/E3oTyPu2/JaZac9KCw/Ly+UNgL5zC4j3xa+zBajesh58
idU9jtPpvBiTsc18heWnxDJy1zn2eqmTdG9kAHxxoojmyXDCD9PO5cbIwC7TulOm7xbsRH9jju58
i4nSeARyAGHHT1e5m7NpuSS+ejYJiNz3K+GARYU12MnZE8k+KAznF5bQfBOi8W8WFzp0NNpm5j2Z
QdE+Mc6yoyoOkKsn5UNlhlBS3LItl/bnnDqVzSKMDHm723FQs/ZdWM4vq2kumzolYr94rYueX9X7
1h/SIhI9fWSSIzjl0r44Lnbc7mAnGhtba6cLGvCJc/QciS7xHnnXuxtI5f0+J5x1TmiDPYe0kZ1T
YZbJNq7N8r0dhHxpfA5u3cwDKCpGA7lAZgrClbVc7Mn0vyd+6u3BOnQ7rFY8L6xpIE849Tsra5g+
8L47e9XN8DUIOqdfCy57Gkz7JRq40jaKcM+T6YPQA+E33bizpNfWyUKcKGm5A3JcQwKFCq7qwX5K
h6rHTKasTYJUzCXdV368n9lir5ECe/LO0NKJjKU0NnEQjjv4o+KrlaBLV/m6/soYIL6l2MTZBsvS
H53WwXs3cAL/kNaqoFjhnThZk5f3SMb2mkZqAOJzmBqL57rvShlsrK7yiWmEXYmIYYfrtkzKhOiV
jI0Xd5G4YxyjHE4hpqmbsHWBDi28jyeq83pJaqRMLwlnvBsAOrx7DrTuyJm0ljOBoF8tl7leEDvf
IE3MME7LuQcA2daXsATGCquzK27x18d7uwmBaQeZvrvSoIMIUTrxdNBpTyjiZJUf/Rr2A2PPxjsV
Q/85TGf1iz+pZRfP0jmFXg5ByINtvW0FVHJWwvljShGbNm3gQfKvElWLLcWSBagIgNArhKXe/1LH
fjhuXbBF4DsB9E53mNOc0yI4rWzA1PsEBqYhrS4rgQhrE67TdGoSr3G3HLTQ6nKkG2BqjddvJsZm
9/jO5kevnwSHozol/bDWsrx3uDEOM5ksYq3N1BicKwVYrZYz+53HcnBDNU2ZQdgqq9d4qLunbLSH
Zrcw17qNtSXLIEEjt742amXasuUz+yu3YsycraktXd7V3dVro9ek3P52ttL0IbPm4nOrDWGBtoYl
K9MCWhY5dV6dY64sim85gX0O6FdvGeKS9yCztTTeoenhPlu0Ec26etL8qz8taXuv3zvattYruzuv
lZg/oJNjVtT2NqGNbhz9t8rwDNJP2gZnXh1xtFY6N2k45Xt/nvpn127wzhFPSx/ZmFMESDLxif1n
JY4Sn/IDfMqW+c06FGVE3k9+aVaTigQHVJF76LVpjyBJ8TVlcCQYXy/T7YBxEi+pmN0UuEugB2Gc
JO+NRZsB3QnMFJa1YfrB+o63zkjnfeeDwSboyLdIQpNQG2vzPl/t/NQX1rLrZkyIrA3LKdfGRFBH
gj+46FjnuckLLDmb1Wy0KUmRUAWljbuRQJJ/EVfPo79a2v8osULiOWJHPHFuvxkCz7t+bEcjSG8q
szeQrWx+yUn4O7gC33Ib947uZIuKbrFfMbW1p7z1/YfQTgXftfpm4e7jQnQL+34x2kses/Qrt7wQ
jogxbjYkfYHteK6xRAgExjYwKRdpWye/W126U5zGaHmBWqz7mhsdSpX2j0JJNCPLGqmBTldMZD1/
ZIFpfMm1/7S37OXGcTunjGSb4k91w+nbpD2rVMj42x6s00HvS34ptbeVq9S1IwAzWF6dq/2VTHF6
kVQBpLhT7f7GDrSb1rVTbLNCKt/ZjasBgBCXXWjv197IgO3ivHv18mGod5325TpXi+56tesmjrbu
5lLbeIerpTdI/flrLa8dnVfT76j9vzTQFK8c6/i4QJs7+XRvmE7xtJrec7HE7iG/Woltp8d1WMvU
vpVXszF+H+s+Lmo8c1TQfVm1K3nQ/mQMu3xe4PCxLRt2Xn+xoavxNXE1W9rfjFCMec5PcT0HnRQX
yXLGXaRd0cnVIM2+C7M0eSFEDd+3iq8MaD6kIbytuxIGiEhMtfQKQrflcBYYSMWYjdNoLOO53hlN
Vz1RmzLcNRoh6WiY5HLlSmpEElkojZtkNP+UhDMPayC3tzRwpLiqucUuGRMhd4vjCp8VMU2Ybm7l
YIfUYMsYIfQbRsTulyDsSHD0ygjPeK3oUWCKQ78M0L4QFUvzMnuNzgyuFM1QAzVxBcDWbLMSKuFi
KL/b+Hk+XTqhwA7NrCN51F8JnWxP+jfryu2cbM3wBCcEJO9K9jS5BuJdqIGfU97zJGAyX3dHOkuc
ZbtAKQFgDeOMUF1pB8+LBog2V5aoo7GitBWz0KahhsvjaMlv+3QtKCaO/QrvarC89lbYPeGt9b90
cZAfGg+zK5nRAgSXiDWPiejloZM9Ax4jqTghp0LxyOh8jnAZ58sHC/ZadQ5aWimS0adgpiaGG5Vm
Yp7agN5i4sqTsZH26JnbBSOwPdx4wWoxyLieVf4Wev5C6NF3HPGzf3Os4+b+Kn8v9fx8yW+jUOeT
S3YMnk+gOx4t3ab7m9RjIui4jsVc0wk43uki7d+kHo6Svyk8MHJJgOHmsmyPMZ4j/rNjnJZwfi/x
cCDEGh5AX9FZNu/PxYhdPARlnizeTWW1gYjwp4l56wkIckgw0mgH7iMQXByeispu4rumXpm19K5p
4KhVA/LjM92jplGBqvWgZu8MtfROfAxipEu24xMkcr8rVXtXpJSU+fuqh+s43w1mkaXsSiyfMZAj
DXoF9oMsK+8yOZ38ViTz4+BkPmA9y/A5d3n+vnSogdjLLtm2lkLtCJQSFzWkWRt1NIuA3UL4ztUB
GpY0L/UiSjfKJY+2jd/LTB5LjlLdA2fA4rmn7PtDlsrGzcp0RWirW97eeHWfErRYw3esLk7Dt1g9
tVs4ZmUHnn2UQdtrXe3sJgvui672Pjrfn7dG2MxfQOMzWsDruW/GFQp+n3Jr55NF+w1Ffwblezzv
DoWqylNOR8wXT7rduyVtYhSiycJvTRh8K5f1LjB7IuSEUNcTf8S30+jZ95mbmUdYHWI35LZ2bpm0
7Ux22D2OeZ3Okbmu5naYEYw2TFtDysfHhnOYE3srpjV3OtaGqh5GQHivS1rBU+vX+QDReH0M2Z6f
mYDopEbGhBIYmpEBW8mz71wP7mNe0J+1Y5tu3FMTAuzX9fqjbBZB3GGoX1LlM2sNxuaBWYofTRDv
GXwGg3XruJP1ZjSldDZ0Y9v3jZOM27BlLlr50FenTKgbfGWg5LLRGXfCqsedoWXvmX40RATMbiWd
rjRfxJ36YqxVuwdOhSUo69QJ7U59Y6PjnziPt8/KXOO70eiaS2MkY0Vw2ljvl1F5k6CuY8JP5jFj
/Plv/PDOlN4arqb5R5kJqg5MwBQ6dX/OW45M9RnP+1w2W3+Iuzzc487FcIw/D6fKXMpZ7cwUjOa3
v1fU/wthTed5/61Q9qxzZP8Vfe0beOR/MJn8fOnPldUPPrl8Kd9jDUP/+b1eZn+C6qMha1e7iP6b
n+uq7X6C04aWY9nczxaK+T/XWRZjJDwXy+Bvmvx/IJdxGP7jOgsoHcqO6WjiuWcL6hL/aDMZsXDC
/8ma4zKxwsK/LuwZhA+n8ZQOvL1XWw7IFzozHsPMBv5jZUB/Zw/IzFQSKtr2xMlf8jiz34BQrw9Y
B+vnSXrxl9ARy0Or8Bwe/Vm5x7a3K92og/kpM8hL48+FeTDrgeyW1gLUlxRUun0JSgM3omgg+5Q8
i86j6uhP6sKMM3e/rrNAkcBAsKUCrf4hqxFgkR+uzr4wpHOfQih/AEaKItAsE5UNHUiQPmZxJJzi
EnMy7NRKT9MC7RQPpXdrAS9oo8EiTTdWtn2emVZzlM9oc6a2afowK34ofJnx8CvfRY+0HNqiwLbV
EkoM3CwMYl4Jemh17dMS114fFd7QFLsMT+AxI7jo71Biqh80BbhHDPvLg1e7jMCEyuLvijkfQ3Ix
y7eW0jK+Lj/ZGwK5fKtns3hCIVwe4iVLaWuL65dWBs39gL14vSFul1BBwamE/TY0IF1GWIIDN4WO
tyjqsB4Xyjw4GrS8kbmgYATxgtIzThyLpmqo9otIGNvGJVY59KveFNs49GkdQm9qwCpQuOUqQAMt
RIxCdOEDyYcsveQOqBPJ+we6soNc6mXdgSaY+ZKOobVfUvr8osyFByxEFzwaDlcLhKIqCmHBHysw
K0hfvXiB4OGcspVPxyjB7yyj3wAX7ibjWWmSk+fn4sz+eo66shidbQZHXh6VUQ38zsKGCJp1v8xw
ij76sbHeWnN1GFOoDsyRi3P8Oy3Awa4f0EM3AZCEx6VNOPauTvhs9VnyCAQcewaKDZ2y7mR/sWK2
/RuuPNfaDqkxfw1UEUQFU/tL29oUa40r9SDOktcZSCfQ1ydcxkAOsng0Llas85yz5fMANpegpg0E
ZyiNXG7hzpQstuMTPjO3uKRYKR5almz4XD0dkbVYndtUGuacRNgIDFw3eU7zaOQJxINDAqI1jDeg
OJhu0XhWklFe6ZILPjrkavpBQrZCaevZMZ+PgQWCodnYzXRt0A2S9EJZ4zFuegPXDZYG81R23Zq9
Wa0MmQPzT7+puXzeffTV53XuJVVb8a1fVdNNNg3yLe2quxgLzaUcK/YBOb0rPAVBBDeOceYQ4Ndb
3yrNzy7K5j6jTXRjUoe8i/u12Jse/znYqGCdoqgtGyz8PWHa3Mo87XayHZ7INabbrGwtILm5JRi3
cw29eh4tOkdub+OlTuz4wMkUEsfoIjlF7D1p7cutbusVQFWMwZIJJGV+huNqZsuIJ8Qat+uwYJaj
a+bUjHS0cBx+alRwGXIZn3JEpygMmuU8Z/m485es3DmAbUG6LweaHI3vLqJrV8Z9BPX0sAQC1G9m
CU0Y8+/kujyT8Eq2fjIf8Le7r6LXTvRxHDe4mJr7OTA5Q9kWjmmSSoYMMVg7HRTlkohY0HqMvmoZ
ydytb1Ac5K+cKe/QNeOPri/m40Il7DOOpuA+py4mWnGUb5xSTg9iJE3bAT1BiEjXA+0xaHfBeigd
c4hSZuh7IvFwMwxeJQrSEVnfozAVgfpoYvRbJnf3qu1vwU3GUWvpFkC76Q9dXKMCY3S97fuYgBYO
GXK/zS/InN2hzkSwy+iO2jf9kHNQdGWEW62ji56KwXKaiNIxNYWotdK/5SdfmsyS20SkGYicFRxW
ODabcmj6N0YA8xFpbPiM12TgwpiNQ9IvP0YNuIKLs+6GHnbQJKz4i124pMA4zzsnL3fQzwGDm6fR
a+bi/7F3Zs1xI2cW/UVwJNYEXmuvIoubSIrUSwZJidiXxA78+jlgt8ctyqMevztiYiIctlgbkMi8
373nHuzcoeUbOt0uCJA/VmCp2Pp29GghBmRrerPkbVdFwT7GWrNJ8ibeQz3LuSq8WV7BdSoKNq9z
nGx9Hbd3QaOBYGuXW9bNFbU0XXSFaU+/gtUqsXGQC36i2yvfmV1fLyh8f5c3INPKuYdUNijxFW6T
AS9vqbEcivmq8MEFTXqAbWjnCxWpK86NNxrXkFceJaZFsTYDfClhg6JJe6U54sZqU/Pkwoe4DNLc
pzq1gBGdtXEn18TTKCfUXsysZsgpBG2dEueTaUPyUdFqJjEBObsqcP+Uyt9L6E8now6zTV2FHXCp
znhsK9F85YorNDvZoboQhCk9lZS3I779KztJi43f8k13GZeBQ3hitJr1aEbOwSLVDayYyuRayeSH
3Tj5jw4/GBAyO2es3qoB2JbjTadC8sReJ5N2N54bmw9l1PV3UZD63ymjC7cVtvVLraxvRtC9I1iE
T9gV4MNQfrRuHPehACRz5p7CEW6n/aonTMGtpBWFr85+tJNviJhvcAvd/Vxi+poVSQ87np4mXFub
NqM2TMr6hRpfYr+2OJIZSbe1aVU/QiXp7EsMonm+nRx6OG7lmrOZsyVsb95kDWOytBnS28L0roqw
LS5J3nTbxdsEtZzjCkHLqB6qbWPmM1zpBYacN9+7JLoHesNWiv1FPNs45u0+O0gzmTeuEpbGsMbi
ypBl2cxoyuwcRgAjT7ltVKj4xUrTe8Pyyo0NcuhbZMn4wIlN/qjN+q7rzXdFE4Ffx3odGPK5yEyx
0W6LcSEV8hRMRLsrQTEd8uFzGc7wj4LuNBR0sAJ7rHBnaXodwx4b3DjlR5vyN/IAhBY98yEepvQy
45pfERUHdoY3YW8ljEcrkewJU5FMbkdivFGzVATQZtC71FUl83fO0Q6eXgaTCtY3mMGZ71rlNkOQ
pVjU9UgUIODnu7EjHF4b/psiGsOsST0LRM5ryKPZOue8pk0QQJb7Bj7JPMZz19DdGFcXVdGXF522
fsh8IJpifm/8VEcYgbNqbRYNZbTYpVYNY5ttrBkO9D6BZXYs8s40phDK/pDsBLvHa6uQ6qamh7fm
Ry+zek8j9RXDOmftyopLFIYZzXmjtYExb17ZFJyNaeXdqcWEQGLY7VATqK/uSKZzNudkjp0J2FIJ
kmz0mS40OCS9+bFN4v2y2dRmcc28A8zVECxOkncMFAdt5aALDUF3c3M9M67IIjpw6gZDapV/q7Og
YPQ13jPuuoFZf81c4cxuLV7zhyfue1we04RVTPUdnWsJtzmtq4iPro1ncDUC/bksEt+/9HJdrCPm
KdbEgIrRbD7fWDW50f8e/P4/Bz8TIDYK1/8tpV2WXdz8Aiv541/90yLh/wMJzCLhb/8RBeDU9aea
FuCbcuRygPM9MNNYof516rP/gSnAomveJ3oQWEsv1J/qmsUfDFhXiCPQlsCU8T9S1+xPJgnTRCvH
zkX4AdOFxIn+86EvnuqhK2OzPrpowP4mSQzzTkR6Pvs9T9hSJz6tnJUUr40h1b2MAjo+80LxiImp
fmKUBttTmpelIBXDRqVfxjOEcnxG3/c+K+VGRhW5t1KQGDTJSV+bhdH9SGqQJ2MUZo+OhTW1WhKS
yMYK+7LDga6wZL+pNUZosGz1sG9zYz4g6XtfuqIbr/7yk938IST+NV/xSV7kG3DwxjnImixB4IQ+
OcgS5p5soqvqyNSWI5liQWT8h2OrbZfPxfv+/etxlv+rnPnxegiaLJfIqIDWP+FhLANrf5im1XEw
oASOYfa6uJbX2Mz+9Dr+lCT56yf7lK5dXklCMMdkhwnGRIz9+bedsX0C5PYy4iHYKCwmIQxl6ZH1
bRV/oaXUWbZd6u4//ngSKQHrDReTT1L45xdNhAUBgkEuuzVGCyujI5DbEGtxN93oskv+z18NTQU9
2vQdj+PMz68WBv4QF3lCJbUY3PRc1Pm8Gz3iHtfAbe9//1qL6PP5l0Mj4UWkTYiSrNDPLzbS7hvl
qYiPOhozLPIRtpiN1jAWfc5Yq4inynWHM+ZyaNL+QFFaWwGGJE74+/fx6wXkCuHD6RaYqySC0c9v
IzMbOeUdw1fdwZ7eMDMjgxeSZg68ihP/71/s12vIxcLJ1AuuOxmnzyaqGs+J3dYeWT9znm9Lv26Q
aLiDaQhJI+p+Y+zusmCf9zev++8+pIRxjefEw10mPq1LKbbHOPSqZGEyEqLr+TUHu1sCyDFF2r//
jJ9eC5mCvx8sljR+XvyVn17LQaAx+yiIjzHbFWATk6QaVdTTRTgN9sPvX2v5W38ZZny8Fgxvvkpw
gY77mZeW5C3jfsagx3maB3PDuSw/ZTHx7s3vX+ezw2z5TAAZiKaxyHC5Wj9fJJ2XNbVXjjGN5G6f
MBhkNL9ypgL3em+7X6I4ztvVCMiG5li8WGrLySw6//49fLp2ls9K5oaFjhpFC4fwJ0ERn0MaL9vW
o+o5LFdmr7HuzEZ4VvaEMTb0cYZ49vQ36/nHV/jpKwYmwAeHxswz9DOxvw89BqVK0hdL39jXOvHy
E7rrdFUxiNjXdlXQQoUmSFvTNIZyrQZi4sfBK8bvRNJ0/UYAPj+lqgDwsgyNFM1F0FUT4/b3386/
e5+EsdkaAEwk2fd5rpW6thpmaRgHYUvvlQ2fU697neFYoJpx8JiI4GYg/GtIGgY5+Z5Fb9E4axdK
Hbu0dC6CNlBHmFb2VWB4jdx5fVQm9N4E8u8of79etb7g20RYoTFzka9/vppEQDiZoqf4mAcCXSGl
7ifFBtC0299/J7/eiRyY+MkY6Pv8/8/Pxtiw+FKMJibMSWgXrizn+yIt3QuGNO6X37/W5+Wcy9MX
C+WCpyMcSZzrP3+oyW/cBiGP5RzgxCb0Vb8h1NGtISmlZGyqcF2Nw3RhdqN8NvICRG3ptvu/exPu
cif+fLn6NvPNBR3KD/3RoPJXkH1WV4bFnaEOshvq6Sgzi8W0DUa7OoZdNd8y5xOvbqRoZ6Y8nCFY
FcGRjPFk03yZC0CHYa9OATLkDdEWq1s1OiFprbOWjjWLI8E5iwBoRBQw382Zrd57kEOP/pTNZzKb
sCYCXXtLAicl6gVVva8FCy6pGevO7VLvixdV4tCCSbqM4Ch2G1HFxr2BkH87hWphNuDdus5r0b5k
ahKvKLPqzFQWv0kwFuoduoNbnYpck0MCz6kOIM+cBtdhBIfBlmiEBLboXFtBvHZeoGmbbwX6+8NA
qFMjAfXgnxsK6t6zvnWgLbcwlEA5JNEZ0ld+clyWFrPuY0jZLN5lE7rvYYlcBPCKbSOClfChbsZB
2O2ob3T2gyPYDBVybL77ko7pItHyGYZo7d8RFeN64+4P011aBrw8eCqDpsmGtVM0nXye4TFtRuDE
Z7n82wbPCJA716bVKx4a4nrM/+6D0p7OPGdgF+tpuP74epU3gB4oInFb2TpKTyVY7uiozBDquCXy
6JzSSNVt9RwlmDY/Vit6Di/qdmaF8s3R+IYcxRVZipGgepaZQCbiiu9uojuek6UQ0b0Dvf5rVwvY
plYoihs7pUOAbBZ/BzJ1dPZaEFZAoeLXWgQDgGFEy5D+5SBDX3R5KMBOsx/8oq+tFdpEfsptK37N
CBkgE5TOC44tpEduGmjdKs7nW3fAM7Zu03q8Eb0er+OJseUGzkv8LfNalqYlRW9Ogo5Ee7kO86Uu
1u/I7q2nyG/BRowmGxgzL+dd0WdcSx8EknCYMgXJJQYY3Db9fJu7Bh7spT5w00UN0bKED4ChMhkg
QjRcYFvYWtVLNIQC27LP1eumzogGQDL5wDl+vALNZNx75CYXzJ4znUMjS06pn22DGc8bboDxGllV
72hTNOmOncutbhSCqVHWtyHj+6Pw6+ICH7KzJjgbQ/htxBnO8XzqtPAOtnTVfdjKbUk7x4v2ivQM
/Z3zu3LldT7LPYB+HACFGinlSuxn3+e2q5ycUPBE1jbt7I0wxhn/nmWtTUb8u2AEOUXzG731fKvW
YxD313FYTKfEDHZRRKiVWHJ5wvqOcdmA6ZbmQ7BC/0pOWerX6wg2AvTqFpx24+Agd53nGvv2GRrf
dT22/oqZ+bjpgQSveeDYO1fHD57yqOhrKusiA6lIV4K7rtpiAFeMZJnO5pL0FR4TcvToOIjuGPK9
UqD2UnVGs02M3N5MHtlPa+6tI0SUJ73wrpDjqmw9jT5Pta6yvuU2lQi2b4JUAArrgcFOHe++79VF
WcjwqcU3sY2caTxFWc4C7Cx7pNyarrzYtheBUN+SDmlORu+mm3n2LlOpJ79aoRFLSH7LIhI2P8j3
0nVEKUO3KmiRoGk0tJOTWTpQpZURysvOzXhDZUYJ1KqfrPnBnR17Nw6Z6lByreCCpK6+ZqPkRJvB
WzzoUmQPNaV4DwxKhi9T6bJ/KJvKD1dVP0/nVM72Ulknd07a+t+RxOvjmHnjMdJBzouyiz7Xobjz
3WG4kxBKGAV23XZ5/pBJLas+WseVzm+aFn+d5E7L6DjAnLOyUuo764m9SAqcpEgLryGJI2OWooKR
kkP90UqGgYTJzdEHn0K6ydnm7YJZYBsbetyRdWXl141oH2U2642JZ/3K0TPVtSE0TkDdHoVyO+IB
pGGrBsxJkro3goLBnSe78GubhMOF3Y2bNlbDKRk6AaDQH4JvdjLSieLCuwBCwzp5LII6OhHFBElo
0U1ymHvKfVYJeweOCJlxm0213OZT/VQA9tuJnMh05xT+ewvhiER5YVr3Vu7Kr+MwB/NeuPQ2TN1A
srzs2I8Voz5U8xxcjYb2qBvG9A2Zp1obrZYHTtDBIRhNq4Vc3tU/Ksv3t9WQTCfd2kyyHHEOVE1j
rhOYl1gyC7YwhQQLmAW3mdIIbMpWNof/JHKQKZhKGrGB+tBmwYkfNfgyukAJeAgTjS+M3nkbZ9Hc
ShCcx1EXzcYvtbWh2QmvbVIAWFShux+ogt55pCEpIIydhxSc6E3YMivOlZkcVaKtM99gvLGpKdS9
Mvc9fQcYXYqzh3ywhrBj3YQ6Y1SspX0ZhCH4hWp2vyhXm5vcH0pqDpB+s7nxX7qlUpGFRq/7Br/8
2mfgAlNJuf4+6gsI+8WAyzpsVPhYiNG+6gTjYzErtv2BXXqrqjGSYjulRunATaWcI0sL+eymHiJO
qcMLIrU+vSTKyY6TEUw/Wo7jl609dDigjNFf2RWgrTXREJ7pTjDUi8nPveLEjp8IMw0HALM8wdhq
ubva6jwkeXZTeW577TfjeLB1EwXrOPAPOdPnI+0YBhMA5V+UNNOekw5TjxP2+WtaYETepswSvjrA
HnYeFKT3wM2pRK8k6Qa4hGhJSVY/yqb6lvOnt7UuceIGoJHw4zI0eBG4e8FqGo1xDKuOvaxvMjzT
UcEIPQHLaiqg+aIk2OJ28TbNrTfwLUwbu0oBWAjsZluE4XTGCV++SrPoT3BwMA4HPAPxMs77ySVS
j4e9vTFF37wmdcqarTOeGiwCdRrSlONInboPregK2bzh+fCdlXCKMXqPDJCcbdxkxPuctuCY1Brv
2ouK8+hW1lU8uN0DXc/9q1PH/nNI1QXMK9ivQJXE7OMhdcFzSIbuRV4cDM+ZTkQX6GHPvf7r1BJ9
FmmuoSv0EGsTvYQAhtRcs4siO4SCzBxFo2pYWkGwyEabd9WOB6dIxJkSlQzGwMAzA1f4RGVU19Gg
xOIUdSsz0ePBVAtFooZWu2kdq2Q5m+bwCyMXa1pDbwSKAW2HyRfqENclBtc18y/jPs4CsQvSkt+N
h8LeFlV7qua4e6s4Gy1G42xTGDnfQu3H35S1XMooSuIcycoqEOrr8eAJWz1OZFZfDKsy3i1SVJfK
hx/pFnOyJnVp7kdnDB5MQE4rq3Prb6qiewU3cLAmzPLAxlhtWwUAisT0nWc/hsQf6KZmeVWZ4qLK
H4VbiJXwjTvZj1goZDGvMSzuMHF5q7ogig2ngHElmxPGUEyRzaImQs8Zm4Q00zpMJK8p4KNibXBO
BkNLN9Lk0YUxGtau84YflCJTH4Tsu9b4b3cpgdp1mnsnq8ndtRn3JsnHbudTj7vGKGRspOJyFsnI
2NXN991sAijhD0dl5++tSROUzKdsDxp5/KI9K1pbnR+ek6KHf45jVxPQXHl9b51ihN1tg5p1iusp
OwQCecAae2AdVc0wJGrFa9rCK+CMz1OHjdAJ0K0DUDrWu3xowWG0Y3KZmuM+9XBV2Gy4gDWNHka/
8XrABEVj9Ogd3FpHa5H3PkeTagMRDOAAW8Gb0WwEpvQE31xLeyXzmm1llPPe9OKF3Bx8qycj39UT
vTdthXYw4yEGOnwLo+Yl9pxdqahRIg57Bdv2lBv6ecjn6y5VJ5LqD1Wtziy5CEbk6y+8en5PdPho
BsEd4519xW6avvnsJRAxPkNqgGDCBa+mK5r1XC8+QLr4HvB7UUhfWq9jYLKxMkIW+cg6Zl7dbgAk
7pKuIswjKQUKvbe8D+hNzlG1V67BiYDaou7rbM9vYx8zxe7Ib8ksHtZTMIVfBTY+TExQqk5E4cCB
TxPQjNjem3DPdPw04v454Dq7dPWD8PuOjJ0OtlETf5F2GGGjCmAf6r57Mqza344DmcWeM8xl19V0
vo7JcptP4sTASD55jVPgzdaev2mioT7G2kMeHZLlOCGDaNyXsCW25GyhHBLfmy+p7DbqXZSPd3D/
g+/ATmhkNqoMQWeVBg2UO6u3BvuCIEkDU5DOi/Ems5g3Q5DRafICkwd22YTVqD2GTFIDkiwpSQpU
TSdpYXxlDB4bfJirlP3QATKhNK5aSBnxpjHKhG6cANHUawaOnAvZse6wRvhhqihM8rgBeVVGDC5x
IiZfPgcpZrslx6KQy77blCwv6EzLTGMq4X11IQcEZWjOGCWVGwm2gCvNM+7R12o6Gw4MPYjeTPAn
7YmrxHDjftsGE8eOTrIsDQvOqzCX04kZj/2PZLYGmr8mCnBhBdIWVaenKB3Uc5gbiNyhI807s3Hb
refWnEQIM4jXsiTxfW6jfjnyBm05rSO3ar7qomfrkBke2EDTro/s7fnThlfQkFNyQCfpQFpVmpLz
FWT3b16WW5u4Zvu3cqLqxq0hvAOUOVJKDtqSR/7RSomax42tTnbkIgrgHz77nUQjWCY1H6/XV46x
nQhhHZVnM7NJ6S0W0smfPv4ngZ+DIvY49oP6C/ZYD+cDE/nqpclbzmBjbaES0LNzPcxsewwOm8x6
5sL7EqR8mViK3ZWIWr37EIqrjIIWa6TapUvRjbM8rsQqjrFmGAFvMY8gZHpzW+y9HJtbGbd8gDjh
L7KOzARcuxGMX0YnTCf41YsU0KMaxvpYuwXWPkp1drMRicOcdvN5JPbfrkfB53JytPDK5dine7rp
1u6U6D1bNc72XZfJetOnig6veEYVQbxkMehMTicCt3hJj4k+pkrkOde/mI3LoAyrF8S/eE9dD4qi
P18Edd2A/MmCFkkGdzqtyeFc7tp0GOD7aSwVLtmqizKZmZDNLuKVmiFBLtedERfzrk/4BewZ1HNW
Z/Mtk2G4Lz2+Fd5fBPbKIIeBKMIx6zbrlu8k65iymfxHfqvxqpQ9Xxsi5dqh5OtsFWaxLxcp7gMp
JycsPDCTwNHRBbfzHK6A1hH87aBf/mCWeF9CKzCwd4Ksw+yMni8rfzMWUjzlgn9CmAe25kLOq8qW
b8vE4UnntS2nMzVZXDszfSUbSlfEU2S6TrJJ2xSzTcN1Hxlsr02JzgoImQO/CV3rfTbx6/QJVxOm
USaM2JNekBIL6qELq3+g78e8DMxBnfpIlS8qwuc4ERutVkbELezYHbPJoVUnBbzgJZUN+Uo9GtSK
NH0mcGFmyrzjcMAnLEhbd4CowpQdMDGgfVCA+eTcUn9tg+XrzUWWnuhWms99U1p3Q9rCwF9uWKtJ
o+/5nFcvNMbz0mPX9KesndSxRXKFMUjV4MtMJXooUORazb8L6jilV9R/7dymX0dmzNGjrd4K4QfQ
tXDiNH2tTqLl12lbxc0+cgeqbgpQLCiBbBcybFh609lGAj9Xea+e64FY+Hr2ZvMiCy3zurA9dXIz
m3fecvJxNwXL4V7YLuIHY1HK55arYCAUcelWLpICeQ48XT452dUQdFwlchavoUgqgEC+URK3qrin
y9pVG6qePMK0rI+BwzcFV9u4nzkQvEtV8YGDdrkGawFbVLqVovqQair2AdN8MCQNkdKXHPuwYPQ/
fI9z8poDxvjUlPH4bex9plANG/IaKbUKtxHbCp6MNNRfmk1fXEVD293HYvC/V72j3uNyJIjvRtmE
Q5InkxMPeje5cgLpBv3q2AdaPSeeC+C1qcFSbWSJwL3Jqric/pCf/5sZ+pvMkMW+Bln6/zY6nCmr
WP6vquK/Bof+/Hf/sjowPMMszxDdxrLu8Sf/aXUw4SiiIS60l3852//X02BDX2SWyebLQtPwIEL/
J4mhZQz7s6AurQBLgwQ88zFK+FnXR6Dwo7aPwiNQqfks8nra28nATeQA0DVhj0T129j1+q0yuUP/
8rXc/PEqfx25Mw355dUpDCX9zG1rBzRufxq8xWQ13BQd5UgQcD7TlTLvDKuxoKDmLLNuywOr1S4l
mJbZLhVrGn8nBnSruESemh7IMeEDL8PGCldl6sERC8yFBpcqC0UzdtINm7Hqea5gPFurJom7+ULF
kEm3BcrdFpLTfA7gqx6WWlMo+WzA06s+KvofMvHtbq1jlvg6sllCEpiTd9qY5LpOUCahO1OeK3m/
lY27VHJvnpC5+N4YjRWXvE3uQFZVYNSwdnY4VKDU0rN5nDq2epD8HIP+6GzCdlh/MakjJC1I0h3P
LGKg/N6HdgibN5CG9Sh6FcbbvAtH9t2U1rrPkQjg6q2CIWiji7K1U9+mRENXw42mfQBnfegPIb5M
I/J3ZTqZ4R1ir7djPc8JwMeYkP2d1fSt2LAjsN0j7Az+l9hQA/k01mnFHgOhdhUaaQwof4pAzyrm
6IwOBh85ErssvIYFO+Mp8hvUiYWvOev9dS+nEvPKYuFi6q6rlRlq/wmufws51xygaqFJ7Dtv3rT8
p1Up+vrNTXR/Jf2EowT4OvtAk42JzZ6W4kFR3Vpnt0yjsj02SjRkcrhU5O6qukeQ6zNPX9Q5gWtH
V+gJ9GK4LWc0epjjcm1MgbrtvWl8SCs3fRKLvUIyfVnbLla1Nk7dH0YxJnd+01LrG4x6gzaAWlyY
8bEFu/KcEGNfDVFEU5qsiyPVBu3JUVSomWZ2R6Aqve3HFnesRCJlQdd7wxwoPShBTQQTSI0aAyyI
uObVLU11l6eR3Iy2TeNPiHAshja/QCVtMHVDIormOHsoe3Y22jAjHOxl8OaFIMlWtaqTm97w9EvY
m665ZucmrsgEUAPUJqZxKiLAfeTFC3FbI/bvB63nR9vK7hOjosDDCzlnWE76tqR0Hz2fm8oZbAdw
m3KOYQoUwdNjfqzt4YdSSGPzmJrbAGPEtGJNaF/qGbF6juuDGQ2Asqvhonci9zqjA3Nn9zOEE7wU
5aEOnfRY4k44q1KazyNH6CsTsjj9qgM7kCTNjkzDgnXnlM19A+/z2h5cEJt2bjNtmcarjID1IQ8r
95buQfOq66vkSRdR8swvmu3HsbMvunLODmDPCB7OTvZW0eipsD6GkuO4Pd8wOu8v8xbeMxtn8iaq
8uXdlLRISYZBR5Fhj/HZn2qbfh3IiKthmX9kY62MVeXH8anwQvu687vmsq/t+Ct8irEnHTiIc5X2
MceRVN93aTd8iWOvOtkooltjjIPn0pmSx7r32ovWLdkpkshITmKWM3OgPIJVQhbhWNFWvG9nEW5E
Evg7zqLuO60Seo9fZfo6JhYT1QBNOK3yY+uqc0b+f0P5MYh6+IlbswiPVlChX4hpTbYAOojTfe+K
ATpIWmQHEYIULYAvbEz2DEBfCrmz2BoyMvL0a6Xc7kKgNBO4RK7zCme4TUpX0zLnT4ey7uxbNQ3T
E862+c1VZn/LF6Ku0dk5kcvJRIMb8g33SctwYUwOAzm+PcKgR9d1V6YPVVxne3527haDzUgg0+q7
Tf5zP/s5afxRCXs7eqPDwKVubyCHUo3d55O3Tixy+8yVrffZiiCvkHLvuJRxCpOzva/GtD/TGX5T
9W1wZZVW+IROne1niCK7ESh3vxJTLM5enKJXs6u+Mph93E5jj+XFbKbgsiyXnuBsvM50R8Tb5EY9
dV1IlacTkLZBgxuPcWqGQHCSgpG2txye7eLc6XZFXSRLDZW3F5DAk5OlycV6E0itNbZZ5mjam96i
hPMVHxrr8Yq6gOSAt0i/pvSKjCJBqmD0uVW6tL4l4CaPGVyPvSZ/fm/WCVl6STbCaids3Z2egT1Q
L/PQFOgzoyuXLXdlvFRkMXiimcNdFiMsr7h75GUxDNN3Zm3JhCyvqU8mFnUiXd7vVWP2Vz00/pOV
WQXxSq0fB2TyGwDnasO4cd7b0MNuebJVz96iyfptId+nOIW97sF6XQVB+H1Ix2TrxHMAubHaDRS1
XkwgmDaY81rSYYsKHCyCsG+maMOiyYDJ0jULqQOVA0TmDJ4tixwNdxaBuVykZv9DdXYXAbpwTHpT
gl5/9cPC87ZOGeavdhj6+2KRr7tFyO4XSZvamhoisn9ga46OOVk83wi2tdkVBzTaxFFTzumikXd+
U57IeVC52xoeE9zUvRoyfOwGJWRffcelhP5DcMeYj/jeLDp8FTb+5bxo88Lusm4pmuZxHSziPXxf
4z6KXLLA4G7xkC8qf/mh+LNoV3TLLoOAdhkJLE0ZV7FQBcsSxfVMSJF8kmWMID8mCt3HdIHjI7W5
wH/XYyn9l3QZQ4jYfqECtQSRVLhf/GVagc/RpuYmcFgGJ+tm0jMSjSrOyw940plt7ueWwh+wzhvS
vdaZbuPkGFp0adRRQVw3tOwHucxPxmWSonXp7o2P8QoYwC3oIkqj0hgRosQpMX3MY9zQeQPCzpAG
FggQ6aEPvpgu+iLcGIvxP3Md92PEk3O6vkk/Bj9WPzIDWqZBDMlLWpXIHX6MirxlaqSFyfHZG09B
a/lbMzb0DxqgGTMZExMnsEfyILHprJtlHlWoqSHnmFU3S+XagW5PCwqTW6yB6hnr4WOspcxafmUv
YN2PRMOmFYkm+e7nRvecL1MxlVZPDP8w/CTBLZykhpwiHlT2HctEzfoYriVtEp2GZeLmfQzfpOOR
0pAoXG9xVRMcaJZJncXIzi15vE2pH3Jp4rnIl8meWmZ8nFbzi+5j8DfAmE429sdAcGQRvrLDTmMT
qJkU1fl1/zFCVMs0keddsaPqLN1kLSUgRmzKg1Vm/vWHQkXRC0PJxYi0NhJGlZqZZYexDF9vyhxT
mqCtjm4W0rvGqP1m+Jh5Mnhn/ilFyfa1b6YtnNfhzqshXw3ERY+emIrrNtUD94mNsoNwIb+z8Y22
jpNa9BSyrPjSYjONNYeBbLvMZnv4VQ8iLbMHx2IP6DBnwPpPQ911lbbBxZx67FZCVx2FrKC/cDxm
CJyWPMFoVlZHCk3reTMuA+OkXcBLyO9xxxYzKA/5x3TZ/nPWnLaTyeiZdMclZTXYCFq/5rge6VvP
YNTuOPV0hfnD3ARUXa3bUDPULshmh2z8n2bPv0iYfIfLCLxjFl7ErsmndE55Ks1vsXSsFZp8Rv7M
Iy0gc+/JXAbrkyERiwYKbPQydq/s+QWExysC5q2/DOaRdTwQjwzrGx2LdbkM8IVtUFjOTJ+spnWB
opZvASo88LNQzrhYAMiqdBs7Y3NDBJMqwNg+A8t8NhfrwLiYCPArZxAcMRZUi8UgWcwGWU4FN9am
alWSFT2Fiymh6OgvWWwKqCjX0WJcsD88DP5iZ8AiXu9MicVhXswOarE9zIsBosQJIRdLBKEs+3ky
rHGPWlatYUrtg8VCMS5mimqxVRRcfi9GI7cYitV9jnR2qAw1gVjHkEFjYEynDCaNebFrGKRUj4w4
/N3UtPO6+nB0OGAi0LXCq2LxewRpMl27gg8H0n4bz23OOaGCtO5VYHN/fzT89VhK4tu2aQrAzudz
Pvz5WEoSecqoK4mPRNI41hmjVCd6elilP2xWjig4kbKXgptLwcnf2EF/NdZ5Fg5MCxcfrlAz+PTi
c1zU3jRX8dEcy/ptTuriEg5NBFE0SO9+/zl/9QpynmHWbS6nX19+9tPHOk48EA68VAWSGRQOSvaq
oNXpx+9f55fSbeylxOWBn5s4BrEJf7JjU6UBlTuV4ZHZ7LSL/HqJsMEhzYq4vSFJmQaXfRCJeD05
+Uu1dGKzqoSArlS0HK5VxLv7eEv/1Y/+Tj+CQ4D59zf60Qtr1Uvx/Sfx6I9/9E82gruEYaTAW+oI
Ui2CK/RP8UgGYEExMwcuzxD/Jwkp+AfLhe8zGYUNY3N1/0tSkv9YfPomWX7pSCH5r/4DOMIvoo5A
IGU8JQJqgi2krJ/v3UJ0SZ1HVEPJ0HRnLNROcRmO4fSQA1Sjasx1/yYk8stNRFExZlDkI945PolP
1za+kwj6oTcdxjGpb4XR92vPG+K/cZ/+YhLnIy2ZF6Q5KD2/EFJbt8G350bjYWp1vB+sUd/yICSL
Ip1qK4yBE0ZTDxtqQY27ZpDjw1+ugX8jlhFC+SyWEROBHM38mJJ6vttPYhmeVR4Uk2wpjIWOjwGL
Kp9MIpH1juuDdI/qE3j9utlP+OTNVYVLZ3HBxAZROWSeL2yZePiTe53OELjgP4Qm7Uw+vVS7iQw7
KIRy4lxkZwa8irFKEBZc1SCyt/40vet2Su/sxMdJNvrzIXJcFHrpaSw/kG8UrRX7xX66RIxNujZL
bSPNkdeaD0KP5r1nW9VVjYXinpn5eEM2Up0Gr6le/Dzn0QvEbXqP6LXY9fRzPmYdMMkmQUlTJjHl
Wv0Pe2eyHLcRpetXudHrCwemxLDoTU2siVOJpERuENSEGUjMiXz6/kC3b1iUWwrfdYc3smWyCkAi
85z//EOKl9G04H4JzscvSTrLZ9RO/OBEE37umBds2fSiSzjCitzQPZn1gVtVlXjVsR+uyb9ynSsk
qlym6Xf21gdjQpQ6g86rOrkVjV4wxZCzhmlCsZJ+2t7XxYj92ehjFJv1WNt3XgINGCBhz8xr2iAM
ao/5YDf3zPuiox58xYFoId7vNV/H6cenjEH+U5Np7wNPh1ROtD3byqa4GEiW+DKTjrqO6YjX6VTN
j0kf1c9YdvJkGlmZe28iV86fgF2dvgrPHvame2z/5+/TIOdHs+VHSKroPnrECJwjFbuHJu6thwGS
08esn6qzquvwXJYBd4SegXBdt5xQihM7RQ1XFMh0ZUQecTXaWyhZ+UWSObYaoNnSmnPwuRH/GueI
4ognsHW8p3/qVhQVDXaAvM6B0c9XXjoUB0Jo5c3sywmTsowJc+dUbYVrHcImvDcgaGsqPp/+C5As
yi8xpvmQvZLmBtWOgFMZj99yE2O0qu/zXVmYJpuGVb+kqhmfohBkOGxGftWCtEocYFeW4orDyZA3
EX5Ga89oxK0RmyOMNa7Fc7MQTjjmGSPJvAR3LIAu6op5cSVwb2OXJxGNYUCMh5w3JfQDIkGgN32f
SJF4heUm1ljDZZD9wHMrJAJRdPHMqPkisHO8rgCsHu2pTK9g5lHdt02+g8vVfzVRDD9geDltkOox
6za4t13Mc8Qfilu9LNGiYiY+U9vvdD5zrDaaJ+F6NfYEFusfuzn5XMSUOkWXP09GN0BEp62Ig+8Q
NxjfpUbpUatGpY1Rkngxoa8shrvDU2yzNlc2gO2VbTJCdt3ixUXMDffMl2g5BItyGamphAdFrmK/
IyhP3koIprdhP4nbYY6shyrt5POAOPnFgJa0fYO30dzXL04p5lPmGOKDChYCKT1LuA6qqX6NGW1V
6xQ4hhkfGPfbxQUJL0FH03xRs6z6jSIa5XoK5u4j1Ln8MtcQ5FdjzP2xiGg5qiIr195kpvu+Jlpq
rXBuuRIqRVxCqAOPqSRYYiFBN5+slDolM2ff2ZIA1dz0nh0H9kcKMzDp57Gupv5L2g7uc2pVZR7v
R0dX7j7ttVFhMmJOwzVeA5E4TrEzuBcnh0jSuGp+pOzq1yQ2oOG2hGrRqWlvxzoUoMm2TUtRq56t
aahuhpr+rGeFHV0jv+vNjhAgs7gYYrhxS1nuMIwU95qh+0r4cAdbEcNBjG4g3EBb9nmJYlsnh9LO
H2karC0OjMN2cOlJAhjt7jh8zRO7PJDi/QWJS3JItBevKmuQ5xrLx20hRgU1L+6/WmnXbOO0O6m+
iXbY31pHpfNwY8EbXRe+iDdAv+mNqyFww8kb5zXuGkcvC45GTrZQWjSVXskwag5ITHDCNRR8KlLV
V2WaY3haFsX3WBIqsqIlB7Pv3HmNpdZlJlpra5dGeMqSWGLVkE07L+GFbbLSOqVzpLZDGMQItniQ
tjWaBxMK6L70mYrL3glITDbI8lgSXUYCv4ms8+XaNkrzNIk03A+x9QG7o5BRvN+drSp0CkIEVf+l
k9OER00TGnpFhs4Sj1H0496WKUoea4LwH8Hn6WB6VbY5HOIptGDohfiEiWhJ3Ii6L049DVcxqAdh
vU0a7EZSx1fkSfXbrPKaC1pXCyQk73YxzBNsH3ODuXWgXgIkYSviQNSpUjFtb5Hnz6EB0L32lDdf
QTaHp+R7QOtoaJI1oyCHCtFp7qnO6KgXzOIg2V/NzcwmgmtKLu1uJXmvrjEqkSd4+Xpb26Z9sJUk
XTtJeKu6LYP5ZlXVrEDYiOIovVY96snB9TKDAxt0FUDsxhmNGiKhp19lYYqDPZf6QWayjrE/DfcK
rPRQDtF8l+aO3oxMy455Kd21Zxclyx3viILkqG3nOu6937k5xQGRAzhGT7geyWDXkB27NRbJw0Sm
+QajnOyT78XpKjDnCSPrxcWEMNod/tM1tK7yvrAMznLG1Yc0dSBFuuO4iY04fCqC2LrCscjaek6d
HIJRYcs5Re51HdYu5NvJuCBWYWrQ6Pm4iIwLVBZhglTEa8tvbgxaHWn/HCq83zAPmFoCX4QtoG8n
+bXstHWQSQmjN0XgfyrIPXseMn/G9EFMOC3b+LydkhlWOI4GmflNlmVZYNFeeQpE3hwPumlCunWj
vRpwGXyeiiFFcJGn2dnt4+5L6WTeMn4CQo3hK2LE+xyOprmfkpw0dcB6iF2GqvKdn4jxc00Q5bov
pqUukM29Un2x8ZqxqrcBdsQnPLcXM4jZz4h7scuE6cvYnsOmq911i58ShjW1SPcKe+uOHKZa3M52
lO7xl5CfbQm3Ao46XkE8G4gDS4mUZQ7n0KJyYWaFA7aNGCOoZP8VGJ/k0niya6yF8mVIKtmFv1dF
AV1lNqKLhInPO4B85+xHpow2sVjoCklKeBZK9FudpsbFIHeey02dZDfgbRpsYrwwQTRn1CiAffKz
koOW20TwkCzN6TwPVIV/Fl9NCpJP9nD3VWaMVDc2yUjUySXzJ/w9ZntLGep9UPixdqulYKy2Ni7I
G8DA4gAwUJ2LVuu9a3ZomeqJzbjNGAOX9MrRJhEdh3tY1salisPhKbWd+DYuqTQq4cmbWL99i7D5
xDCCshRMa9mUEcZ877GDQJThU56ETWPdsQ1WXx3p1ePGQA/JqY1GjHkQJI6SVK0NMo/5KiGL6ylJ
GaIyhjYAHt5m5XHpzScTr8ktFi7TJo45y2uKrWcoi+W6m5fyN/TqZ79XxQE6r7lyYtd6YDIyfw9m
iUmJjmpkVSnRq4iiZiRKGKKsaukUhxx32d/IKIX1cxOByj2gaaSZIXfxvWiQdCkkJthW7VXDXoKX
MoGoDfm0uxrZyUam1bQJMZT7jnpy3KOWxDHKsl+DTH6csJbapoJjysCIbTPIsr4eW9t9HqWsiLcl
0NXE9u2FcWOirmWMR8mpTZIA6pyVb/C1JVmY8eVVySPcx2Eqbk0rkVvMcakTijI8c3BDO2S0c3IT
qqi2GaZNvTxZrPSMyxgjvDNguiCSi02xsivXxa2/Y217LrL9bqqR0ZOLdoAZRa1Ek0I9GOf8T1hZ
8uhbtFkQCZYaCapDc18VWIOtrHApl3IKqRBeHbYlqffBhcO3tVXEqBHw5pwxoNmNyOYIvU7Gp0WU
m+CTbRcvrYPm79gX2seYOJpiblKKoMNQDJW3Is4Tcz1IJyqMvUNmGA4Nwu6x29twQZX9VEeuBfDo
yPzge7qIDxhMpxuSxvgPEYVUtDE7oJx1hPdMMK4Elc4pNInl8QuHvEN3opZqzYTZFd5GXDH5vVi7
s/gTpieUUD7qN6B3iivaGHNP18PSJtf4o5lR4kOFE+tOINoCOpRwAlsK5iBx5ec5G/Jdm+Kgwxw2
2Jj5pPcEC1PIJZU3PPVp8eK31O0I0uRzMBVOumnnRSez3LswR8Bx1HoxtxCJcWkz23kDt+5zUtKu
Iubg1Rrb+IJBZ1C/YvJTv7qzxZnM0IqQLMXzdMCG7+gAgvPcmIzGJpotr6gw90PV9hGXZudgqr5+
6ZeaukrCgtzBHi85VxcMbediGrDjiRlrdxnVYuU7TKlT/7502uHJtJAiwqWrX0XXwlN0qWylRdey
aSvNm9fXVvfRzmjkm6aQN9BsffQurqpf+6gKNk7QU5FGrtv761po3pEOaQI2YhZ/2Zu6+VJXirtC
aPWqoypfEa2s90zpm2MjG9AQG3XlSoXL1pWUmd6JGewUqmrziTjF4GxNtLd4oYfn2CKLOJ396uxh
rHTVsnFdVaYtyOiuxqeAbJhVPxHPxJiPIiSgzC/xLtv7mJ09BlhrfYctHOstQdDyGa/Iu1H58jO8
YdocUxDbVrmIAqfEW1sYaa4rYylYlm+tGI5aK7IeWRh1sTwDZ8IxYnlVFZ0sB0k+bVAdyBfRqGGn
yCT2Vpk52VumnHSkCycmVSaNU6Lc5t6ECDGtmVaybJc9UFZxFS099ozHO5S4pdign3bgMANocXWF
P590DNVPjaAab8vQXpI9WN6NuVeDMV+7MZ2m083N/VunTVokXJQJxyQPCgtjZrqPAh4HhrMcZEXg
Bech8sT6rS0ziEr73LsNHQVAD7d+AVB0Gsy7XNKIQ/j4Tg7OfK153aq1mmMOgUmBQQSwjLYmU+lL
I11FZgCTGupDjsKhhnPcLIlXSdXziOMJAz+luSKSBW2aZ80rWJOv8WBH6INpqU3EggMEfpzLaSMB
TKbtWxx7rEpxa+feYjlgmi2Aw9ihKWtBYrSbN580lvIFpmZT8yXO6HTRqc2PFR4pq8hui4OxNLXI
8NjW6KRgNC8d8kJtZ8oOIWVd6ZTfVNo02Y1mi3MsPv6tb/aR81yrHMysqrGRM0zjmwmPhzLFX0wa
i5JDqulMUjffliZSmJ10acmrhdtiWgUAeQ2JoRFucEae0HyqLbALaOtgGcNSo0zklzIrocKFFdqz
uUPz+loXYf2i4hY3VBNPzMlnn62nhFuYCKwFzMrhgeQ56TkdZeu2wyttTwZJeF7Wc9Mu23AX1R16
9wIkKEx9ao285cfDvplPKay3h2RBG6cmW04BCuMXK2BJuHrAlKyBQJtYUXzrIxxHtLusn9yl8GIn
Ik2Qy4kW1OGtrAhCkKk4r/JLSYTKbpETbjwfDd7b2WAxRj2iGkkYCbOa0GCRhGII99aPDcFRMYXB
uQm5w9DX7Ad06+N6iTtbe9gE4H3MVpl4GYwHz+nIaOdBhgBzh7kwq7N2huosbF6ccnkGCfXSc9dN
rdy1uqYomix2M/ReT/NEeSJzcBGzLuwHJPhstuxjn+oukM/42kCvxiRy/QbFjD1gUWBDVY2xm4Zl
DJDRsZvINeVlvlsMC7BOVMime4rMt7TMHu7SvmGAWRGPOtYvZAIADE5gdU4aUaL1FCyO10wbG1Bv
4Q+weN62WeVzN+jY0WfjGf2RbopJGOP8pY5Dqn5UrQNXj2b5EUduCLPkoxBv3o3cTPgdKPJ4j3Kk
ZB9Nb5TU1g5rzTCji5rAKQi5ZHaCH17DjLcAvFm2SsfkprS5k9/qwMYN14PFNsbM/xx4XpS7tKq8
ky2oYNXD0/ZhWDw4jT988xfNcc9XRxmb8+KmIcUfrG/5uStbSo4GG7dDVvGSpRJvWQTjL+MouGsY
UzgHUlh4VUYGsHSezKSqcWo+UZVk7mpQkLRXsHpC6pZBYARsmGyyE2KQp7qOsGDFmm8zDjzwOSAL
PbeBMt/+9e3FnMuMI8ZAq/lFTJypeES5h0r36k7ZzJaJpEuRpdS80KnbHGNfsMmMgpXtSl8LQjxS
fS09TSU8+fNOdfn3wdW1h0KGxuENoFskgK5NRzAtVcCsGkphxMXDFQ0cVzxhtJBN+yFwn9H7JPjE
g4D3NLLbQUCTZiA8BMc+6uvfTAGtn8aAQN6+7TtowuHM++8ncUPt1CVU6H7vpoDDkEsGcet7vb2N
ezjws8vWloQU330MEd6P65J8IOHskXe8QJ6gd6kIk+mccT5Vk2w+DYPr3o6prR7ZEvTu1wC9xfxE
/kCl5csGeJNhJCNCL3z/ZfGPzf3RcLq9kTIkHzuEHjPkK7yFM+ZoA40JaAWFqIUh5UPed5RWQBmL
WLd+zSTQ6tvD/vWXerON+fFLOcLHW2r5Uj7eXe9mI9ATaCPSuNuXpYNgMURLsumCoSE11YAq1g7J
hu5db2fHAZuIBkC2TPJ0/WTp5Nwxv2QTi8opPHaDSNRfmYT69wHEwi27LIWh0db4rffC2Pz6m/9D
p0LUwtvT98kzACz5cYzU2igd49jo97FhN8coBLcBuad6bHC3v0eNzSQCOsFmZE986WZOkQp+abQZ
evHfs5f/HVX+blSJpRTTvV+MKtMvSRq/Vj+MKv/8ob947vYfDMv+Hnz4/0aVofmHy+wlFC7DaZIy
PCZufwVkBH9YQciwC/U2ktQ356f/tvRzYceHwmTeB2kdyz/SUv/FrNJ6Z7tkB5i3OwvJYHEfdc33
RAPEMQCoRWedKgqaHkk4pg9q34qlV0GL4THJSuayPmeLV/RjqgjvoYlNEOh1oRSvfgqd0QLZy5xR
kSnv6Rl/aBeK5Cm2FwcQoIUcoL/qmMv97U7f/fkO/8Ce/3G7QenMFw64tWZgCxS7yxj2y+sFO9ju
P//D+r9BR35phM/zieZOXaykMtZiojiaR9/kgJmj4je7sRMsr9zfNpPFiMu0LBwzqeMWo7F3k10j
LRxpQN89YUN2Ru9kZOtitCzvKnOB6BgqNUazt1oTvGgiQktB+B19dx96wxjtRJxYNfmtzCNXevS5
K+StDsR79J66C6oUTL/GsPAuWeq2AsK/vnKjqj5lnRW1QN0VUJWVRy2E8xZ/nLVQA4gb+Q7ca8Mb
1QXDBhAm8oFe+0rWUPabgI8Kk2iMt60fZeVmgt5KIgWMo2Dt8UQg5vXdMOwiEp8wIWEi2DK2a9YQ
GcVr6zDjmV0jbLe6l9ZNG9R5uvZjIr+JMgwXL/rlm5uJWzAwSGL7waJNwe3D77i2rgUEMuA238V4
N5N0aKeBwjXZls/2OJGy6yH/TG7hfvCN3lzwZ3hI6rFlxKyxMDY4I+wssbqTXbu+fUNqrG9gMjF7
8pNNUZgc+7Zj/cWoFtcGBJ/xotuKws8pbPVRvrngOHbPnUs7vPgAkWtVH1rJuHU9tjk/FHkgO6tC
jvwtjtB8OxLVGJgq3QAmGGaWJUsT3nmruq0WrA8MPF3jfyxeMaWJnobZC5/GAZk+FS5i9k2TevcJ
vsjovbuGm4QXC0/Bc/u++5QwZZR7V6MV3HIf0VaIdJFqpRCLmBoKjpIPs64Xm2Rb2NYpxmgnOerl
kfgzEQFhk+Y8P+nUpxAVhsUAoydHRo/jdJ3gQXOPdzmgfaZ4eReELaB9J+Ns26GKpppnPESOledP
/qbGy3HLbCwm5bOxFmxYzQ+UFP2NgereJ/4wojPWqARe46wX1/Mce0/G6Fs30yiLO+LZ4leboKs9
xDw3WKc46L5WRPd+lA4ic4AHlmwyUY5ABuyDNSRh7nhZkPF9tJUHm1ugI36C0d/19zaeXUR0jT7L
Zmx9bu+Ull57i1JcODvi6g1C58uhcTBMnN0g0c4mY0Vis1Aqnl3qYPnyfc5m+Lz8scy+SzWpS1qa
NEIeUelrpDHitaMOH9YJ/PwH5vw8HhLiG29lYLfrgbzromTUV8tn7gwvF4JEXspc1lO060xMTj5B
BVMXqBG8CORwcYNTGwH9VU49exJMs+SKGIB2H48Z2E22SG9cRzR4CelZnZ1q4Nb79cCnIEfO9Mri
bQu3UDW4L9hg018Poq1PyPXs9iHX2jCejIHg0XNPUkt7NyvmBCQ+Omy/mnT68DElJzC/RAR67cEO
CWXGpM85aBSb40rPJfeyZY6com+daD/hNHMjJGjtPkJmoHYuu0pylA1Uj/XbQs5JlFa7mjlHu/HG
5aXoWxqYlZqA7tjMoZ+mg8EUHOvQxPukimCwb7OI8gdQwHoLppss7HmCDB+DRbeLSVGcqT0JAW32
gkk1wCC0NYZ2ThT0+ceWHcJKGHMSqHhbl1XlBSsVG1G49YvYIAw0t/hNILjZEQMqnnlftNZNhu+B
+hgMUZN/E35l45rtzhhGb0uc7uzbkvNHk5g0gO0dospGmrwiPdI0D4ntEAZAwLhGJ5vGJmN1TZ+Z
xsFNhRfiJzEO0brW1gd/jBWBp2U9PEKMMLaUqAn6QdmtnSFODk4RRnAeohRNeTpOK8uxZrFJ/FLs
jW7yJugTWWOkH+MEavPOlcKriL6UM7ZGBSRwKQPzqcOaY+2U5otRkW3U49i0yueqX6XJpIK9ldvx
56KL/G8wSvHctloIrYV3xuqtge6K/9q9V+OaL5yx2pYcUhsmL84FaXr1YrlJubMrArHXvi4RVqPG
vQtj2Oq+zBsHo6W8uE5lXDzaGc7Sodn1O22g/TFGRaRbC1Q2lpO8HQtdngWD2O0AonTPti5fsnBI
PowuPFzfVBh/Nx1O1nOjEOfX1dWIFcGHuPOKx6l0u3jXogoihpSqoMgbjRFCmO/g9OCV1ky4KRa+
z7Y3OvUDh478VIlSJptMdwth36w/oudZbi3REavAE9jk4yukbqTHMC1Ox3KDRXv3PW2RGhc0M3tb
Ew0+gZzeiLjz3U2C+8bMaIVyYLNo1E9NV9ZXQdHMxTornPrgJ8rexcK6z6JaXpkqGTYt1/gJ4ERO
nFKjd6jgAozbufSHm6Z3ow/E8XpXRqfzncBrAMKyoWGJzp53YyR9c2LDnvdmVc2HybDCg0bajTFW
2657YO51g94NXKzzHsZ01F9Ns8hOKLr0qa3asPhNz/BTMQcpzuEf0g1pZADffiyJmrp0SM0D1lC9
bPd5BcPAnBwOIdegPWDQV58wl2r3vy7E3tHPqIp8n9wP0taodKFYvmtU3EgnfjKJEJo+uygMEDYG
ScxG8Bua2zta6tvnLN6glMs29L33Lq/4VXpDF8bR0c2XCsM3W/bsBW0WKmLD+PVF/dOH+aZJ102B
DGXw3a20eIcNJDHhMSimcFsvqODijrw20iH8kwj6Pzovv+MLcl1QBQGsqcVNzFrec2CbOPSloUzv
6GAUcVMBI1+JCVC/w5jp1PnMZ359af/weYve1mKZmB7UuHdWllZQ89oWpThqlURPfx5BmA1yYoiq
oxrp0pnb++vPXG7Xj5UzF7cIbOEP8vDeF+tziUdR2PbuESyX6soHYcXnPow4gSu1qMVdCHLO2ihH
/mySXaP+9SINBJlZGHdiF2rjifzjq1FXbmOqgmnVMCDnmyYAK2VN9Z/m9//jo/z5VeBTfAv4w8MG
+afpYhHZE4ENnXfE/qbdz2RewVWfp9/czH/6FFC5QAhQFl68d2vT6x2yLQyuhaF5sPFSkFuA5f+P
ZSIwoodRSrez0Et/vGN5UxKbwvj9aEfA5Lh1sCjGGWLndo5666aXCkHVr1fJz/sXezq7CZeFnJiP
/fEj8VxCiVd47tGoIyQMQMpHbY6UIkNBTmoFkm+vvE6zRH79uT+/7AHWug5MPtMJ7Z/eiJChFLIk
YcNm5O2OSJI+9R72EzpjdvLrj/qHS2Rx+JDRedVp+e0fL9GHqcRHlTa474I0llZ90l0P7c1lweRL
B6eWVfPrD/2n68P1nBROU3iQn9996Mg0yklCzzoiGW73Vek6h8IMkisand++6e+ditnOQtAJ4bqu
H/rBz28a3PrAZD856rYDKs6skjgrgdj3gvlhS8ZuAcssmimT1URdN1FrdTdjAyNm5zIcprmoxSsD
MtK4AGipOnVVJHdB7qGE/fVt+XkjZFzs+KRoOraH5/3ynv0NQUBEM6XQQFjhRLgBd0cMFxbHkW6F
68oSgRJS1v/6I62f390QgxzqSieEyRy892OPC/CSiDPuaAQGta4KHPoHwqdgq7Touwnmipb1nqXW
TTMUzTMAu7Y2ThqqC7K0BgllTLIdbnbMqpAUQTb99Rf8p3vCHsZasRye3XsbbhN3PY0nhziWOqDo
NkVG3htxa11BdhqIvfk7GOentek5SPAWg3ybJQrZ7seH0OBgR9E/6yMWAu5rx2w+W81NxTJVkm78
11f3Tx8GbuSYADRsNe9PgUCTkhE34XxUsVJ3WQWbEo4BXY4wJV3Srz/sp0fNlQX44FsmagO2s3dv
XZkbFjIicz56kaCxjNOelcWLSJf46w+y35Fa7MBju1yKB8HFeeBiP97DwklShQhpooJok+7OpIcb
1gaS5fwxwiOtO8lsBAlxY8aTyZSUio7Ed9pVUyzHYN2oS5Lm4ATGRLO07ixG5tpv271peEBZoF4O
5gkL+jE12CddTXY83/UV1LXy327EHsEiIZb3nGsO4+5ldf7tjUwr2LU+jl1HW8NMn6qhPjGjT69i
c/7XVRcfxRpAE4Rjge+8P96YmNj9qBhctqbnMAzMuP6GaMItirL6hMXib/HD5fT6Ww2Elp390ObV
R5dCdOb7p1Tp0rGaVrhHPAfcb55nj0eShcOnN0DE8ztQHZTQGMkpZf9mp7PfLxGXT/YcXO4X8xao
nGIZ3vztzrpF1KcYM2JsC4e41ND+EMUilWCk5NioCKLgMzSl3N2QImd1N2Fc8wY6bZzuEWnDWMAc
cr6YQwmKqPMFr2laf2kshpY/v83/2tLrMviDVnrn97NR8ZsISNqHRpwjSMejo74XWaefSL/guDM4
DK7mvrXkccS0r1sxN1V3YlJAY12Ug/vlAEfRKm3G2CefarLza0Ka83aDk1p5P4E23LReb2DXmHp3
9WwZGhF+RWzB2MPsNX0Ip2dgabNad74YQswFW3nucwycCKGRGmoVGmMaaJ0eYexYa8b5YoBsY2HC
W62GJhU92Lc5QvJ2dEbm6KqwMsCjQVqF9RUH8BxQ3IDdg2OjXMBQ6JXJ3Tgr/rzIa+sDIVeA3tDC
o2TvjTldUdVo/lZj0fpn8Ym3GMhLWCx1TSN515KqEEhNqg5KLcp8Um1Wc6vC/IAtnbpIRYDbHUmK
RX1G+z72953T8UBs6fN211Ypc1ILTc6LdujRmVumpy65aQfn2PPq/OJLq/uKswNXAZFW6G+OVw3u
ddtYCxQ1FTxmiCv8IJcuXgXTJP1BotwLt7mduedxoYqCaMDo3aGZz9XOk7CrNuAgIFe9TgDCA4wN
yFd2In4jmS6R9RnObnVoVDYYH1Sd8tFNrjm1QrNygXCSwuns22oaRX9BMI0nZs5ySe7oV+HfWLMP
gRMzLvcwji3G6gy3RmOtZQUBxrPZwoWGJ3Ss0AMjc/en1D+7uONOhwTKCk7WyhrTm7otwLQCOXSE
Mxb0sITRhqCMMU5x7YNVCfwbglSwwKok8Gx811rOhrc6AMye1QcdB6gh8WpwMyZ2EPQigJCgAW2r
1few19EdZDv8cN4gOFEMfBknQfTjZrZ4TaOEEO4ONbzc//laeTZ7i7nMzCcfRdFrhXFdCzg/Ww+W
IgxxD9oLNm/3Ltt46wlWURMs3IKkENxXu1swcyfrhs9zioRmp1Jw+D9HMwTfvEbCWQoJPEnA45Db
vpZWtiCxLfD8Sma0PxDjQODfjj/fGwAZE7Ar/yx85hGrnFTMDE++3OxOJdIUfVVKg0lDMbvcWBc5
m7PLQjtO78kI5ItYmD20O1nY3aXSVqNeBuU7uFNAws/zS1CHargWqkAClWWVux4QM83fAoNJxjYL
Gtu9ny0JCpzM1MYO79/kl5zHjAGwfEyAK1grLtOcnDe4d/yPFOZ5j2smaSTSWRUYsMFTjyJdgs0b
BV4VRduB1s+FMy2JdZUOgCQy7IlK01RAbSDkfQBApocxm/488f93TvrbOSlvzd9qls1r//p/vr2l
pt28lt/+8z+u06r61tX964+D0ref+mtQinAzWIgOjEMdiyKGs/8vQzD/DxsMBlXl2yz0zSvsr0Fp
+AeKR0b8LpgQrdvfEq9dByVoiL8dXR2EBH7zvxqUonD88fw2Q8KxTNsHw+ALmvZbRMjfjlAHwlvZ
u5V5qkyjTpoB5qBnbGA+RihsLCW3uetAAZmJUGx3mA5aiHRk73xTqoDjWCKrZs40d9eQYdywhu+d
6Y9KF66L0SzV1WbqrM9wXOPHEhOdNYFG4uMI0RJbibi/w7PciHZpnQkkjInhX8cTf7kePRXKKyNL
8j2Jq9XJz2AtlUrcF23vfDYmNAonplEYf7ie3Z/HDBHLo5NHg3/u9OKxMZAeg7GBWzrD1+xteGt3
itkYrnwQS3Z6hnqu827eOK3prBPfGZ6nDBYOOaSoHa9zQgaXWqD05S7n2X5A1VR6a4dQxHwriyh9
tJK5WcXMv/S6TTPgVdS5cCFhTXzw3ME+dH6fXNkq+1pQl29xRFvUmsjCCR2w7avMTh9mqEx3XsYE
c8//4lyjHIjI/lYQsvrK6VsyRYWz7S3jFUsKtSLEt5zgvvocFAhotg2tv1qPsJM2AJWN2GrazItl
FuJ6DBd3oX7wrcOAewNdvw6jJ10G/ge5WAa0/WwHpJn2jrHJOimKJVqGndlvo+zTCFdoazg27sue
73MP5LhqBlUdvbAu8CD2l6DkckqXyiZiNkwG+akf+jhYG7FMtn7q6QvWYW5qXkUx05ncQq3Tt6BF
dj/tZ/IqSEoOZsz+3ajJdsEcRXsXi59PUjuwZ3Vn6Iew8At31ceTn+4Jgg6Kp7QNhuoRWRry6e3A
GauM7YQSqOuumI3MZneAEkisOTFoJK++4nfRxjw5TL6FKMJtSfKlDcHzRoto2irMXbY4ShC9OepL
kEQeTqBYpOd5PWXrVKBCcesG/y4v7FfUHF2wKrThYH8mbMRaOhpRdAQSF3z/IVeoVYR9iIf2WsxB
ttKTJgKlXuIFmjXsoCtYpdERU5ldRWX6aBjJvUKyvWr5mF2sVb8qx/mZ6DZcbv002kXj/AE0vTs0
sOwJaG2yc1Ma5kEKN9/1UWMfQ4P9Pqec3XYGIaClq1I8qYt6NwU1OpRi1gez4dW0vcJ+DGf7perx
t2ismOTNpDfWbp+NO5Im+v6IoDw7UJV9bqkmjljrxaeGyQSpEqW5RY9yxfiMbFo57Fy8KHIGjJu0
NKp13Bg4O0kYUFibJN8EJDRo6QirmD7gPWbC1cSWIFgjf0d4MMzxuVq8SYBg5RUUrQ99auCNQ+bi
ijFDRMhHZt3x7bNTJmaDZBWA/gMEDyLWCrScAabyO5+Xbd/IkRgKDkjcZhFMNw3RaOJD4xSXPEjP
2oqoSwcTnat+SLGqqs0uPBJQfcGtG2YdzsEonLYxCp029pJ1MLqPXdNcBbO6zpDKwf4f1K6VRb8d
I01WQOQ+eQ5j+wlz7Y1VFt9ImW7hP04YEhXJ8CElszRoLGsd9tAZYUuxCabBtSsxH81KxSQpCC3s
makGTESI21K1FcPRcWJtyc6qeB7eFXUPdjFJOOyDtvii/RmagG2GR4/t8ji0TMxU5GQ3SdhnUPUc
wjj81LrHauR+zLotKT+bQNfVjcJX+rVYdrN8iHxcSchtPUlpu5fUbrxjLZd8WyujpFEyfP4v9s5s
N3IkzdKvUi/ABI07gcFcOH2V5NqXkG4ISRHBfTEjjdvTz8fIzKrMqJ6sLqD7YgZ9GQht7k4a/+Wc
7/gy/WIaHeWMNX1P+4rEF7+jRcmA02FLmCOXxeWFnjN713Gs3/X2uHKcvfBU5P597Kk71uDmnmOC
hILcGP2oK7z+hXNFb63Bj4dNa/f5dW5pkMt90R9MPqi92UjNRstN7+1pCs9qMlE3GITY59Ursnor
YiV3M08VrCJUa1Pe+hsQy/edV3O6wJSPtZnvsUXZ/HmE8aROhpUj5ekg42gqBATevH8s68LbW9US
P4zFeG4NqaJJ9PkTspYnF4PKpjSG924Jv3gJ3jx8sVzHusWfXOIOtMY9MtxT4+WH0MqhvWKwvgau
Iw8wgj5r2LQ7kNPd0eytxzb2SRofCjYZVVoOl64cCdkV9r0OW+KF02fwTDgDUOGZjUM0OgJazwjf
yIZg9eq4UbGepa0R3AadfeiyfLqf+OiqTTskON68JXgr4kR8Kd3A2yrb51YzYNEQC3r252E3yOKC
7rjfu4O0LkknDDaEBJKWjLM6jYq5DA7lpJdT2vTHvs0vhiwuDihYCRkNjZZVpQELvCijJQ79TTBi
D4BBo51Px+DzQmhuBNcApZy7tFpF1r6SZ9xzpJGMA4T63E0/2slzotHSV1MmeSaM5ZNwhmON/zEc
Fh6seRjuLNU/DMxBZeZXn8NUH8Ng/pL7RbkbeD0IB5oiclw/uxxm7CSqEnsHgaIVJTC3IaY5Jf6Y
GF6+pgu7dDM32ZMePW86ndivRKK090yPinpjsJxtd0HByTRUdn2bGAOUx0Zhg0C1HrX48I9zQ0qj
EAIQlm71lYVfAZWHRfOiTWxktvGUGuP6eMYE1XghaesAx0zfekasUd+YSTtMW2cuHWyS85Lr+zo3
glPYFcvFNNhPzmS2H4YajOQYV2gj9q4/Ivu2SzGqjeM0OEp4zlo7oHeflTHcitTPyMMe+/vOrW/H
2jBoII27ak71TTFlLyvld68nDwba4r0EnVM+EsJ+YRmIXxhcDnCjS/nG8eocRzHH7/ki1A4dlDrZ
BCrs8mZIDx4S6U0QtEVUFQ4vthte1wSVHXhm45ygVnpuMYnDxO6C757GWqxZ42/c1C7fm8CfH/yR
aIdCB68k0QMiCir/GSl3tjXIiYgsP80fMX2Y6CkYnoY+wGTbJmx+ctabiA8s32AVRXDO/pv7mj8v
oYPZVfnXVhUfs2n492FYDy92NxDAQuA84mqXuCYe2X7eCkxLmXJSmmLlbAiiLC+7ZWkQ4RP5zVY9
OQurPPZFXESYxxAs67C5RxwBTg/Btr7Dlx0cF9+TL8YSHhuAfI/kLzp7EWbA9EM8oFdQCb7KIvjk
dIashmRxSw+nn7JcXHq1HR7aUM1b4r2yXcye/oyXj0wHC+9C6lqMX0D1WSgtbNQ4liuvctEtm7Lv
5qvKgYo2NmLCcSk/iQ4TkZ7KDD9iO4gHDsgOwZi2S5Lr+jElogLl396pnIKHV2fUr5LV5SVOGXdP
/kj2bI7KnnEHlQGiBme2H6rUFh8MVLwPJ6vxHS99AtQvJTGAsfmOuVext0IOy4UNGwXwcOHrxcCA
YG5r27qJaVRs7ttaQerAY7WtqDyiFARJkkak8jCXvFRoJPZQRJOH0KAQhf5WhlGFPUmFy8mzxq+s
sbyDRIW+rdiX7TQOBMQpDekUkwsUy4Hlr5wLNyelHh81cRdNk+NA0m9D7/Qkz7dkUsEx2bplE8NC
lWtsTgN75EdsUAtEHPDg0UZosElVPlzU5riLlX2dp7mNTMhTh7IFHZalFTLCnn1TQTrRvKT7cpDq
XqWDczDFhy5TCib0ELu8ip+YOlWbkoSi2HDsLX6ddtu5CtpZDoHKm+udL8vjUnPdVbh1NyzWRNQA
840yZyCfYJIcJ5m7QUA5YO7DL74U6Ruk3iviMsO9GfAW47d7mhr8wOQcogzKqsvRy+ZtLgJEdBOl
Ido21M6J3/JMLJtT0zj3IeKSA57Uz7LWT6hqAF54wNUr+hSrd1H1o4PEGNxvW2cmN6F11dlQ04BN
BIQwSzdiPMuqepr6jgEKvhCsTYbDckrhoWzQhqQsVDdW3jBZq5YnYIsootBpRVkTZ1DkxFZM/gKY
l6t8Kj0wnQ4gkSmIn3xRXslUO9fKCftIy/o7xS+WjbTbiXxpotQoLD7SAaljl+6XUldPysmzbeno
BHRvHe4cotsougMX+HFeEu7H4TKPRbWHcySvvSD+MDuVAIabvEMKnvJOzkghw84T0Vz6VD2iDW/M
Nr+up1lfW2YTVY0co6VT68zEnK/J9bkwwF9Di29sDPoDC/jQH6/Y+n5t6Ddwrb9awfKetN7BF52G
I8tj2MoLlDXLKQ6KYYcq7VCm341AkmzhdSZw9rw9ykLdyswGDJByPKYyiBAvmPu2pb1FTGcfYMAc
rAZWnZ3nl3gHeIDm5oVZBE/4JuyNnS3vk68/Y50Qe1Fw/TT2ne7PfhODA156jCN18mYQeYmSFsdk
tixRYvtXSxh8CcC9qjBsDgUPxw0YDGAoGH42Rm2S2uW0d/lIdWZ0uRn1esGmDtnQvC5iQl5wsN7i
0R6CTUGGFI+EPObl8iSQSA/adD8HQXdSXMFvs0q/2ZjzSasZ501qWx3AUwfyAg6t6rVs8qrZZZmo
rnlkwdObGrukwGuUv4V3U9+NyCqPgzFJ8ne8Ak6dkQDFszCtRk3B0tcaBTI9hp80Oa18GnVQMuhM
hxNVdXEK/bQ+OGHt7MnHTC5HU3t7VevHWeHCl014ExKPeFtnhvjuZp2+XNLMuwAtoY5WOa/RBYDO
3NFRj04NUzZQ1js9fH4msoEGPzFvliUZcBo1yZXNxC7SwLTOjIxhDizTdLAJR9ySfNLsB8g1+56t
xlZh7o3tGs0XUUXbBN3gppLs67KuJ7JXA0FBUQdgRiMvbnN7Z6VlfOMhEz765fwB4SPcVJaPaLfk
HaOoPde6rI8qn0/EnyBbHIdr5HeUFV2KELUI38i0z7Yy8NF9Vimi3BY+pkNduR0LfnwXjowTabK8
iXKPrn/vWLiB+8mK2KHk+xQyyYm68eRXNUrtshr2HFfujtN85qN36x1M0EOetjc0U8G9zg3nQCvM
xMWe8tehCMPV+moWZx7VPIVGuoXruQsv664OYBDnGJlj393ooooMRt6bRljy0p87E79tmR27whGR
Ii95g5LQvARN2cPHtr/LBQwLMqzN2ltYS3YtON13E47d21zxMUJyZ/VcgFAqyzEyUJVtPPJOtgV6
7svRyW8zC3Fj0VTnxPOfmyDsDtTXMppaLn9yzPa1MA/JyLyj7F16GTedV3IBPwrhJsLH/tvStCgJ
+/PM/B5wZMyE20YTLOmzLJtsONxzm7FPeXn483DlRWiLOZVdMz6mTYkevGhdipb5YuROjfRKMzB1
zxnpCgV3ZfgY/PwDr88pcOQtTmU4w91sbWkhLzmin9t4qAGDTDtaLa5kpvxRPxD1xd1gXi9CWwf4
joxRFh66zHxRbQtQ1iB3c71bBq+IgBbUIY3OUr9Ix2BsMo4jSHdmzJyd99aczLwiIjMKb6TzCsYo
UbSDvWFCr8WQyURgK+JsvEhx3ZCDUX+QWBze5YnBBxm4BznKdIvicHlCUXHrLyEIn1ZYWG7Nfd+5
BOoogqIjCmUDX7Y/gxrz88cqTr8FQl53i3VZBN47+QZMxd97QehWH3xXA74/M8hmUPBEjXVVuJV5
HYm8zbeLHL63PZj50ijeUmmkO7mO/mEgR4XVNAxVAmYlSx4m27pmFpAK+OecWm95k9+qlAM66rTy
JmS+DhmimrQug5qeaJKEdKNxoCkf5Kz4Ip7kCN7BRpitJARgqtU27X32+t5lC8AGl1/k5RO7m6ko
9Z4pDgqcUrsbEj19yRN6lvqKjbI6OLBmwg0WCSKiSskChFMNOGcnlEvaUipTNL1U5P2j4XgVNNkA
tedeQWxVkc2KrbkkcY67EEiqzva5EwqJ+Z33yI1bZg64nM0rjQXmoysmv+jBoIUdE4tf183/1fP6
w7dmHWN3/2v9wZ8UF5xzaf+///zP7td/J9+adfr9p3/sfkzC7/Q3Nd9/63TJt/6qKFu/8j/7n7/N
0//lJJ7l+V9P4juMROrnZI71m/4xiCdeOsRU4TFpR0Hx+xTe/QUHIpak1XL0d6OS+YtHL+itc/EV
qbj+nN+MSrb3CxpNy/T5AjNACuH8O/N31/5JOcXaHDgvAiaqcUSZ7s/kDiW8XGqZ4IpwTarMsgRV
0m8cBPfcgJ4zvJpJ5WNicJv7rJ3r63VivpEBZoCoDnW+E35mPuR9scw7ZU3FDaHCebHxDFTaoa8O
U5jZF32tic8bMghRboA2ByBQ6PAQwHyyn1M3vRzKsbkyE1YFm8Yqr1qyIW79xg4OlRmmh9iP/YNT
lNTuBHxhNASPcViyVJ1YDXhn3a1H7dKlBopydt+Y9kFawN8b3wjwm4ECI5mPbEgqh9xYKweoTveN
dJwRn8g4nTQJe8XSvDMWCM5LQQjphvFqTwHJVnlkFbAv4sm7GeMpYB/thaUZrSyQE32vcyyUZXyO
jZLf/TYLb+y8Dk5NXKlvyWTFEoJEK26ztNUHnM7q3ukc8lsL32QBDfYWKmJufcvNhg7VxcPAtNGm
j8Iacp2YdXLZtYvxSYSAAqbdNqxQF1mf5kx+GUiWwEG52iXSYHhK275/CMMefgCURfWx+lC+cCoU
ZCO41JwENuSaUVaIBCqoEakhNdhYpM2dUjcsfCp3od4lO3ZNqsP4AsaWp4quyw9i+/pjuGT9XoCY
/1xMXV5lproxlsS9KFTfXqh4WS7h/Q1R7frd3oflZ20VfUcKR19bis8zKb7Q9TJQ413S/LTK6PZW
Z5eXs/DJ1W0qjxc6hTxkRayvROYaEIfM9DDJuHxEYZq+FH0GfJjYE5sSHvzgDjhkLhgEoC9iZmYX
GA+49hhZO/qsnXDpoCeYNsncAodYuqyi2IQhfTR2xGKViw2wElfO+D1jQEjpOK0irLpkkd3maX2b
4afZOLQDV4lqiJxdZiKcVVCd297IryxWUEDyq5G5FHM1nlNu0ybPMdkMHsj3xPmQ0+jgXsaqcPBL
OqEGm8hxaYkR31L0UYcFtbjGTRDeJfGcRiPZeGCmaOznYesp9zorw+ETvkhxMhXjozFnaL8dOg3P
r06ny2Vh2suuuK+fwiaPv0DvS4wLJvMy34W1L74yB+z0JoVLdz/ge493w1yI154sGoq6Wuo7oWv5
ppBHRGE7iveCYQ8l69zPK2G0DI6QakYYnwG47cyaO2hINkELpKylRBLEwn62BzO9lHjUPij4TbzH
rJKTyFdkabRJHbzl0GDPhTvNJrElRfi4MKVkdseyaSVclEO5hZXfQLWrq3fEAOETo/8Pwxzbrdcq
+yy0N39zW8WKqxOiqXdxENdf8oQSIyoV0Ew+rFq99j4t3oa9VXsK4qaHuTiwc+tdN7xaAWxbnv13
iP9CMiIy7meewjICAubsApQqESUz2P1Bd4yM2mzrMAHfLWOPc7oR/oVrdvjA7JSxpmKyfWi05kRj
FOJHcO/MwwAF5N4aDPfQZGYxbY2wj52d4yvz1SrSkG0Yh+lgmSSlh3WV5QefyJFTMkMXZBiGIoaE
+v6eRFWHN9av8heoYBJsoGDSzWEW61OcwOqCnDC2b4M/YzxwkJ4dpYlUH13d3N04nTI+G9dn2N+J
fADuT0RkXizAShrQ9YodiDPsDYCYb944j99kmY6vs1OLsw2dvtr1YxcQM+rOKo7C2JbAwsO42AJw
qBhQjDEWH2MkC91sH5Kia7fgEEcGvSrDd1bIrVf7F047g0Wta+J0IHDB/c7iU15wbDbCkYfJrB5J
ItCHTkHWW8EZzC4ULhOcTHPN0mLwdsjHl68LLqNqNwiQeo2tybFp0gEPoRnkN5MpykFfOqX06p5F
zdhmL5CS6G9miOeF+SWYC+bcDGps0fdY8ecuv4kn8lesMPduRI7LaxGluvcAgN57wk9uORYn9OPF
coJT/kydWt9LFIf3WnSxtSEcPn4e0dMD+GLpt6kJnLlYIW/PQe2tncDIbRVkbX1r6qm6xUdL8kRC
RizhPw4CL5Yp9NiMQNmvcWzztIumas6utRVqhpG+BPTfVdV1Hpr8uV5h7AVhw7wxaLe41UOGTkJ1
3hUmQu+G9Zx1JnUtpotb+vjBCZR3yrNifKSWC9D5DFTH9mLMN7WR6IqERdkgz5rj6xC82gMbJ/+U
8MI/Gcwvp3FW7gFfMnidWC5vRI5PTbRIYzkmopwpF2dGKuxtd7IHH1kw/xm2OhPLpdUv/inNCJuo
xvxWlhrjl7Tsm7hhccshW0B4WOJ1a2GxVGmSBiaMA1sz0MRt4+07rO/no2rWlMF8IfbHMfxDDmrl
piiGgYbWGlmth0v6Ne6xQGYT3dlGyQk7tAuL5mJmK3VnFWo8hHMYngahu2cVN9CHhDscuZ+8maVw
oxhQ+ewRuhFeByqi2dyyvE/pZu1Q3o22WbFCzW0Yo+SgQZbLgKrI0iGutorPix9Op44HI2Iea7wG
x/FpNln4KTrbajZu58ovMGnTN3OMCyikRntAc2rA7Bg4arj8Uh7STkkKH0BQf58NeXHLJmR8Az8y
boteeK9WkwU31lxz56XroYkZxcoOyzi6y04py2oe6jn8gvMT992QBmmLy0pqEZl1QH4wNrLwNTPi
4gEBZidvPdVl3dH28a1uFs8rYOflQppXlsc8h+GxqE2JPReKwbqv551vrGV+UDLZTqENl8hOPX/f
hp4fpVgF44iI+btFWOxAe1V2FYwWI/3itrabvVset3iEydN0d2pks81YHtDw4p2FmMgmODRJkZn6
gkvWIonVH2qs0O8yXl4pe6cX1rb1Zz5M1nOIJuBRyKS9wEb7KGt/3oGPqE6+7NrI1wNyuWa698rl
lQPwO3CO97z3Xn096g/sVlQQDuDTTefqVz808qPnB+UtZOTd6FTGFR8OcjQF5axGFPjdXtyBNIpW
FvSxTONxx+msPCrCDu5sdyzmiFE+o6lWsZR4DDytdtViEQVK8D0ewmZ0K+O/py86Z5+q6Zrv/Z87
oR/dzT/apP+XuqdVnPtX3dP1t/Fvx/eqJQxCffuTlunX7/ythfJ/dEWw6VAx/aGD8q1fXBf3ET6o
1VDzA1v/u47J/QVROsYhgpUE4C0bifdvfZRjrcAHvhxxlMBl9+/B6X8SpYPeZysCDAXPGX8Fkqqf
dMCGNxFKB2gIHzthcIvH5MxLnv/wpvwHaIafZPa//hLE1ZiTeJ3/ZHLpm8FosT9ATCnQeE5+t+CT
HfyI3K5+99e/6mcq/fp6HN4W34WVDfef/vOPuuamiqGyJfZyJDgbH2255qxazOJE09JjoLk/Vsz4
wUy6DrQy8vn++tf/09vJhAifEsewEHxoPwvW2VkH7uhZ5PfU46NV+S8BIUN//StWzfsfZePB+ivc
0PKx1XiouH8ySChlzNqMhTy6YnzEF//chfBVNf6+Dbw9rtK/40v+g08OB8o//zqadjxfSONXK8/q
Nfijyi2RDpqyrjs6I+wgMvJEC7zNqC4KN64uSpQgTjxKquOE8OKNazMDx0cQYrGuClWpbcfCZONb
CUnw1KTFiRVZCHKhIZk1gvyaNJuuC/N6Y0mB4baiBlTUEifGt/aHlY+HZOh6YrJWdIXqTeuZgSsS
4DnU1Zbj2b5GeBcCCS7srTbn6XnOAR9nXjImGzQWCkyDDKtHj+ygF+CBDR0BkXdxAkXW7cGXeS4z
68FhxYUfPSFoD7BUUmHsJudL8gx3JZTrZTmxLDgzDx72dlV9d/zyvsmcT5QGdz1tYDQ6QXXRmtNb
MtCbhxAAd4bLz4STu2yLdpGHQpIUrmqxdbt8/KbSUJ58KEjtjGIwCxu8GBYg0ZGo7+uJ5S+RYqT3
Won97EOIv8jTrI9khzglGwZU2kb4OKEJ384iz8m1lMlj7yHD0kERmeGQYFKn1IbZPkDyK+Ndjq35
XHeQ+VIGszEGxEs3Iad7N6IhmQHizklIyGOOhicDxvAofbxuKekIkRWgoG5BXyBybEUswJEq5T05
tW+8pMWgbgDe8XMCHAqPjSiGy1Jl+mjagAQzpRDMY0xML+NKqnMDkBnQJHR46gEukUpSkDWwzfKx
FjR6RNwPWWk+Ow1I3XmQE/PczNKvOjNRYEUmmenQFpLHLJXLrs4asYm9CoO39FAsjNnqtDZUfAX6
U921S61uK9VdxegDX0mn6h8d1rtHJqniLCbbO1Y11wKFQLbXfT0d6sp+TQvlsgbIWMPlvj0dnS4L
70wGEAcQseq8JEZzq8t5a9HPnhPiACVNaGnu1QjZpPHcJNlkXgsPeXLBU4aOvgQ3DDFwSb1bCAf7
OLbxx8S9L8iwSwjBK1IKT/dlGpILUsclM+XxDpLxExtxmKlDbhwcdseXxBSRN54OuNA0pQ6YCnGw
bEpA+pvyOLObO7ltJy/nxlxl5Inb3FQzzw2uaBxWYC0S886O5fzeEQa2si7qqyHJjcs+8ayDPYWM
tkvDrdmoIOom1szfSlPy2wjCZtRM9LXNoh4zXtym+KSMIH4Nir4mQSIJD0kcj5dTnufUP3qMPCJW
D91gwgkuKEIsx0QQGOspgkIcbmyvHC8WKxVXayG3j3N4KQ0LbjY70DE9P31ngvUSCgZySd+b9xld
+NEa7DfklVdGUCYPRWPSZPi802wKL3qnIQEuLhQwSLRQMSRCdkOQJLwlPxudZOXHIGaLa+ErcAe0
iHia500QJ8MppunYCcO8Y0O67yn8j7lBTGLDVOGwQG8jas6TTwjkfYrybjS2rVTNXhMv905wOAqZ
tPV23bSXbWI/um4bRrUoSEWt/aG71UZrU3qawSmrRpuNekp41pACd05ZjbBfaJfruCx6NPtxOz81
IiivOJAW4pVC8qUs91U1TDFIPjE2I/OBCAc/Yy0zvQLBeUh5ADCSNJl1JiuMs6xEfd1VwakcrKei
IiPTigXjEuLEHBUYtOQMHuPCCM5JXHyLGVfROXU7X1vOuzbB2+baHm5ahwXExi259zgSvJtszqcr
HKLlyassdaQKLbbNuIxfGiggG6qh1ZZNBN0clR43EFvWKf8eIrh/EXgCH5kpOXfYZDyCwUIRibLK
u01DGjlzpbTfefgzuE+86WtVzfRSsoYOS25CQZrcs5u69MghaYORVOWqqgbFj//S3ZUBfke9+M4V
jN1R0jQtw03VBcaRZbbHFsj/9IVN8zqEfO4ydnNWRIH/WHaTOGCqqBj0wu33hxkXU0GiAzPR9Eg6
bnPZTNo9ukxgbrxMFMfUSBJA97sKutGhnFPe/iGdngQn19YCNbvnTSofbXAnkWsKwjSNvrAeHOnt
PFxKL0TDOG/T4KXXHiz6l464elhJSH/zVqlrLdoelUjOlccI6Mh8WAFl5CLj4fm9hksOm1tBcU7i
7sTzcTwNuc2ZIclL9C5ZH80W+QRlp3+tK/6rlx//Pxb5NgXr36uifzIrXH8b3r/+2amAL5xv+a26
F8L5xbQdh9wpaltWEv9wKojVvvp7SW+x/wDG4XuWA4fcF5Suv69GXP7L/RES5dAOuHiof18J/Vaj
sU36v0IHhLWa9/5QItI4IOf2LHwJeGlhXa0l5B9qtrR3pqFWrX32484Hheq4p9kWBkOJpSR2Ia3k
+rRpLjwRSsGaWqIkWxC44aLjBrM6eQV1XVtfQG8V1w2jYGamiPWQgrcS2bZWzswk1Rm+9AUVXp/M
EGpbHNxROAQD9Kw+Z0PqETNz0OMs7jVU8td6iIebBfPbxGiwHjUrROVjFSAuc58h4jr6Cg4p+KxB
b3ymcwcPH12zadN8KgjJwpC0NWbQqM48+94+nYIxOdIJLHoLRcnkFCNEc4POofgqfUPeZIk7VOyB
q+kmhonLWhkngrklkoTga7BYhX9qZuUszNj01B5YR/O/9srjWcm1M/nZrpxPAKcQP3JITeSR8wdi
BI0XIoMQuVf2nYXm5C508uR+yYvhRpac3jl6ge2YwmSPYkKcDvmo/GMVlrXkDGvIO8FuBN810EW9
NRyFXvtsF9ZT37a9v7SEfJtNL4+xcDN9qGIqQP9Ayl+R7H0Fk8DcgolStRkVdTBd25B9ahH182Cc
nE40uiBsSqLdzPFz13UB7Lo0yumla0sHLtAAr5dBsCfQOLtZPEzXhRycEGJSmamQYEOUXvuWTOxk
o232Uwli4TSPb2IxG/shBgQ+Rm4HbII3Uw9+fwUOa0i3iTQ9vzma3SjiS0sh8dhKpxvWC4e2cpkw
Fu6NKacUYqkFIPei77VuzWsCE/Lexq3RdcO4VJC3LBwvXxIC9qzldcrKuVZfQTv3FQtkOFhlfPfj
Lv6fA+9f7YRxGtEW/9WBN/7t/G3KPps/jzR+fNvvh55pr+tcjMPh6p7/06Fnhr/QeZPFR6MKFXE9
fn47A22fb2JuEQa0o7CJHPrn389A8YttEYkekP3o46YC9vHTmfdXZ6D7UyNO0h6/3qVtdTlNQWr+
1CVDuC7x1tb5lUJQML87zQo3rx2/d3ZmihGEcnSkcp+PGQO6yjg1VopGMGLwUh/xKZsHJoHzV0We
LRoQsyUCK5+H5XKqPf8bZYm/zYB6qEUea+roomOwWI6z80Bs6BJowCgahXT3tQQzTk0+479xd1zD
eYoyLzN6/25o9IAhrPV63CIP5IPF5IaOWANeMSqW2bzWtKvbE81SXV1kbFOiKfCpqQeypyCXJUSI
TekVA07ZBg+p5YO/ziP27iSqCVQy9N953VbdYxdwx++C3LFL8yWTfg/FuG6HwCKOw6xwr2UYwFkg
mfIzNTq192U73xLmULNFmsecb/VmY3lra9PPzv9zA/6QdvzLG5AS4C9vwEb16d+278XPDkn7xzf+
dguG3i8Y9yHFCm81PFprQfGbNkOYlCSOtyJjGYX9ebLIzUkgJbcHIg0Cu/7okHR/WZ2M3J4m7KlV
vfHv3ILgXf5UhqxTMGgqHmMWizvR+XF6/LEMoU5uO2/yravFdJ1kOWSk5PWMViwY6vgejR4neVvx
wNwMgZvLDcbO5dWwSoSsViaOHVbeKx6iejdLo9ons2xoM5fu3CT1kbWZvggkAEuHWKvLRtfGAz55
ZlN1Qm9LPuKmdSrvYQja6Yl4th4PP36bg2glaV5dLiOvo2Dg54m9xVCfuPMhttnthOwU+R4Encmx
yNKzZ1fqwgrZi6cyvhsXeTN1zZapLUl1aCSObADsTeAxevFL70I4NFua3LE0kV81E7qtztsuqgZF
UJVdz+dYJWgzeh7kg8kNh9EA2q6xI15P7GdzWQ7ummxfJ9aB0qN+AYSeE0tYkL5UOrtyUjeqmJ0d
DIX+XVm9TeBlFSDpY8tqVx6/vxJ07rN0tn0dhMe509k9BrBmWwnykNrCCiN48kQ4oKk/Jn1+o+bQ
ZLRULDvwTmLDss8j9KW1d5Dz7G2SGe5mrPS0GdiYXRSZf05FyDTVru5DMh93PQKXsNLH1llHHaXF
VptpVuTA4EUtaB4MXAERgsNntydybejXF0GS9rbXcLfLWSeRcg2Pzk5/VB1zvGlikEZWxWWrshnb
6LRrFn8PaLfd45WrtwhokOS7q7/S9Y4hVqueuUcUFBazsSU2nmc7aza2qd1d17SkP2j0j5aD0J/o
rvlkNZgvWLsvp44ImS0bLnagk3CRdRjztptMZ1sDZ964QXKYtMf+3Ub/Gor8rZ1a51KiHQV+gWLc
teVWsx3GqJIcUltDUCTPhNQpMJG5fGw67zmYlqvcGv1NMnjO3qgzcyfMJT34bfW+gNHJZe8ccnLa
WJ6OpEPSPV9IK/zmLAZRi1hRt1wTa++68UYuiUAld6gmmEIkrICsNS2wSHp8rGKJnK40yWpzT9LK
xdvsLIJWmig8o/hYZmfaTWnQ7vKMp51bE8O0LOhVjZJrIatzufWTFprB4pC3B583wkMpt4VQX4yu
Z8bqTzEb8w5FIYCMA7MKZ9fYobP3KET3sZ0/KfYF59oEN2kHH0nYmcB0SB5zW894hK7AWhnwg7P1
yyy7rwa8jcAPzU1erOGVWagezRphsfDD4n5hAL3tuuXcscnbB+zjd1aceoRDMuzFO+Lv6gkBTG8Z
JlIXhT1sKaodQol09YtaKBdtZjh+7p2EhTSAoQ+JeFZCss5gXXaGqbcGT/kneBW8iwE2CgvKQeQl
4YhdpZIb020wG7u5+YRAinAtQ3jcuYRw9GnrR6FeBMvson4osFLdxq02L0Tfje4GwFcKC8coUgze
+DanHsszSuZiZ8/ER/Cn6iufWTVfaFzVQC8OSHqvDaf4yJgRwF1YZd7Sp+wOBmPrE3F4bpfOPfpp
iZbaNr9PcQoHbITCBCUFDpXXP6AcPel68C4C1tTrevHe+z/sndd228i2RX/l/gA8EArpFQSDKJHK
suwXDFm2kFMhFICvvxMO99rudPr99MOxx2mxIZJA1a6915orytqt0i1SMRBZYactnFAIRrxm678O
fXGXAl+OjOGGMNkeVGdqkP+pfSnFMu+IFbuUvXuVKn4epvxeOURBVigMsI9qJCJJZBRzRNcGxzd5
oyJ9aesY5by33Hd0Bw/uCg4rcgoU5Q39BgHgvDXTGkVVRSdXjx15mk13N5Tmi0/CU+AR1s5kuLPv
IzOJN6Xrb1e5uM6jBsGl/TJ2HKbcBT2ALTN6aIVhHCOiBndZYY7bfAXEzH3OeckvvUOCyJyQj4+O
011lscCYa09PngJriqm638DKddDKpdWD74/vYYST19O4X1CKEE8R0VlXcfFgGsOlK3p5bjzzmNY0
7+26Lk4FUptKlzdFEhErZSXeJmrbN2ICdNr2mArtZaj3QgzkVNkzyWFYq68IXEIPO0mPaUjkHwqG
G52VfPRnz3+YxXyoCeO5XBz6P4SKtbveK8Zw8rhitSwPnMjSGyyh+KLYhCYtmjgY0UKD/lLs5GBD
ci3t+4ZGX+iQOnE5t91FLFsCLkZLC+IeRTcdNj3kjO98KPLpWUXDcHBnnB2DiU0hLoitM3tF5tek
7fDy2Ru3HH24suONHpPthLxw/cUxgLZdtOltEwcbqkOsK7QH0t3UpipgQSMCKdHeY9jMglabPlsp
JhWrGAaiDBdAHmkqwQJGzoH1Nz1iLGKQo7HKIRljDIEkDTKwae1JSbN3MY4/xNoNehPRGPvYzd6r
MbXp53sPc99ddnm72j3jN0tr3GNRFdFOc8lgFI1j7IAleVtDlPrRa3QQv1i7UELX0Q69Tx1i+Vis
6lPhdFX/CIg0YlYAOgeiz2HCoCaaDaoSr1ZPPVnNGCszpgkZ3CfuvtLD8iV93LtuYubrQ8Zky+6s
Q4scYgQa1IBtebQGVVn05+dZdogs7a5m9c6ZLDQKLjBoN/uOOF1OCtCkSVmrjoQbdq6/ycgoxipQ
ZQWQG6DKjVyk/G95/eU/Kq8hinLc++vz7XWS/nqy/faC72W1p7+zgY7pVMekrMAdY+L5vaz2xDuP
xp3B9N360en70d0z3vmubZLPQGo8f9j05H6cbL13FkdaUDtgBXk5fM5/cbI1aDT+3NyjzAb1yQSY
VjaTYIyqvzb3IqXFJDjb9sWIdTYKzWzJ75IV8mujmttYs929J5d02VFBEeMEyQtkLd4iNubp0a4I
PxJORnqQRX5cPHFa/OmT/JOB8R+gZkTcc7ogaxQAC9TT3+bv/uBJeEu+uMhGQaZcIogC05NqxRgw
wW3p6uxRIVJNNHUuvslU/rLxCUXvt88GYIyNB2M9FaEzENZvagZaRxgch7RFgxg9l22Ei0kNqX/K
fVk7SDRt94pZdwWQZHbcy0n48EjIHPs4LdXy2R3wJxLlNlvHuKAbmsPux/gth3wr29q5dami5g1w
AfsiUmV/ZTRWs6NWxleLJ5SmYsk6LcauvE7MWUcXZLBM6F6LOlLRDQmHgcy6wBsSjdFF71BTZ475
gZkO86Quw8DRefWl2wlEVXUx3AGJrkihFBU+p97yiHZoMSAheEyyDcFG+nuNSRDebfdhmBZZkOLV
sgcTvFthPZzirZZoagxkbY2HWSujTa4tVpAt/UBvwVUjEBbS1zZNUmFfNaf5ucpWDJKGmuCK3AyK
Pjn37z1MTsxy9YKkTgZZxEXxBTgHz8rnHR5cB5m8mW40QesuQPvS3vmDlt3qHSa4MKMziCdOd6Cq
ubqERjH5WzVYMt2NFsHZQcqjdAdpLp7WNFKnoOeR9A/GUCeYJFw1XADGLrC4mFV/N6UDZZ5hqQ5B
pmPouxLxnhdUUZ9TTthOY2jwDJfVeyh1CpM4NRWmS38IMrngRG0wcx2oA00Nm62Da8+2n91s9lDT
OdVNXskJMWSL7Hug6U09hf4uiPXJ2DH8ljDMlX0zk/G1X0wv/twm5riDi7VDCTqGPKk+7l63vFsI
CbWQYA3Zccm8LPTs3n1JENAewIIsW79oeiDASLN3GAFjLDyZOTO3GqnSNiOn1z0WBOMy0rzp6HtG
9ITIHriFStiEoGclX4TSx2sDh7QdpJVbfoG+vXodF7Bw6AuguDBYbrHZj4tNxqML2yDk2btPYi2z
zli+8KkHsHIcdQ8yIJ2aoHWretxEjIfjTTZFiB+8ps8/V1kSpeQpymyNT1efETsSzzXmaL2TANja
qJ+61pfpCxP7AhBARZLdddfJ6LgMy8qStbLx2ZnSmPQVm2hJGDD9AF9hmCRPRav1r1X0NWKSzADG
tT279rbHuadta9QJp3E2qpnulNsTCD5qS3o/W/U8H1AF0BLToorhY13JMoZrR+r2Coagy8ZgmzAp
okNI9otVTooh5hC2gr66kgnJB4y1rfqlq4HtGXIuuNUnvb6YYYffGS6LZjwlvP8cLNN1tgzu2Ryg
PxIl4nM1ub63OYnse2wDpBO2dhdRC4+ie9+nTiYCSe6NtuXgsxAKB3IJDhvBdORDfVCj6SNEt0cI
LIniQd526G+1ANjc8EnH4KfjkJe2fvYjBeuwMZv6RXYFx79GK5bd16WcLgCfk8iI6iSrl3U01/rx
PKXm8lR0xIbUm1xZUJn2U4RFD+G/EMb8Yg+D1JujhwWXP/IYyDL30WxQITPzWdT4XMX467tAY/z/
ggEFlSle0u6ylotzbjuD3xidTq3t1NADYAIaD4TGM4vruUpI98GEiLEZBfd0O6SxeS3IV5BBSpl+
Le0CDFAVO7UdgiwagYq6zLsZWiflFRkVLgni/Abcu8RvX1QGh3G4PxJTIQVhNITEA7kftbHCZMuH
gxukiLGYI8pxSDgbErTwdGNc9aE2tJqkiZmxrOdkdRARanQRm8Sg5qqrP3VG/2gRjHcx+n5m743e
V7eDU1hFqKG9Hfde4rUICshAHPH70vkRdhbtjAGLZ2KNEY4Wba6uEur5BzMHKkEpONivyDMdREPY
1na1yreZWWtkiBj2dCUKJkRRMiZ41aAdk6vOyW5qvcZGIiONS0sr+guf8YaLLjfSHnL2GWiZlr9m
ieNsJ0m5dM0NQCzUCkNtotqe+zUvsFIWfgtjdDKJ6mlhMhPbAjE0C35XWt37//Zl/7PCkUz7n8qd
P0yCr3E/1b+Ge4mvL/kxFDGcdzC8cXsRQ2XR+aT++NGRNQXdWgv+r03fk+YrzdIfpaPzznToq6H1
RLKIZY6K73vpSLiXz2PJpIRqBjy47v+b0pFy89f6iDarBY+e4kwH+gq87repSN4N5CYNfnqT5Sws
PtbL1Ton49y59qNGiFvhtNAl0WpVNHcin/IYu2jqbPIIeut0ph3G9NDN2zzosA301l3ybcRo07nI
dQJDOcY2Y5UfeF51ddMXrf651BvFlux2VeptpJF4SFQGoyattOZk5Y0EhIt4W5JDeVyDHd8sQjgR
HnWt90kz19waB+67m4uWAJd44cSG/M6mMNnHCyYnC1sbavyUfYyT2DAEbOJlHixFI4E6WkJ7dHXt
k8c4OixXsR+EEvfsJGN6AT0gu5qIOL1wR3v4qNbllXKOBqisnORO4rRIkC9O8w0SwMgPUdeXcms1
vGOquKVnJScSOfT1hPF4RH02pvEG9przKWWQ89jR28nOZJVqJCg07nUqdcSBczrRKyqglGx6N1nR
TP7kY6LQ+xRwjN33Vcg3MT9Hcw2eBzXfgHEsiu9ptUd+QA8OcMvMr3+ROlFyuahpesbgZth7B5LO
RUxE7NZnHkUcu5FBBXJ7B0u1m1rNe8CxbIxxm3Ubzx3Lo9ZVeh1oNiBUTviLd+3hahw4xK8GoGxJ
WXxcGBVLmLEckQSEsfkDxWOLmk1yZ21MioIphMc5hWjocd/r0glK0INvrqRJmMRpfuhSMexUbBHq
1KZDSGXn3rY4jOhwEx8QmqRw3RJeK49zTTNFL1vjVrN90n/H0jlGwqUlJKXtfFbYAkL67sOZWQOW
7WSuy4Sj/EyZtGsrrbkSsZ7NJ70adLc5Iu5RXsMwr+o8ugNZyUGf0qVqbkgNTuqLBdO0CHSL6LIq
AOHCtjVAurvCIUHvOaAO8Dxm6QbAl7Dk6G/dDh24tmAxRve+bCrS2F0N0OJTIUcXmWjdraoKH+00
KAf0oLSx3S50zLirj2uH179CGJh8LlvsUMTOuLkbFN6M9H+0iaJESjfV504DxDZWfXLpRJV6McvV
r513iukH3PP5YooxnNKENStJ79bRE5CAhVkfGPRA/umNuTc2CpFif9Bl6e6qOE1hwM50h5N2hClU
y6jkyY48CCFWM8MPQM6AZq+JmnG8WpZ0aEMTxMumTvg2w2Ys19NLpcklyBiXxjcEdaTdRpZD6Z4A
D6tz0dn6XuZQ75LYimfuOKGNm8wleaLQ3PSs0UAbEQ5ERULcku7IsCw89WymXb3vaVEie9S7O5xC
2XLLseEV4FDFM6U5NRIRO5vtc19bHbVyS5z5Lh7m+nnCvioCbx6Sh2XxTFpvUSMrcHWIMJAqQiY6
sBLN94h+SXczbVpkG0pU7KaFDl0JzW1kXVh1I9+UJh7twfGuAFZ2y/2Ym+SxqXyN5JPRPIVeo7Ff
d51+WqLMvBWV4nkE6JYRqRqzmtmE08JwbLP9MlneEaYVfl1PadN0Na05Iq7VVeCkQTbtPS/qtoUR
RxpMnMKod3GzZKG5COtWawgP3llDUoSOn5mXtQP/hcweAsG0tFlD5lZscLOINNQJsuN7zkWcfZKt
m71keq89WrIYP3CyHyWHRiF41pD+hFq2WNvScLT+gnGT2BTWAPHOSbpYXvIDAmaLRnUZ0M9o5jhw
PDjSR9FpNkPhWbh2Q38eYhdtSVr3G5N+PbZTR8bgAyljD5Dh6DJHfanQ2tV2OYhTXTWDF3gkDD0A
vraeUHS8F9zCSPC/xu35RLUfHE+5tw6YyTDuoxkmVIIKGuOnviW819yiQsXujMBwuquiTpxJgR/G
oJRuaZyUrOvT0tM13XttbT23/fQcT9PoB72TArg2UsLMNuOo9x0g0mwaTih98KrORndXQkUgu539
K741JsD3dNAFsMf5UFpu79rZRiCSjY7EWCnvLLzc2P23nvqP6il4AXRo/roRd/Olqrq5GF+q9Fd9
3bcXfq+qXIHhxaTxBmkAOyN/+7+q6muvjjxqnwJq7bmt7aYfVZVJVQWcgD4eihL6Qj/J7fx3OGdM
gnlADPloof4ViQDl7q9VFfYWxH+YcXRT0BzES/NrR66gAl/KRme6BnB+DqltuMVt6NVnM5oIqvGZ
ylmbskQ1u1O90/qB2Ul5IbyaPsbSIkPZJIUOXIoMxIIIOSaQWkCkFVFk/msz9tG1cpz5spwNPRTp
MBkBSFobMIHWdVsYHCJcIJYSs2d1dEGYmkACM2Gtk/qdJctewxz3JEkEPs5Zm5zpU+pbV1uWxwhH
OLOjwk22EgBItmXvarHMSniDBNCTPWNMuvuyZHDhGUAwOw1qQgVUQJGUh0yFCRdOqkMK2+6LZhjx
q8Kwfpp4zbM919kQ+povrhLCHgH+uxx7A9fyO5j6dmxua42Wiu/FxeVo+dl1Wif9aVQdE/ooI4xT
jyB+1f04ban0GPu4cTaiPsvjzYTbH3ChQ3RcWfqwRxtoumNhW48eaaUbNNs5lzAJnAFAMGwrmCRM
Adt4a/p88iIVxlEtfnnTa5az652lvNWXor7J6Fxew1AUZjDqeXXEuMVe7S00zlTi7giN0fvN6qXH
qB7rW0SIKgkk5o4MgID+ngZffzXU4pmUyv7eQM3s7WmFwokztSxughJzxh52nPVE6pS5Q3QNI6KJ
M0jESxSdcD1g57B0kINEEOCcHbs716m9bOuQFnIk7FF/Y2estqI07tzxZlUUhp3Cq0zhcyMIsarX
2sA6G1o3fDDmJn6UeN+vxy6zN36JH4X0sI1NBgln2L7cW9VUHGEORVdMcKpbzKrihCL6faqEEyKz
z8PZGWZwonF0Pw92C4DTLg9KLzd6bfQAbbPsLhpa/XrQOjeMJqEuOOzvoTB5Wzh+apMMeh1GJJiS
ODvW0SHzI3s3OGX+5iv1akS+tmO/ikC694Vxx03OSXaa2otuMWAZF3CaSTfBf2qZgvGzfVtzt22Y
El/ickiC0mudkHSAZzDvVPkT/LOE3nsASJjfsqNQigcsMMZgpFiUEu2ZI1Z80RRJe2cXTXOaBfF0
rteBsCGTdivZFjaFkMnZGlvuG25bsv+c2dwTbUweZ5WkpOUJSm+6y5zlOevfzaq3A3zjoo6pvcs5
Nh4JjpnSHQ1UtbYkjUU4Q5ipJE68O+VAiWs2swaj6940c1vd22yrmNDslqLjyRDcC1vSddJLR+ru
bQ9cOXk/iaUEekbOhLWr/JrGD2TKmeuTYoB5zaTR3wC8K8DWQVZmPImPyKg1+xmDRZVdqFXUFhT1
kvFuMn0R1V7WsDbvxzQV6p5M0LUhSKY43cHc0sfsQ573Esw01IMKbW5id+ZmbgAvhWNHizjkNovj
D6WRxishz6AMzrWa4DgLTYm+nebF4FBnpNM64FXzGinLbNvbtqXV5/Fh7j3xYagr1b+6OQm0zgc+
I58tvhj6+kifzoJeUUWcKvnDwawMX8TWKNBhSUUPVT441Jgth96N2UuTyYdmTN+mF/+VhP6TIs1F
wvl3O/VdUn/+8j8XXfFSff5FFPrthT92auMdincTPRo7r/lNdva9/+Ea7zywDQzwv4eU/7RP8wrk
ns7/+2P/v/thCPwTXzf2f0Xrx6r++x5N58Ui3Yvfgd+LkK9f9+gWhpQsfbggGn0Iqtukvgep1qfb
2PPLbWraz6ocxxMsA1waQ/NcxLZ2oSvawET1siovSR42nShv/bGskFDoT0jkYyz3BSz2msIxXAYC
PKRB+J6YNXeXQaUJvM49N8UISXIyiBBR8oWA3xMq6BMr+j7qmd/10gZ2oxi9gIvwglGmb4M+pGck
EYwG3AbdWlW3gAhBfk0AuBjGLJe1r984GPwDX6qXtWJGIc3AXaBtl3361hUZ+zNnsi1pkWfXmvYk
oTQbCCdvfl6dlDHeRZONKz2FT27mp2FebkRGMgCIzY3MtIAexQtVRB3W7fJq9zmLqPGK/eS5nbtd
XaA9ktBU30etOACYdwK4LYRidtAeKvDHRm8952Px4hI9s9NjdafL/LR+Aj27YIjf5S1rSGfv0J/t
rAIWoVWiHhtW9QEh0Q+xpe68anI2HsqiC1n4r1QA/t5IxCGO58scG9bFsqY5a6rjg9F12rbp0UwG
E5b19OAk851qxHNi5Uf62y+yzV7qxT4DmKRB4YhuK3hDSqRv0G1vBEfV3Wz1gGwb+r0iPyKEwjxJ
o5rxPSxDs+aDMhMZBcgBwLKaerJN8xXtqa2xgA3rcaytn2VSvgwG9Ex9lef2rIib9VqN4AeI/7lR
nX7Tm2pPDPSl4aHC0kb9snGhyzBXebOQ/G5tIz3l+XRJ1WgfvJpGVEbuy8rqeVqiHqtX7xTITggf
IIABFUbKiCnxxXIliTmp5+VJijZi1Z4eSt0Op7lSmyqROOPq9KUaiS0tzOnVq5fLkbQWFnAJBbx1
n9NJ/+S11rWPixINMjpEWFMEfssDpo+HpbUPaQpItZfWAaJWQlfKQ3vWY0Bjonnp1HOyVYCYN4zG
raPvcidMS9/ThyutoOn0pyo2Xn1LweuH4k44QXE03PGhlcODmIq3kr7NRneg4Azl9GBFRoIHs292
9DaA0TgabW+DDIivn7tROWfapc91W2U7okzPjS3cXb++jvcZJBNqHWU5z6kr5wMQyCVgizg3pkZm
cUR9jeV2DqUWjbdEq9ZhMZGOjFbS3swM8g50Z8ZjW9vjRVc63sU0aljTkrmAf9mUcEqaeacn+Bfo
VHYbUyus197oPs6jdK4ML29Wy22doryUeQLDzy9bK3TzRb1Ebo1lDxIh49JMtNUTQbxP5aRRHSwC
wD4MTJqcSXQGC/MRUM+4yacCzR7b3WKlYdPPEv7flBDj5DhMHtJJxkev7jNGfO250JKbqhaoczTx
VGtYZaH62dtxsF+maga9Ttg5T2WWbAl7DMBTZ0Gz+M6uTEuI83Md3SAcxEtYcfsvmfla45QPurak
yTbS0J1MY2e59D74LaiEYLlg2eEcMqFMuMaCP+wnk5tuzt1nV3OAxbTqIhrlm6bkpXDy40+bzp+o
C37rXwsPHidnQI5snN6Yq67//idjU4qxZcBJUh8E7WbEnW2/Ns/Oqd3SpjGcf9AT/K60WK9GDCRe
L8LZDMJmfr0aReBQOTOGALjhdYjD82gSrRc4Fgv637+v31UTXGlVLrhcTGd08HX3+ul9KdedrCxq
6oPZ5y8MAoktYznODIUGlhFbfcHf9G9dib9US/yqzgZSsF7TgxWFjAQ/hvvbZxlblZ94XYTXEioo
yqXxAcIrgcYWZHTNLlZH67Eo0AV2rG5//3atP+g01mv7BC66HMQN9/dg1yaP1cLwvTp02PHDrC69
mxk1wrpcXNKtyQ+6P72qDl5zrsbxmI0EzkgfBaVM5teEPmtcLZdDvEayWvbB90ttk8FBAe15qRyW
b2K7SN2gpdzW2aly5K60x7upjJ90O4ERNYnzQBd/A5HN3wMIbD7Etu1shMfy8Pfv9E9uIehQqPAN
NAm2+fvAxSxSv6xNgV7dhFVe6ze6v9yUi2z/4RNd5UW/qILWbxOJPS0SpPbcSr8pX3xlMOLw1nvV
L4imJgptNlK8LjQnKKb9LOy8/NTHRnlbjPON2+slWe7soWKJ39qRdXktVbKcAsIwp8tYQ2bhq+GB
gPOzJcc9sL4+sJu0ZIJA9EY7mfTfbHPel7HZbKd0Ti8HXZL4lU9Pk2TbH8xUHJHhl6gG+zU/MX2L
UpTVVV58pRTWe2jBb1G9PHnxsFt6ThpTYx2S2T4kSUXWAjkU9KmnSzSlxBkPy407I3NgdmrsMEZ/
lDYqaNegxvr7L+xPVhgL0AUAD91zTWZkvz7zi6sBWNSs6rAo42s5MbGy4Qp0Ak1Zh7+/1toX+smm
+fUJtAEo821BLbFXT8jPq5k0Z6KaxVwd7HyEsJgey/qfFsyvT9Jv13BRYRG+y//SRfvtGtAScrIr
dExN/tjsuhQWMhbG13WlR3w573uEDbkpiGU0zyryySGqiqM2Re+7LPsEsx0wB+YF1JqZdSAgjU3W
Z3Vq5vJEw+dtcZS1dSMmPYXlMChAN4qwYemuitTZYr149GiwBA7SyAsxI+gnzVAFJM1Cs/DbZmdK
Eza735p7PJhoks30za64Bds0P41TDmKEsQKDfQpUgyOsDXqk4iy+oc17V1dmssUw8k+J3X/yxPJd
EPAO+keHvGP++qVUZgMPYC6rg1FwUBgTcuTSHmelqeW8ZxQckC3whBazdy6RHeHylGCEjfKaMcaT
xwBpS5uGoVe0KHrTRk2LTH9WWWOFns6ZOh+dM2lb6MMjm2gaMwuJG9Q2Ta0wlWTzk26q16XTA4Kv
7ieL6hD+JOQQbQKYqT/NFGLQhZNmbxUwxRp1F9vOKnHi/hQNC1/njABINMyyZVT4e9NenvxGjt+U
pX+5dfzJQ8Kesf5D/5TT22+fkYpbTDtqrA7Kq0JKnClwFb+OoMMXNfE/fCOQc/74nKyYI5Y1w8Ad
/fsz2Qprpg00QAY3u2prOPhvvCg7RuxUvsH3g/WNge/MAWk0WaayjAowLk5OTgEI9dxBLAQzBpFH
y2wUp2ladH1AtCwwYaAio3dd+LgUEp9qf6pqK7Sa7rXMlrupoOnqrpsxt1ls5S+RWqtU0ILZop/a
AWbGVJsbytXtiC6HkCn7/PV4yYTTCkmTBlMJVowxDK9oCGZsoqEH3twnF5NHpOR6CIoqoj9Un9fH
alAPac9B0qPzC6OBo569KDLHYj2YhR/41ogKxbhptfRoWVRrBpO3dG04r3/RSv6faFxvyGYYoZ7K
brs+Rt1kY8RVDw4jF4jducbzBEa6aKmW9Cg7TSR5hG7DT0v6Rm1GYElFWNYVSWivssfKPKxBikV6
Si3OLP5EKS4K8Zwl452yBELK2oZLyzR5RPOGrxwxAQ9w3xdHDsU4mNlZ0njkxuTpcFR/QifzMelU
dcwN+zx2Y2iZct6sByNEjPD24GxcelT2RS+eTTxA/7AfO3/yeFPrwE/Cb88d9Ts1GC9ARsYkvczO
nV+xtdwhMztTX/Dh2TzWa/319ahd974B5J5K7+szXyX9blYwyduMl9HQgoxXQS3F6eWNZAyBVid7
CG9/tSXfcj4URqdxQMtxlcSI2wBcxK+tVvinRgJcWWL2RQJSfdwgBVW+y6RAY43J+vlptCi3dGk1
G0dPh80UEypUeFTWMQdD9sPEwqSCtHIdZg4P/cgKihEMICdHUn8oTuMw3Al7SBFxONMW8ZQVtmq5
LBP1gPSPxCWScZlYz69OtzRkdvV3LqcDrG7OeWQT4ZA5PFjkh67VfO/+2F//22H7hw6bhfGWe/Gv
Z2EPzMK+dN2XLz+3176/6ocy3XjnYG2jV4avkv/Y99aar7+DNIbTcp2RUdGv87EffmvnHW01qG7C
5ASjG6sV+3tzzRLvCJxfRUc+S+q/xXEL9w8FKBnd8CKEThGK+/r3AtSdpaUlyq4utDFHOrgny4yR
zTbSlDKDvtQxZJKVa6qr3pznTdm1rFvdBBAmjtxDWwqipOyInCMyPY1z1wrnYcr1fOukehXGsQO9
ijwfgCzO9FwyKGiZltjWix8TRmg2OvAr31ablpRb6hH381A1/cVodfEeXWwcYs9sN0aUE4uEAHo/
j7oewMUTdbD4U7eDT19uispjcJShMhBNSwiv7MqLYYqXnZ46u6FDwK33nIjHLI2vDRl5h2pO8Q0h
FEyDsRMMMGhN18+JMbR7E9XqEVIQzzoQJucTqouGXLaSbiED7Tg+1YirH/Os964m9pK7QUkzrAps
4YPhn/QMd6FXgqApyIhh4c8BebkDCX4pR+0o0+VeuhzcVCrw+Vnzbd3U7oVEJ71zANQGRNka15Xr
H+MqD+16ym+gNjH4iUxWs1l5W9TtNTEVLXJWfABb1Qp9w3hAADmdugtykbVDpC3GUeSJdqQMIsrU
bBGSoCsICVCpT62TMDQkfwJBleKYYKSN2OICBjwdlfYeG0+JqxamKLXgctuMZndyQYASimU+OFM5
vc5087edQvVOFlx3uxB8HajZKXbOUMMkbqb5TqSZ+2kAF9JU80cIqN0ewT1JfiPeWEgC0dPopfUu
yyLnMwqefKZINLNTzIyL9bKZEgaFfbn1StxVaeJ5h86Rctc6JnM2ndGoh4EBL1BfEHgh/U+erNQb
JDR/t6yGxE1LGtmW5wZJHOs+pq6seUyYxDyi1ZlfNE57nKsWWz9p5NRcetrqPULolgSpnzTbBt5U
gD8IjNqSe8dId6pryxjrU6GMx2TSqOI4Z7cHOLP57VS30EVQbl2bpfQvRUt8M31lgWghNbTSPQwa
CIOdxKQ7Bv4g8nyzDGsgBv6OrDLRQCyTtHaJaLyNCaQUD1dtlod58BhNLj7gUYongrcKExulpZbR
DLM2dsOO2imYzKW8QQB88BlEBQl87ZN0zJe6aN3oinzIKbkk4Py9A/z4rqztPeJ0QyP5chCRuS8w
XKJlGn1V+a+LmFva6dG8XC/j1N10g+mVrxzao+VKVPSgvH54tJvJWukniRwIW3EfRNSxi8rB2EJG
9o+qdk1U7FEHZ61BAHXXTFpJLHM6j/GhEW4uH81CCbDVNjNaEknAMdTuEbad12no+zJTv2ah5HMv
x2bZRU7G4X8LDU//sCSY8zY6PrIzgPTSfa/DSGvltrNn47aa/CH6nK2BWna6+AErHKEaQuMAPdSk
VUZ2HjAnGKitpTDyzTQWKekdvZ99crVo1g5eNSImt+sC/i/owCEPR1A2pONMCeoYBVLwqZwb+yXH
H8SdoqPCxkDX62NQtWq6we4gPs+CMdme5i9KJA67bhWOWupTTBkoMbeVnXPJpYglKjvg0g8W8kcS
vLqCslVXTbr/lvBNtBuQMTTnqIfAV2UWZYhf1dcu88KakJKhTaz+ElqFrYc1YM4gdic3BopROdcg
q6advaYH6HoxQg23+Yw3jhHND8UaTSCBYkiSZmRLdlTpK9qZxBhUvmgv8tTnuZ/sKLS/5h2YA+Sa
wTCTPUw0b1+vwQgVCQlLzIQokIZdX01rgEKEFRMZdU+qQoHQYlUYpRiphzV4occfs2J39kwBs/VZ
xVlnxE66lXFtaTuAFPq9W6BbcEzGxhtL2dqa31DR6h8ItRtdKhinHT8g6iYTwrT8y9nyyAhvie/K
JxFz+O2XjgyYAft02S3zazu3n9ij5Jna0dkpd5VsIZ/3AlNv9fuYnNTdpGfeIziD7lYgG2JzqAoo
XW53XfeetisIKjmOlR69AtW3aWoZYecyxWDpjA4ESejPuWukIbA178NogPQK+ogoxcxup0t3cZcT
B1IviNuJaZOas48J4paj3dbI4+Np12uVYDShoznorQQlbgaUaZvN0XJDiwf9BmOSrqiax8Wt+4vZ
GYf9mni+B4Vko+k0mMsTEzxuVFEn167wKXjlZBIIZ7HE+0iGQyD28J25/v3kCzswjTQJYkzYN+jE
cMsyBdsKYmf2Dm9g13RMeQJDiYSlcRHPltVK9kLbb17gi/Qnw12MLyPjmp3dI0jLAUgenK613msT
1zN9kp0aWIe7LG2araz64pzrqn0aeA5P/8vemS23jWzb9lfuD6ACiR6v7ClSsqjOll8QKstG3yXa
xNefkXTVvWVXHVfs+7xjR9SuxhJJEMhcudacYw6yl/cu/rwzXdNqvSSgXPJkTvetnYx3Obi8NZAS
71As4+c2cNKzcpLkY1QPJrFfIuSXdB6VQLmgBQkgBNSlbd51M0rCdcqTf+9m/kxSqSffaJohvPFy
4ANLf6HbSRiFUwbesSRiBnWqntdkef37hD9o1czk++YgB46JGX/kdOOtRVWCVaxAEuAWsBkl5jh/
TWF8mqvI3Doybm7dNDUR/3dpoXd/2FsQJTcOAy0OnFgUAL30ATiBuOtWjj9vQwNnRDfOHoogWqhr
4s3ItoUJQduk1J3clZl7Iua3mVOw2AEPtRz7DaBV982aA2oKJyGUwzczVgKJfYJR1uipxH+0ZRbE
bHlxSaLNU+epJr1ci9b/1vf/Vt8DPKK39r/X9y+pjNOfdG5UqPqH/pyeu79ZGqgEIprWIGU8bZU/
SvzA/s3zfRwAeEyBGoXa2PhniR/+5rguxT1gJc+zBBaB/1viA4jBhUBfySPQ1qLQ/E/cA774W4nP
y8Ov41fyLsBF/9RLDEYPXCdCl0MQqAp//lij5yc7CE67amEH2Ftu+c+qClz90MXJszk08drBdkXk
ZDzc2TW4k1CONiGvkYi2kl72PQkFDRtLpRNTYGvAFgiObdQ/RSOxNXq7ejPtJpcpYXMyfiY5onqx
ME/eN+XE3T1ahnx3idA81QluM0fN7hv8+AKbgNW5b3bj6c3Qc8KX3quNr4RHzc9wTcv5K+ei0M9u
UkSfd0ntbyUtIJyI2cnM8ibYe2NUPdHhYEa9ig3iHIceFQMxfrXxZDguBRxL0rhtAoTHPrhGfDh6
9udb9nwn5FzoKWDwuSCZB/REPwZcFvw8BxrW8TlrxLCGZAIXHvEiStoAlP5OtEibMaj/7pRLdYpx
rK3cYHHoDzr5J5nR+XJF5GwMgFvrIrKnF+xBStdklBIOnJc9hOsGdP9i+vjAEueIKth47bsiZWmZ
5+fE7BJOEBkB8e0CbuKl6dKxX/vejNp4kQtSoTmLCIWIQj0YgODZWx9Ic1zanYEJ5kmyzL4NjYM9
EpArNuLYCc64pMUTSFB9lXPBtUjqUDyFOQaUlbIm8QRxu0ap17j8+t4uKHhk3XPAs22sfH7fAXKw
m6qgUHdHKqMgIXRkbcgWFu1EMsJJSDgBJOjwtwU6KJSBjUcFRPONPwfJkJ9xbaaP56aaCVAkpKdc
u30ZvWQIedP1VeLdj46WTiXs35t4dsOXoM6x2tHnCl/EYHBykwFGt2ttBwjC5WOUBFfuSbMblv3c
h2jGk959a+ai7fZOH7DLkXW6nMJK8fqqFPUJwHW+gPhb+EC+vijUlg6RBPlSJDeIw3kDE/t9vEXI
yNUtx6h5BTKAtzCOCGDbEGZiYxidGQhsAr/2rLuIbKlo1/XITI59M6bLKq6z/j3LaAqn2BRxqZJZ
iluhhke2L7IMrTvBq/TUKIJM/gMMQH797OkPHyy0p1eLlXMF5aSt2EuLEZIsNuc4zwlfy9JhEkcw
Scy90fAhosEy70m3hUShX9Hzh3zejYZnH6eC496qHbU3J5vi6GWSeR/oZG4OFc5kjcteSuG8mUp1
wZq6hXA3UzavLdaNEaPqLA/Upa5zIdsp3Oa2dmSkdkoLMvIG2163FnqDVWwXfCxVsp0lUeF9dPpM
GS/XdxkUyxAfCgXrAQcT8GMmUx53mUGxdBdKwCugSDoKmY7xxEDiEQyXx56xcY52RX+lTGH1NclI
VrrrARadQnrKJyVr/jlUKQV1EMYw3Ui2S/cEAGlzAXikvT8VrFA+ASAHpzSF2qVtU3xbFpc7MvMM
fU+RrlyvYtcIyn09jNoIIMp5ILU+n9c6uW7a9KG1HDomJw/s3vP9mKnmlQn7YCOtHETAfVphtg0d
stD7YFjXjYtV2rWMFpeQhbhiKKvYXsObwMZk+tEpI1rkhS8Tg5MWKT+gcehJVIbY8to7QxftcBnP
jyN3MTDKoNwtqKjX5hi7uDb77ktGKhQ1MZvOSxEW82PgGaRZWJIb25KT5MNwAc6e6Rh8ujKv7dVS
46tZ93huCSIOK4KeuGQjxH3geYcJut+XFgwmAs6qDnSM5ITTwCL88hjHmXMksYrrq9A7vEjfZwUZ
qG55wXL6MAmXJCLO95jXeyZJCAsECaHSaQjnTm06mkGSgMRT8aUSTfVQjPglsCXjusSTllikSmlY
1CTVV8cv7ZsILdQhGwPxXrj+ddA4+zuTJfDcEvT11Sbu6gmthDo2Jdkm2GmidZ0azwig5EtiOd0G
Wnlfr4owSPdK0OrAy1WcxVwRkRvO1c4MStIbY3P5ipEIsBHgvu6EatXHHZr5ylkxw7RfyUvrTj0+
enjhli+Ow4IaqnQtF+jQJPURsUfSmEaLf3bj9k56svxK/zpxtksgqa9n4pFuqn4O7jhcPojSAIoF
E86Wa7xznTgXtAXaC26S5Dia4b7XZ7hltMdN1+bNLRKGGrvwEN1Xo2Q1UURQpUYzPIiKoKB4Qi/S
h90S78chtc9Njk/jOWrs+gV3v3zkrH2fuGP7QIZKzLmgEw8RaNvHyu85rw1zH3xomaQhAS+arRkz
6YqtaT45UfC00Pj6OMBV3dezW3OGm6paY7KJijuMEhJAbk+HuSELYGis+66L65VXNgmUZzMxz1O9
FGsVESlw6RJy02YLl0iRScEgwZbQ2XASN1uoBBWomyiZPkdU5gWs6MHNdmY5DPQ/2gJ6tCGcYjva
oOOC2eyfrCoPXlMrNDu2QrBBQ4YZpiTl9zh6EDHWk519ntneTxMsm7veMj9PMmhvGw6HZCJNc+Ot
fZgD5w7G+GZ0QutRMW07qTkTl1x4/Te8/PKzCuO6feOgVowXzGVRfEJWmx/jIq/WkMQ/WWqJLkki
og0RUARuBGI+jz3i9QJ1PMdWeTN0tvEBgj5NMgsdH1lh5VdGbvO5XdJsC2vIumRpP77S+Yo2MUab
+7AJ3Q/zMMX+Kq+g/0CzIp6W7kR+axKxVm1QZBsXeAHuxneGacvlonPjePNN05XV53TonTVKiOdo
aMyb3JQvPVviNsm4T2n5vQo4WtmUdWdDuc6naYrtkmeODFERdYIuLx5IYuLjD3ZQk2TnS1pbjEpz
32JibAomk37dzDjskt7hEwYQ/hKIlITDcvZh8zPuyP+09maanMspQAdTiI9R5gBPK7ySAUftrNEN
50g3imIjmpH7wKLlmHBGYqcIo2UTOy3qAo/2zC5k7jMjFWjsSxA73n0Qyv6xlgRs4+xEyQNsAwn7
MoMR6kdasbm7aob42TNbcaqkkW6EPTcEzpEkH0KffUyzmjl4Rvmxs/AHon0qsFM1pnbx9x4na9Ul
yT3qNnuHjFo9mVKOJ9XZGtHBD45eTOPP9UfYv0QfbfoyvNi0fvZNNST8o+U0J7tc2gcypIkjVFU3
bZFJc/JOplrcDPj+L2nqmRsZeUeaIMG5zmP1bHYFo03cVy/JkHxithOtOS8HFBQkCjyPTdiu/G4m
mrrt7BuvKefDbMbWykH1Q5fV43uA7zDRTCrRpGAJHZDJqDyBK+OVPUr3mewLBKLsjgWjUVARZbFv
Jid4aUI++NjM8jHKah9+XhtlW7bD6RBkhFIQ/kGzLMLOieX9IYmAxxHpAQFuUTFsAYc218pM1HCa
pVPvJsua7R0/M9/6JZy6tc968561g/ctIPYNqaXnLock7IsvBFK1h1ACLC50aQXcFG76SNTeAmUO
Sr6O3UiNFtIdPaR1MATD7dQQ0xupol9DUKB/TqToKc/K8W7pgsZ+Zn9DFFMh6hrXWEnIW+5Te93l
RIYiRoy9hyI0bBoNBpl0THgpC6rJ+T1HxRXvQq+qeIBMakEO4/kHqAOP8VjMZwju3VbBgJzXWRdE
l44y4BYuTcPKq+z4E7itqka3lFFjOeFrjF3oYYlQCKzKONm1+aDOhHa5d22VwL0K29bAN+sON8TS
96dZtGofVOl8L9y+e0qm8qad2lMTLPOmDa0WHH7dfQFGQtBf38obMbrRXsbBC4XatPPx8Y6+dC7Z
qArsf2OeY61BF1XcwK1F+ZmGywKtxiGkeg2mrCbP2/KWh8E2m9/nvCyIcwitYoQBUhYrm6YubWva
u/kgjfKL0l1fI6T/SxKzpBXcpO7we9A3T82gKvrEZIPorjG2Jds4kky6pxXpP9S0l5tro7m6Np3t
ynzrp7C5neFer9C4tsMxn1JoDEjGyBrJs8R/IG0O001a8ndywoZTRfd107U7l6aIRDDkNtPHJXHq
tWPLIPbvUSm19+x+x75kB53+Rcjzsx4CQbkeoQmbhCfhOD+HKAEQZPYQU9f6UjrHyeYk6qaJ9bQo
v3sPpUj3f+kc/IMM0v15io2p18b/YjEHNOkI/ixSIXZPIa7r6kPFxODcJ5TuACxpLxs9bV8k618w
lDnOHQq5AVG69OwIoIowkvKWvNaClY8He+u1lSM/lHIUd6XhLWSiwph9GZM+3BJ7SQHoLFVE2VZ6
3bsZm3bIgR6y8KPlGRGS1DmXhxSU92vfZO4butmpf+wQ83fIuYSYunXl0Ub9DMi4ybVMkwNbHLk2
tX7MWSRnxXgqfbt5nQrVvevw7m/BMlaPdhhT0fdtx5/3LLN5NUsHV23M2cjQa6fJAUsY0WXB6dTt
Qvgg3T6Ia3lQ/EEJhaQR3l4mgul3J4L69XoWLr1W3P36S9Ddjr8qq0LwYJ5DpwaiAzrGnzWMORVy
5HVmfXCVPi+7acbZYBAFx7Vfv5CW7v3thbApUgY4YHl/vrtITnSMtuCFiqTgK26CEvFA1fL98Ow5
b11K4h5nw5lDCH3f5vU/ffXAtANmu9gCQzvUE+S/itQaQwmfYKX6ILOG4d2EQCVtU0X9WMhDPWPE
W3m9zyHAmEqObb9+cfGz9Cc0YWWA5AotgTfwb599ylwjwkBfHxgp89vHKWacAn/CeqqyjmOzIzw+
/OgopPgxslKUE9XAwa+K/eKA1Vk8Xd/Qf9ub/9reDBy+m/+9vfnxjQy8Ku5/xKOwLOof+6PBiTf2
NxZJ1/Nc1Ko0Lcka+6PBiULxN91Y1F1PFrs/PbyaVY12Ua+vPGpXFN+f3iD3N9juwsZUAOWKVfc/
YlX/uJ46HG6RSYQCij1iCYvH7MebHI5Ii5Fx8C7lWJTLmv11uBAm2XureWq7z3+5MP+wev/4PF9f
DOGcVnmHDqLMnxfv2J215bZ3LonB0b9yagvM5Ri+oCPTD5Ne8mLTd97CMZP/slH940tjjjKDADw9
F/XHz5kauZh7Im4vyB546VDS+hvVxMyB8o+RYjCzqgDyoOWGmYceya8/+Y/7pP7kvuXQog4At/HF
/fzypFbFVYiZ8VKUBs2jwKBGWZv9wNaTAs5kGq3bPb9+TevHJeSPF+VWcRitgl/8ORGwamCNxU1o
XVyrYtlgAni0So+uJhCf8KXp3eDspEC0WLsHtpKkH/p3j97ovjCwt69bMFf7hq7dfOgMScLpsrDo
egEpKevIHU1xGptIiU261PQ5OpQPyWYuKvpYv/4cP+bwff8Y18Y74wHEBT8HGgRTAMsaFOmFjiX3
yoDKey50Ty4AYP2Efag+zbnbvf/6VX80CfzxqshhGSDwYPD/P94wNBL9bHaluGRiFE8VLLY9g+nk
m5nN7QW4yPzgOo24c/2QtrBK6EL/+vX//mD6FDp24DNx5775+VkZw7ACNjSLi0dQ5UOqHxii/+b7
ePzX/fynveb6WSEF8GTpDY/Rw0+LQKT8vjLNQVycNJwfDMiIOZF0gtZ2ZNvdO6Qg5200Pf10mnSZ
G3/iYTGYI0JTSox/+br/6YPjV2S1BD5n/+2utRyjDlszMi9D3/KQOH5U1GerL80R9F8e/n88JFpX
xnPJ//y/SdFFkxFLYY8W809GkZVK6BNfO7eDb9anUurG3UiPFFI+d3lYLJSMYzjHRKMLA0k3eOCT
4Y3zQ0x/N97mphWc+3wMt6JnVpMkYzvxWzOeMhdr33QTYuotdr++V67un/9XKF2/QB9oKxI0toqQ
O/bHmzUr4mgIVCguERqpdrdQjR+u9w1CoOZVSlwiAGhY9xQXsAwwxMXpQunWqbA9IGmnfCAKm4yx
ZVoKuRGR2b0H0pwffv0+/2EV9Ek+oZ6ibuSY8tPbNGawJl7kiIuL24A2vW6Qi4YGuSDW86kt5L9V
qnoH/UsFibWWXs/VbYACEKHdz69Y9rGVkX3XXSY6eyfGI+4b2Cn9F5vW9mASq0QuEA3vKI2o7HGC
J6gAEEM9plAjG056qn+3IRjf4yJP96bBQ0AqOgunvieulwhSDpsXcoHw3I0+zXTotWcDxPLR8vlA
i2KA8+vL+L3C/uv3zWbNoYORpHAgb/yNu7GQ6+5TisYXQEOk1TdqkZvMN7IP6JZUf6jGZJzgEY2k
UVkuzCS0HGWU7ELQVBkh7aZtrhUdyLWVwRQ3y97fjVeAUuJ1g6BVSeg98YkuzSXTXmiBmMlkPDdG
Gfcb069J7Z6uTCamprRxQGLxZGQa2MQWoNlNGZMAJ2iqy6CpTkFXZmerDOq7MaMXvAlqiVweU6Dx
SSg/B+upii8m0slNQR2A5VQtC8AAggPfFXJdj6CDpNqkPfv3DTNXbD2tnTX3wHVRAc1X+JSjOVSu
D9SQFptvNC9DVWTTxo58/zHER2CiXgb1RjuNZsiqdGPYTqEX0sTzeiv4HX2yhM5fdn1ObBNEHqZs
gyOPVgsn/hhxOjlb8UC53YzRjYmy9FFNI5NMn5a9vGCPgamVkarqIqewkFqWsDmbe58Yd7lGTZJE
myCbwpc4Gdh2c+4Rny4J9KFahSACElRHlAbh1hc9YyLmmu5bFzqUCVXAakMJqMe9DbtAlyp+jKN1
kYBkR0OPi42h5kx/zj/Dw80HdmaRCAhgy3ceGGkUwME8u27PYLtAhsXf+WFNOgdHJ06TuxFH75eg
yj3mHVZi0oiEtIhXO76TlgP/FZdm3XK2mkxz+UTiAH7jMYASRR3wOxCzmuMfo0E/tKKdtdj1Z7Qj
7idESu6q9ZrknRtl/hoPUabHxnG1MQe+nnUS9RAZ4sZFlO2Pa26s0rQZCFTzHKwUapIVLs93pyXb
kEzRuHkC1kae8VgFTFNuqgrbwpNPMJcZcgPgo/Y3pV8GGCN7IE6Bh2/BDSOL/xfWZCHsB3VnYK9N
laE8gJm5CJtPRkLjm7ebZ5XcMGkog50BvndfLDAuavpDoNq00dmMA4ohVnDnrQXjBO6NGbCiZRUV
z7PR8Y2piLluqRRTsNEP9chMT89SxV0JY02wmTpVy+9A/wWNGjVjirJs4UulvWqsTVMGmymcuL2q
mMk90iKW7NSJL4PP8HK9KM95i5iYrOLUpF7tC+2gKCdcrtESvtBG7N47Oj5HWpssPA7rkO+U4baU
uHVpXiaMIsls49erVg94OXHUJ8q66GXwsBHmqqxP5KNZTy0WQf5QXdBX6RHgIcTxaWYWTghvVoie
fxMvM58JnZq4+z5JXHw9WwxcLo602KlXfUGqFGZFkd2hqGSJ4VwdnOO2DM+hT1L8H2QygxX1ukZS
wwXnyGUTvQ4Xozro3luyawcMJI546rqBv72+W0YbjM9s/MD3NWUnKa9uqu5hofK3eeHRAGFIx4A1
pqmDW1cg6qcyVHoUP0Lb2F5FA0PKccMuMgtLgMX23BM9u1G6elQW156IST4ljySvlCdj957W3AxY
Prr3UeroBUbYyAvy0X0LCnZRvJ7de1Ow27Zh3L5meUn1O6edergWCgv5nupmzgrvuzop6wq+2pY3
g/Yse2cMwGgs9W37iBDWvEOJyLi5jpBrySKvz9xGfHe03Cne65aNp6PXA1p3fjAzkyK8BtOLNCJv
XqNBUwFUjiZkGxHZ84bFgQk4U0JVH9tO8s5HfmaEIzkpRimGpMV0LXAGXarkC+P174cfW+/JKoP2
tsGyRrSyY+QtPETwL6g5ocxANXId0M7w1/ZsO7zBxkLJvdLRhtkW9Fj0O8ZsXry6PkKCLFKm57PU
ZRA7D/C96RI4EwlhYcd31EQBxR3/GMaCDbhyXNa2Wh9VYC6ne6EQFLAM2EePb/qu6mz/yMepTzYD
+YdUDYR1ECPAu2WKJw+MFcVdr29PtyrEnUnaL3hksAYEM4yUqw6T7+G2mWIjOZQJxng8VZDbVqAJ
GNjS8OLNgC6mCefkuhUngvBlHlP/KctJYN32rZnuUWBzj1w7UkkJlno1N1imvi8CWDzh46TAF4kb
TsMzsEv7SAw3D5ynX76ckAtcVQVFL5rXTBDAysRMHij32wPUdr7V1OrACLKRcx0mStCwSqMXWD3z
/axi700GmEpz3K0YBtLF8DaxyxMvZcc7ud6JDhO57jSlLAGuoEbffheSOHEbd/chnOTpGNT6C8pa
bPc7q47aQylpf6b9MkOV4zjagR/oKYqsYKAGshDxPiqTTqetc3ksJvz4oTKOIc4cCKRCtJ1xACgx
rljnwwLSZ6gFFQ3Ve8vk8P76CdmJqJE7jxVI1vidrgfeZTKa14Xu8tMYc0RNWbrN1cSR9mlo+Zc1
Dg572+sqbQGGVXyvGK/bplpM7qimgDxiB1cVB1nE58oKDCAmVgkfe+Ako6+abMY5hEYkwENL/XYS
j0+Rp5Hz1gw9z2ul9VMMKHmsFkU4k28vNraHAkWCizLxHTMZDxeuf1bHpJMAxhNueWTdeTQ/JGnk
2dsJGCZ8cxc1j4sVyX2Y5QSMm5kJ0hhDmu7bH4qVFOFNpTXMTGidY97WRr3FUjIVN+Xo8dPFkFjt
I7bqiYo9yrnQ8C/EXZpd177ZIserjgWLPKVIrI/kTs95BW1nfVr0Bfi+FumD+5hZrAt6YZWxz45z
vXejeGZbm3tCs2Y/Vb9LtqHL9f50rCHaZzQC9uTqOfmtPwTcIoEJC8PBpHuTxApx5/cbopzK4FtD
8A2zIznKg5HBbiy0yDsmF+Hpeld4ZJPS6iaRmflmxYPcVuIOlyyPTt5pbjdDJAFbwb2qmRbceX5r
0YTAYYq+J9Uf6HtbFc8pzBVn4r8pCiG5Yb0Xd1Cj5IFbTjy5iVdPG1HEPFl+1LLDoESzd3XDTTNk
Nau9nYoPMM1AbSYLN7UJFW7QIg55uK6ATk6WKxJSn4vdR1fFC3JrPC3+pJtBbEBEe8W2Ahg69iwK
hIWO0Y5ArJDlatDvNhuwi23tVvG6caPmh1I5HAkajmov4YxGJXZjPvegRgDAk+X0xiZzJDA7SS0E
gRMM93zoh7FKPghtMjkSXyjupKmThdyg1/qntOZuN0W0yKfeHShCYiMPX67i9wpjAZ/XDydoaJb/
OARz+QFFMxlrkbHOw6w7wCTH9SNZ2ac8zr7FNiYYX8MrbI8j9XqsbR7gGU0demR2JJVOy7qn5RlS
oSjvJc8U1zlt+EJrd1rmPYnh9s6s4Jsj2K6Zc49zeUTKnN3aTifEml2zPHKynw9arYL5uWmq26gm
5DmcC+oFz8Kl71Bkar68BU54nrvevIFHgmQsi3DAr0NEAnfwNaGjkMhYHI3aogtDl21YtwXCmsc4
s/h6ZNnw1zYUXCTbXeZ7OoDAh+yJVDjULATajNQ4pS7p2iSYHwgOo8KbW2M9tEiUrgflnAnDabJD
HtUwaRllmJK3hyqFZpNVUx8g5OGdztfNJEJ8/rq4aZ1/rakx2V2QH2wR/cDWR+n+EuHP1ZFlerEz
QYsAksgalryeNa32ZlRL9NMYl6EWPKdhzMysCcXdVZsnjL57txYVbDxba4a4nYCfeRb7p2TWcxjK
mNVq8VLrScd8r6/rZpjlLI7IZm2yAiueiULXm00UBudSgnffALlljZ6d5jUv8DTWPeueRJB21xc4
J9LIyG+M2t15sV6Zl6VmB+JslxwsN0m/OqNndie3GXjieu30cfM2PJMMoCuMtj4NWhVXEsnrHIm8
Nf0jB7a51w5TBqRA+Pd13w27Qkc/c1ZBSGjmi3gKAmSDsxuyKtHn4ZL4YF/pNUUWJ4nrvMpjyveU
0LHeXMV6jTvzPCwxm9H3ktk1y28ec+cVXbLS3MV5SRaSp3prxysnT3hs5mcwMss5wXz/jMQh33Q8
IazOnHaWHcpKcut8rzShvDmNcS+v6F3KaTC8trTng4WQ7cvQ2O57RvrZ14Kq8ltdzB3l9sQsmLrK
onPRmWehmb6FpvsiVAb0O1yhvy2YnnZLHkJ74yLguoNBFWzizEs/lk0fP3rU+PN6KPH65BolrAJX
3UG0i54TGI5f6lbxm9wrdTi9EoiXK42YARtoBggWEoNKOHrf513/nfD824SHwQIdz19MeL52/f/5
RxX795/8U8Xu/+ajNPfo7wvXsh0tVf9TxW7hX7XCgKnHddZi0af6c9Jj/ubZpiC1B6yZzXAC7fuf
RlX/N/g0nomKnbG35uT/Jyp2L/ixGYa03tbgV0cbaYl5YmT/Y5cwVg4qzixOoDz5w6kOKkoZqA/d
yValsykcrVfOB1s8MC9H2xvjskjndFNogUueSAP5FQCHnexD+UgvwcCfWVA24iTcEyzMjnnVzCB6
a3fwLlHSzFpUwzjFl7shGyKtJ3HQ3WDLJYTEyV1vM4bAo10t0WkjDvZBPiCTVrHEpxHEz6LqiNwc
XSINQy/7BD/zRVy1P5jn1PPSj7RqmaHv0tEwN71WC8VaN8SoDgnRrNVEbOgIixYjAn+JSe/Mj4hm
I00fDVJtXNKoybpNQkb3QaKUu10mVa1mrV9atJIp05ommPT2DtFpco+1DJBUuOhPjtS22zJNSTep
VkfBbELvlEyqfIwTl1RNraPCiJNufBNtFfvTc40ATVu5xtvAUbtgRJpjtKBCY9RmIEBTp3/MUY/e
EzduX6KrkItUEURdtRpgXBSBsWzw6oWQrEYspyzrKw+l34b3jIOnQ8Tm1PhdLAM/TjTbH4c8bw60
JekGoC8TQ/IhRmXAdqrgpm/8MYGH4k7OCoP+4px7BFuwCiqvByG09Kuo7A+YG/tnp1PIf5p0EVtj
tAg4zRQCONlVLt+HO5yBkR96ZHKp1ssNWjmXR/1LVOEGI5zmWeXKWYfKrD7rzOkbkSAGKlWQYJZT
21j0LqTMOH7onMrG9ecTPBhkJWyvq5AvLMrEXzVl7X2Ih867z20jAn7qj6+RjKwLsbjZ1o29+ayW
5mt/lQtWavG2UZvG9wuavZuZfUVmnr0GBTWfC605LATCQUJzo4uw+0/4gStk835+TK5yxekqXZyv
Mkbsyt1nc2qHb2k2MogpG/cEf8B+zD0wI0THDOiVutZb92PJJZuaUt6iHf/MbjvcGcDXttZkfnWq
8jOQkJosXLdqj6PWXRZagakKX3SbUqrgFcvI8LQYQ73OxqhAnhIh4FzoeJQH8yrsjLy6KvBaTdNn
xPy1uRGKo9m2M1pSUnOtDsWEam1dH+Mvx8/RJGYbHWmuFaVNSyd5PQsVXUYEp5MrXpcufDXlALSf
tqP0zZIoIy+lW+P4SK/2QKdQJGoZq4ueNY6arybHAxJptNhVatmrW1BXfUgKcnUqRMIg9TwLABNr
B78BX4jdJVjZ01PghdNxxihG3eyBdF8PcTdZt91VeBtE8NzIRGxey6swV2qNrjS7XaZVu6PW70qt
5FVXTa9W9w7IfFHRJcf8Kv21yKQqD0MkyhDVm8pOiBCzfJt2+CpWZBy5tx1BlFvfrpMjJ16xbZt+
Wnm+YWxE4wUfHVkqd9UvJyK+jUPcd8k+D9jeI88ydm5EeRuaatpVTkbrC3rxpxnHxabM2ukUpD5d
vZ7MD3pRFDudk69ymbkXmtL5tvFyvAhTUq6DMXcIVyzbmyy3weKjGtqPEI/Woyjj22l0J65AthB/
WZju0cVhcYta13iZYmSrBWgpwiLKomtoFsY1hbJhl7usOXlq/oRfloAxCujjvETL1uVPnQrXrG9F
YZOF5TrGLDFEtxatcZJf/WNOv4+VSrYXO5T2E3AELK7ktm4SF9THWjWLwuUc1SS+Fnn+ulD64LTw
pxMmrGzFAoGrJ8io9ocE7KYfyh3dPLGal/GuWGL1jS4KOZs04HdESAOx9tNmwJDTfXEir914foI8
MvF0mpFlDseoVAUtrEie02L4rMlAOzJEx0O1tBNPaUS20Kpvpokk2jLtv1gVu83Wd/zu7JRRuBtj
8RgzGjnYRkmUu6n5nVWQ7QvfKFeo8A5dw2lLsMECwgZJKWjmHixZmUdT+YJIrjw5ehMRwXoAfPL6
yVyxYwe7rjEtQoxESOK9n9KoKx4ib4G41cX+nmKdfKJIk0rpPdW04gO07g1r7yTGgra51dLuESVn
wjhvN6a2fIt6bdSzpdYuj+ht0sSUgyYGr7yARgMxM9y4ZH7fqL6NiJtqT3NZtuT7zt074vEZHFgz
MR4o8ETYtMiXwUmOcsG2j0D3GLuSbims7yGffi9LgoxNOmZbaMXPtZDJMZBdfBgm7AplFNyNInro
u8q+s0viqoNhdC/AQMudNLq7WGUPg9kZlynJ7meu6w0oTounsbiL/XLZzV4esjWmsWuuvLHzCKVG
UunkYChQUxJ8K+lwPDs5/bhp4Lo+tEMae4TB9TTcVGfG9RaLkpAr6wpJpqejsOs7k8Yne8w5zG0S
hRyGy9QMjU9Tp6HLKS6JBZoQhDTOwprLPOeiIGHF74VQh8ZNH11fR70t19i3Dvs14wzaXWusYRDT
Mjpt+FFxFahrcpw5kGFu1ZaRbBqy8T7azTB/LGtzvvF1+tzQkkPXKgOz/Fj6UFiFovFhevnE0l9U
XAMEggel8+xEyYoZ5Ib3pnTaHfVcdoMFYbBXrk7DC5YBpJlZdvhS3C0EtGmnrul51mDsux78e6eC
djcFLYjJa+BeWbG85vS8MJkrpA14bOMXR0UNaCxA2LKhaYITB+5TKhfiKUwopasJ18y0YncDuFU7
jX2SzVAm296SmIsZow1hwHlpNHcuBAiaOSqBi9D5AxaonIO26gSAkCXoxuF4lSUXSW4cjWseIecy
qDyIMcIPwjW8fl33S5vucpeOcx2EjBsTe4CXroMOyY3+H/bOrTlxI4jCf8W171C6Cz1sqmKMvcZr
782bdfJCyaDAgJCERkLIvz7fCLOLsI03kR5SqejR4NbQGvVM95w+B4ZOaLbnn3qzdPWZ4nGB7ptT
in4MKPJCihEZLCiLdw+VjiKohjWaimXqgmeEDeRbCN3W2Ugiv7islBghay3vIABFalvaF2YG3ToS
5yjwKBQyp3/U7qB8R90RkXaEHjtCTgfmprO8sUqVxLIDWoX9JaQxl3Dea99GSjdymsCeDje6iZxk
UklLykWm9QVMT3cE74eBiZNgF9bv4VpA1dYlxTzliQK+DRegAE/hs4LtNcvn5Wma20Y/g98t6VvO
DILUlQTW7yxm+QBCyevELpJzT+lkFkox06nEM0Hf2J9kJakpqU1fWIqeAVk6c9irxDfDyConKEKi
lsye+yvqiO7VyIKaQDFAuO+lxtbsbDTVp941FLdm3yjdu0wJoCGLxEniFFG0UMmjGRtbu0w5Qk37
8Ng5v5uJxVEwmG8Qq4AtWEsM7zqcl2VgIP1BVVDoPvFUDEXR0SkhWM7dGhqbEnqVpYvc8AoGkTP6
7mEMyZA9L6PM/Axu2xzYThGdxpzfDjhc8y7AkOcDe7NeU1NZFzelhPxYwlpxOo8K4OD2Au6HRTLz
y1WByJIRx9a5LmJgZomegKg11hn8/xsBsDNbDToO2ufGWnMnAJc274EkPdz04KL9kiAnaveJ5/M/
40yXt4irhHdTXUMrExFqb0iP7mhIS442RCAWnBPz9UpbTZ1P5kNW9AstQRqHwvGg8wBhAuycyaBE
1IC9v+YMbOT3+jHtPQtC8zI6LxBNvZiHnehyo9FUkXhhcRvT+cUpYTrIkhXKDVNOq+cKVD9X8HqC
xBqSNDosYhemEbkm8pn078IeAzR/oUD6ZYXXXyjofqxA/IsKzi/Yo4RLbcUGCrD/rML9u1ULgGoG
WGfoUDpVh0CimgXWVd9AoVoIqqT2//z/1fyf7rOj+T9n4iA8a/RUTvU/O3inZnV56eAfACqm0QZG
Dr+Dd+o6H6lzCkU0Rfv4j8Tf7pL2G6T8lqv07VS5YAfx1JT4HUScWg/IIj1Bxt9J/A/g2uCIbXBB
AJh1AKXk/aossEexO8oLXdijVXGTLydTGZ7Nwvs9bzwD66wD9MDVHNzgoK6QbsxwmWy4QW/ucOC9
PM09X6xvhMfBxCuovAr29gP5ojA8oM5BvposPcBgDwE9pS710A4tHTR/yJkUrSP0vmpOSVHBgNbp
DznfTHvjGWpfGViGxJAoVMacZIpoCOplNV1OQDP03CkJpTXTPPdilE5VAS7KA9HTKJi+z1P0oKwr
4G4Pl6H05qP0tjfXyiuw6PHotlxl53ND2EPJluHjnAwU6VBoO6KsT6yi8mumcEobaweKdgQETY8e
r3C5mi2+0KQyXQM4QdbYjc8YBOu6oI4oT6PcGKagvL+W4BqvwtEqh/mCPpXiHN6U0FxeuRl8JfbG
IQrqCGj80Yk1h9ZGuCxOe6z2ffD6lvnB6rjJw9U882adLwVtvlY0MNdT9EaSfgbh1mZ04YapkFuc
4n8majz+EKVoOaikmz7lQVp+DmQeZnKnRq4+/RiLKLuN/9mXjhs6CfZEo8ZxHmVqBBzaHChq8ubW
qpDVkKrxHrMQ+hk8rJPg7RvT69rAN1zVHFNd8FiEMYJ32487HqhyMKUOWhCKwhTC+P0V4pgTjv++
rTePf6f2C/wJAfVMyCwV42w/rtLeCxD3Z5xwYGLPCW4XGhHKsCBaqwtY9L4TSPm6oKFpOLa2TK7b
G+7Nk5dmwvEf2J4TTPBiBOlmXtDRYzV7Vk9nFVHXgReYChwfwbiusN7q2lbA/0VeYOAKsd7IC0av
a3s2CHiF/FfXgRd6RldRa9Fg9PgFXhhu+C/yAsQNT5R5XwgLL74RltGlf4mWORNQlroOwoJrd9m2
QAvLqUB1sYD/rBd+wlXfo2x/JsJJFV9FIJ8Lwy99YffiPf38MapcTt6+YXPzfZdUfVFt+7b3/hF+
f6k5qXrQex/uHvz+vz/+wKe3fnZQuz++E0Hqp2MUtKrI/zjMG39JlP419O/9pb8f9nhHeSY/RvL2
TW2ce2/BK4bl4sCu6pZobDelhSOqG4YDrQ3DCz+SvtxZUo+RigAvadMh9/0QFZv0gHVqu7o0tg1V
SupP4t0o1ahpKeKlaW4ZJtxxJsZ5bVGkQER0bmr8LAj9wk+DnSU1bJShWnD2biE/if88YTOdL+/r
opZ0vrUwC8/xupjUZ+F2iWjqmYsghqGsbpl4yOaoqeV3eFyInZ1qepuOav5qavhy4s9qE1BHgLOF
EHIJTjSKRf2N5ECnhfl3GU0QW6p7WbG9teCMuDgwSydPc7NXT2MTTYt6C4Z5+vl4Ue4sVfPCwcu7
PzxbsPi+ETq2BLyPcyGfuNljf9Pc9rUvolr04OykjeXl2k/LJ+p6GvuyNoYspT+e5TLIstqcNhCY
bMMlYjwTU7+expFgtPCGXwvFih5ntZlNg67iRmwaPa6FhG5FgsirxSYI3rSWrMd5emi6lYHHUXYQ
Q2iP73nNXXIT3Ke0VtS9bXA83YbptV9ft6hIqSpc08d4ExQn7/xlImeivqxj32vh7VH2h0Eqg3I3
VhWpyEj0loxfBxsxri1jGFdJXxue+R36op2lx3GrTKqx6TjNZid9P41ZKevTxXT01m5w5i8O333o
UVvYknyYibrHLWZLc7d8WITsSOpZDR3vXgtB9kMaTA8rZeSqzcf88RUR9r2i3T9Jx15Tjm1o/kuc
vzARKR/pLTzS7Q2eTkRlvoX94FHZj4a+uQ029azysaTW9OX/mvmz3bxTMQUudKOFtf63IEXcvJbz
mSzFLQTCZ1GrUCO3EEiO8540fIDfXoPcNrUv5DiOpKjt3GCRVszOTSfJt5ePC4+O+rlK0/da5NP6
067e/Ny/1Ytr6hvjMPDTX/4CAAD//w==</cx:binary>
              </cx:geoCache>
            </cx:geography>
          </cx:layoutPr>
          <cx:valueColors>
            <cx:minColor>
              <a:schemeClr val="accent6">
                <a:lumMod val="20000"/>
                <a:lumOff val="80000"/>
              </a:schemeClr>
            </cx:minColor>
            <cx:midColor>
              <a:schemeClr val="accent6">
                <a:lumMod val="60000"/>
                <a:lumOff val="40000"/>
              </a:schemeClr>
            </cx:midColor>
            <cx:maxColor>
              <a:srgbClr val="42573E"/>
            </cx:maxColor>
          </cx:valueColors>
          <cx:valueColorPositions count="3"/>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30C10893-C114-42D7-93E9-ED2F715E1D94}">
          <cx:tx>
            <cx:txData>
              <cx:f>_xlchart.v5.6</cx:f>
              <cx:v>Revenue</cx:v>
            </cx:txData>
          </cx:tx>
          <cx:spPr>
            <a:solidFill>
              <a:schemeClr val="bg2">
                <a:lumMod val="75000"/>
              </a:schemeClr>
            </a:solidFill>
          </cx:spPr>
          <cx:dataId val="0"/>
          <cx:layoutPr>
            <cx:regionLabelLayout val="showAll"/>
            <cx:geography cultureLanguage="en-GB" cultureRegion="GB" attribution="Powered by Bing">
              <cx:geoCache provider="{E9337A44-BEBE-4D9F-B70C-5C5E7DAFC167}">
                <cx:binary>1Htrb9xGtu1fMfz50Kl3sQaTAS7Z3Wo9LNuyrMT5QsiWwuKzyOKbv/4sSk4mkh3nBnNxgRFidbqb
ZFXt59prb/3z8/yPz+X9rX8xV2Xd/ePz/ONL2/fNP374ofts76vb7lWVffauc7/2rz676gf366/Z
5/sf7vztlNXpD4xQ8cNne+v7+/nlv/6Jp6X37sJ9vu0zV78b7v1ydd8NZd9957tvfvXi9q7K6l3W
9T773NMfX8a3Zfar83V2+/LFfd1n/XK9NPc/vnxy3csXPzx/2lcrvyixuX64w71cv2JSKGWoIQ8/
9OWL0tXpl68DSs0rRTXTVFDz8PPb2pe3Fe7/957+58WHOuvv716872/7++63y761xYcN3t7d+fuu
wykfXr/7qCcnxJX/5+WLz26o+022KcT848tna2edix8viN12zA/vH+Tyw1Pt/Oufzz6ApJ598gcF
PhfrX331lf4OpfPZ3f9D5bHwlTRSUsEfdUeeKS9kr0SouWDhlwv4b1p5VN6XDf3Hmvuz5zxT2+Hi
v1Jtl/fTi4/OF7/J7lsW/fecTrBXhhsmOGePioNe/uh0Wr5S+EYqKh59Tv229qPeftvRf6y4P33Q
M81dfvyv1Nz1/Xz73UD099TG6SuheChCSr8ZK415xaFSozV7VFv4VG0P2/mPdfbtpzxT2PXP/xUK
+34Q/2OOe3Ll381x5pUkXGrB9TfdDXojNOSKmy/uJp7q7Vlu+fNtfTuvPbv9yUn+PyWuP09qv2OD
3W1/u38AFX/Ia9//9reE+OzW72GTR9md3v34knFFka5+ByvbQ77c+SXIOd/bF/Gtd2VW/540/3Dr
/W3X//gyQLAUkiktQiU1Y0oiWE73D1+F4hVnVAkCiKZEKDgcst4eC9yjXskwpDyUIeEMt+Guzg0P
X/FXuJSGhnEjCTWS/w7r3rpySV39u1i+vH9RD9Vbl9V99+NLTeTLF83jddtmpTBUMM6NloqFlHCN
YN98vr0CdsTl9H90MbeVL7v8OPehbSJqCqt3a5e2046N3sz7fmyIi0KirTpN2JKK05rVJozV2g11
zCaVzwe+zlWxd9Kl7TEoHZ181Ix1RSJieQccKcOLJbHitHE9vXSyFKe9GCiLFpa3H8tG8dMxo0kZ
TXkZlFFRzlNUrSa8MDZxH+subD42ZE38fsy7rImmmoYX1DJxW/uRXlamCuoYqFGpaHAsbE5Yqa3f
d0Ww3cKTqoqLPFvesrY3NwOnWHhqSJBFfRfOV+kszU2V0fnK54yfJkVVJRFvZu3fpKwu3JmT3oVn
yujurgsJvS7rqkgjausgpnVaZnEjlvntUs58iIvB4BiNEV5FjKX+SCin10RQeavZPL91LhiOfLT8
wzqF89uaO3/sOHFdpKqOXqasxfkbnSY3uSrx6LbNmi7SJu+6k8as3V3uM0igFo5dZ13ZfORJS8Zo
5h6XiZm688pJebukuC8aUmxA0gm7nUqsRnjKrvPEuioeuLJrpMyMU4sCa4YFbz6WOcHZTSnXMRom
wi+VyKrz2mp7yYsgvwjHhEZ+yubXeZKNp9yZ4rTONO7RwSZPNSd5GlVzFagd7BqfPCq0JGnhd2mW
mBs2bBoel2F+C5V23c9qcct8MTXJQndzwfJqR7qyyN4FFcMR3JLjKc1o8TvsynKNZTlALlMeYI92
DsokmhYRyFgHOs1O2r6S47EpKkt+8qoT/FBWa+CicVp/tckASZCxNjdLOV31aycPS22ViMskS25W
1uXv9CiMiMq5DeKGVuy6FjDA2U6b1VYw9GIWQ3JYmhRPWhOG39om2JvdjKgnfH5r1YT3uh9hDcx3
0KzhveZ7s0h+Ggo6iNel1n0bN2kH4wtYaXfJyOB6emr6Oy3MlO5J39BLO7VwQm1mKNg1IWFRaNJO
RUXe1MtZnZsiiwtTltV+hImqiMItL1xjlDjqPOGnQT4yHi8Tx76zdcjWqCqS+YqTtE6ieqpgMQkd
urt5FliyXgPobtzsZDFz83HYVBTynp9Wcmg+hrTDw/qWZCdGMrPXos5OlnE0+0bQ5qNv8uTmwYSz
QEO+RefO3ebs+WakiRrnq4kPEMnE0uXtnMIVqpW5c2HzujgwJcwNoAsE17uG87gpQxjMoIk7L2uF
jx9cYiib7ERlC4S32AHKJggcGc3aj6v2/tjKprI7NSh6LSaX3AQ5GYOo6XLrorxNq7j0Gs6p3GL2
Kwuzk9LKaYymrMJxSCZOs26GQluy4KqQEBhYwOHkXTFCPokX9HpkPU5NVkQQwQg/1daZi8mV5mJt
FVTYZwue4Bqar1EZhD6MB91Z/jZvx1TvAt8tiKfpanakbPRRSU8OpMzNhWznYMcnG/hodgXOy2ef
Toe1Wwa7N3CKJGK+woZWjohVMTfZq6Wbm9dpPph9trTZCV/gy4VBeA7rIjD7ipZ4jlCVOC2KMdzl
PUIGIQm97mUzQIKVmK8aGHoWMVu0HwuStEdDu/Qk6S271hw2r4pySg6hzf36vjNGiuM8IETyFQee
iwIWFRgGRZUsoNcJWdfmLHVaznteV6U9q5I8O8nJmp0MghVrPE7QUpkl4rbLGEIzTRbYVBIKGPii
VqjVd6W8JZOBh881pdftsNDrXC7Tsit8xeuoIg72Qrve7F0NK53MCI+oVEsvM2fodVVR7CevmjTZ
j2azHE1Lt5yJ3OPxLE26u7Rw2UlmJazbYAm+2Z7PJM3PRTP440A1aQ8PNi+YwE2kx5lj1m72P2hF
L4dsNDeoezXOSbawN0607d+NrSzmA8k6xDff9eGutHyzR7N0Ydy0obkJ+ApFPoa0vKNZtWv0BFOS
SeiH0zzs2iBqRzH5fUMD+lYoeFdZFiaPhwni5eV8ePC4agzFzVT3M43nVnp7eIiszlmqTiYbtjc0
43V9M6XpUvwkJ444UYotStFxyk6E7eWtKSezz4e2ekftwOIwre9qO5tT3zRbMmjJlpyTFBHYlCu9
nFaJQFYCPwxx6MKGRrO1NbVv2GKXI8IPr6YdTQdAiAgIxdFYudWcV3XX24jpZE4hksyU79a8vM9J
VuowLvsgvUEq9ce6lxVUVBN4TTHMiLXwSb+zCDEuCiYm85i3Xt25urpxKfVnJpkHMkVLOM3AIdxf
MxGeOrMlok7V5XW2pM05ckz4ltaaJPDdkR98y7OopbS/BBx35yDF0ngMU/sh060so6VOfml7tg+Y
ay86YmTsex0TncMHoqGiVTAd+3457ezQnOvc+Cp5S6xwsTH9T3U7HJqmaw+B0uZtI8Yor/RVwoQk
Py2qbALkCVep5JRSVyGq5vBw0F67lZOB7RrSVDum2FrHuutlGqlW5HHjWHWktE1tlIkmjANR8ENR
s9FEOlsPZJinM5nboogDPS1jxOrGLodFLaU+Gpilj9NukDPEb815z8X6Jpx7fdblBmkum9tjNgdN
H1UT/SDo6F4HRNVvsrUIzzRLYL1UAJTY0O3TMG9sRJqZRXmhh3M/j+S15inhURfI+bYULv+w6OqD
yHVbXpRtJ961ha33Qd9NYSxWbw7hyMdfu8WbTzbsy6ibDItWGNm+lTrbhX7xhyXIzZGM7bhb5r7a
V2Ez21iIvIgG3uWvQ2/z5TXkpe7yPqwP6zAlyOMZ2afZ9MGYvDkUmfYnOpl+GZM5llmuP6XtvFxZ
udQ7WrbswAudR6yX/l1HIFZlarWXczV/zgd2HeQ6iejUda/DzK7vqnWRsdNDdXBLIE4SM+qLxmRi
n7bddWuGII+8AjLad1XrXvdrghBVVMAnk232KXDD2VB5esY6Hxylcd1pYQZx4fhKYgit3o9FK9/P
yrlobttwH5i1iHJErAgWUrwVbb7TQJ3BWtA3SAILIN9YH9IwUKel58u71PGY17w+sqDzJ+GWIfjS
jLs5NcNRFlBYly3Bxy6Z213eePN6zeW7IavYrq9rclX4PLxwS9l/YDMLLpaqKdsoCDXum4BdP/Vj
aYBLGFvP+rluT/Ksdz/ngO+Ad0M1ZrBvVlwzn4RHPfHgkqiWxMi8eleE4jBouRxyV1SnE9H6Niiq
n+egLcqI6rKKR++7Q6BhNtGiJxItaz+ckKSwsQyLNkbwT3erLJGIUtufjrW8a2wq9qynU0wbUm7R
ip4uuee3iSdNu0tcN/8MRLwHuvZAghmpd0tBin3fCnWdtIgoiPy+2meOZlGQMX0k3cxPKlsuu44t
C5RW0unCDoGmUcOH3AwIJKGH7HpJrsapKOk+laVfgMXbdc6vsoTOQ0TzSpRHvXZjeofgnx5sztrd
GtJmlwRj3cSpTVYfuZQnJ72yAQKTz9QxLIbpJig6FiLtJUxF2UDtzjc9KhDb7rXy7nXWwS8y3k83
jQrL01UtNjJ+KQ7r2q/7wRK8zXV2UKwkH6Z0DmHivHIiOMvkBvwQSKvMfDaGpxdpW13ase9+CqwZ
zisfvlZF3cVIXsn7amDkZzN1ykcDapf+rGjbJfupU81ATqtCmf4saOnKhiOiljlww4d22uc0AHJK
Ubglb5LeTECzo0MZIjMXfkzaEkE9yfOpWRC+F2KSSFK/8hOd526VMStFQKK0C8iUxqkkA/8Y2gpZ
lw35ouIwC3l60FMiq/OWeHxeOECuHZFVH8J6mPF7OQCDWm+BtuqpAxBRo0BuytqmXM4IXeerhU30
Gli0jKt2Aiw3AfDZHyr+bxTPfKuNn9bOqOeFNEqFVBFJUaU/qZ1H0vjKt/bYqBQJM3WAgkNkpsnr
GUGad/X7xpahOF0csuhu5q4rzkbBxqtBjKaL7DiZG0IWgHfxkKZpD1QdZMB0qViBJrK0AwRI3AYp
ttKzNqT0u6BKULwV2s/D6wWEwt0jRs6qab4a1q0oqZdmvrJJlubRmK/z2y2t3GZ1YS7qtQuLIpK6
ASD7vjiY/locaMUIRVHGCGUE+Iw/isPSoM2WUQcn3EqohLm1tmfhsCGvesbuYYfmYmHhGLyv2Ypa
bq4strVkw/p+NgrSSjkFWJJrUMZ5KfC/EBZ+zxrEx/6hWuWswfkmn6NoHKYhzY4uRUEeZ7oZ0306
tv64LhVWl6xALamKZeyiEPjk7vuHpeyrw0qtqdRgygnR6EE9Pexo0izgQVge62SsfGSWeehiq4oG
UAdtERy5qeq9mrv2thLFctX2YBhaiwo8c7O/qur2L8RPv2WNhAswhUJziuT5dEeBbIN1QLY/+jwA
2FOBmq96EEk3HYgZCCHYitaJse5OUM1PmxFVQT05X55Qj0Qad12zVU4oR74vqk3tT71EgN0MGXim
rVHHnpnFYJMya/osPybOwHor5/j80yrWoftZLOvaHkRlANpdLctCRVMBjPr9DXxDVyLk6FZQoUOO
XYBB/aNhTlZRt7I+PcrZhGmU1F2a7QZDE3ZJg86mqMmS5iTjmU3P+yZZ632juuQyrXt6HZKBXgpX
oPj6/q6+IRbDQy4JqlslwMo/3VTNh8TZXKTHOkCF1M4Ayfs5cyjdRnBIcZ8xFAhDtaKGCMa0QQ/k
d7byG7HrITY90wqWV9s/VKpUkGfLL7oY6nGFTJYSjEFO26UBMGvDKodC7CIDFJtTyK8LnQSndKtS
a1GK/HwUbcPeCLWMxRqRok/tsd+IpqZN6/zXLpEo9WsOPPKw4S/c75cdP1KXn12DPIjk/uztv65d
hf8emqC/X/NA8/773evfmuHfverk3m00bvf8om03vz8Lq3/Z3cb+PnnzFRX9J2TzY2/9T758wkQ/
4d1/I/gf6GQBa/1ds1/x0M/o+z8w2Nt9X0hopV4ZzTkYaPQR4AXkdxIaceuVpMyQ0HCJTnsIK/3C
QWv6iktEEsVBDDPQxl8IaBqiPcgk+u0U7mwQ8f8OAf2MfiZInoJwIjnaiZSG+lkKLZRF0TUH46UF
XctttFaTVr80nayHd0sQAjL/QTrfsPtvrSeJeGy1KKWemb2e54Yy+PTlWnnJ2mhObZtHxBWZdFuN
moLr/10b/xfraRrSMMT5tia3ANv/1M34lFBaj1l+CWZ0y3tFvhC200UJSrDuWo0jf3/BZ6BkUyFl
xCiKYLt59/NwW9Lc1+B85X1Ikx5IgjUCNX1MmjFbQVsMTXErAJO7Q90u3SJ2EL+0cxy4hHxKay/A
eDk2F/rMoHAadoUJ6vY4marsXpeyaoIlcsUsm0+y6PPZ7QKlypzHqdaC3uvZLcNVaZGwb8NQNsln
XvFWXaYKyIxHFd3YkVg00ldvLCX9VO/SUvoCRO8kq+qC6qXdwA9onOWcgfDJfw26EfDnL3LlU6QC
bELQ3zbAboBuMGPyTCuaVtlgUdzeJ5Or8/bYA8eLYynGzusjmh99NsVr1mDgpSQJuKrD93X0LCFh
fa3RaUGLPeTQFDbz1CrWnIedIiq7y2mx0TO94xKWYAwL2vzg5yn1/c7bPhU2CkSwNvXbSfClYzEV
q5r4GaqJuisi51ru6aWRIeipv5DR5nn/ThDwEHSL0bUy6IQhc8LPn+5xtlnArOfBnQr8CJtNV53q
9gA423MS1b5X6pdCkqQ//b5wnulmWxccO3plyIwm5M/XbYbFaRfw8C5dYHMqAsguu5+tSFgN+JJn
Q/amTjAi1UfWOrTO/sJ/zFfHBlahgCtGyJDBh54eO5VjFpDZ8jtUqLrlKA2JkrdwpKA/dWumy8ss
oI6+5kW7DO+LDjwxam2blRDK9wXxNFRBAegbilBKdA4VpMGfKaBXGcmXok4+J2atpT9xbVMlyz5I
qs4sJwvKU2jl+0t+ffhQh4AjaDsagobzs+gIOiMpEaD8nVATvPywULXS4iD9NHRin4WJUL949NgQ
ODulEagdWdAk3I+ZI830F4bwDNBuAjBEwEvgqBz5KXy2m9SAszBNH3yymddVgA4leACL/pKzGLAa
plysIs6qbmFNNKNfil3JjNjhfdWofInrgPr6vals5etdK51nV2Au6u7T92X2FMcJTSknQhABwhdJ
EXTxU4MBDRWiRl3nT7PvPYyADAWBsMg8cWCo2XOE/YYV7eY0/eS2l6xJh78rLErRZFacKIP2sEBo
e7qNsGVdv3TKfapLGSCG54he64ROG+kXec4TibjfpYMvbqtc1oiovgE/JY9hkAdjEbUW0XaL/IvF
XXW2luO5mIsGvcLvi4s+tzHM7HGl0RIPGTSM0vnpRmc+1Y2pV/6pA/URVPu875pyeNuufdbU8dQu
aIGC0qxGfOeWtnLLLizWJXg/NU1y2hlf5mlcrStZzivb1j16WYaopI8HSYLySlUmXasY3fMZIZEF
+ULrM7IatB3jIkvQU/sLN6WYC3gSKBkKXqOMQitXKpR2zyIGLLNux3psftHSyVzGDQk3ZJEkgzE+
pqvecE2yPEbPEq2QdqNaEE4amoT4ap56rtrDMPG/dmjxPIozwDcDR0JTG0j/K7Mo5qIDW+CaXxoP
L2r3vANB95pRy5dz3g0LxGGSsVxvKjsvi44G66fWxgj4k7pK2zUJjr4S+Xrjg6FTl2GmNoAwi7Eq
zUkxyE09ruMGJoTSX45Xjc+L9WYtVTEVESnLLWmB+Q+gIFcbiw85wP96E1bzDN1xmS946VaSomXS
yI53B6WHTXcg1DIAjPZhedRtwTJFoZtzPAKtDoKdZ0G9YYO+kVVxO4P6b5uDGT0d3wvu1v7C+yLx
ETqknlVxkCbVfEwFkuvHOqwTcTOSkcLINPjE/NexrdF6/AvbeB7CIX0NhhPjO0IryZ8TRDxZ6pSa
pvxlpVXn02hmRKPtOrnclacbk4ZA8X33eh6NwL8Iwijy9kbBfLVi50lnp4pPH/k6bMY4DWILf6zT
BZK3QpNK/ZLkfIURTmzou/S1RmCBnX5/G1t98MQpuFaKbUMlkhF0X/gzp1j5OLSBUdVNJeqq5+jr
DjK4d61tEY1s0dV07xPtsrdjF6aIOI3F8AhaDT0bMWyi9VSOUc/S9rxMQvUe8w1luKBtQNV41YcB
wWSEXGdMO8wzmNCciAStKpGgxoCzWwI7dKMFujhN8qLfPH8Ukr/BpI0GJ8kLz+fxr0iGZ3Et5EhQ
26QO24qsrwvqQiW2ntpOfxiHmgDESu8ZQOy4bnYL0kyIo6UTyP5oLgzHS9o/INtANZtJg3WeWPI+
QUsA+2VthgLlmDWMbyGyXTtCD205Nl12ssqlgNclU7VharqEFbxTowX5peR+nDL+Ru3CnkW2EAgo
RNpEVNv4E0qeheoWbdzV5TX7EPaWw7f6Jt020Ad82Fz3wY/Bji3YW4JZDLg4YuUWUnzTItEElgLG
01luH7m26IrbEqS1OGYTJizaqF0mpy43fn45zzAohMcsaaW6QxFozw9NiLZdhwGGusFx/8I+n6FM
HM1QjB5TuAqRoCufHa2fC/QiBrd84Om4RaretzAtkJKZ+9yTsGB1tPSuXW80q7f8WAWOQiGzqsp0
2a+Von16MDwYpg9AqR7imHTOYX18XBFN6iwwMDExlc0W3QaEzWPGmglhrQciwYJZnxC8Q41FIYoq
FRBF32sb9NuISw6XsGj8492jfLZQWPyt2hQTZwrzoEDaMkQdT76CunRaweKoNrgeK+0QHR7hLbPh
PBYxKkub1n8VFp6lo21JsVFemMzAP6Cmp8mf5A4QErNV191AYSH90vcwKOR+yEfkjXByn0yBm9F6
LPkCgZdjUgOyIOhBSpOfy/6tVl2Y5IekFyGCARxyvPKYX0YGqAI4PvpVSFRf1IYxthqinMuwhq/A
izZ1pMW8KSLIMwy1xGbJzXhFXOWwE7lNNdwUqt/q1O+bnDD8aUzE4bckgCBB8ecKX1dUgINdkJJ5
ubYWTeEk6gcMXcXJRJL8Et1f4Zd9a71qwsgwZnIbed9m7RkpBz7LCMMtbXDu0yoQr5PKah63k5vT
z+imk+OUDELtCl278k7k5QqC2akKfyOy0nJ6I0ZK5nUX5rWRTdwCP3bDYZpkOF6ie5HMDtNnpKIX
nHhqdnXtDY3zuR88phXmsF3zyNajF3OczsUIZxhXPy1lNAcyF/nBMAw1vVdlv4g0JjMFLY9ZtcnS
BPgtSfvT3mogs1iv5bSuKGthis3pXCzJELVdk6vDaHTKd7IK5vV6Uo5lN4Mo02THRc9ovKA+dUuk
0r4zO5OxqUDTqEyPmvF+1zoyreeJqQk5oROGAg9p0IWW7JvCVeLDIse0CD4YR+b5eu5n3r8Our4O
rpAx9HCHsSnlP6x6TGsXNc5R270z81oWJ0kGduOwOhFWLjKF48zG2q/gRz/RKg/rO8saN847mMrS
3puhnyYSY1Sgo/mxT+pWhjvUAbJUJ0kVFOrSUB0UxcmoGtaV9t6GNe8h5RkzoF68XrkbYdIr9V1j
33FFekX2dS2aRp+iK5fZ8qKWc9Gm+3xM+2m8mCSGM7JDIqppkFdJzXh7qnJh0/AAW1G8wMzcSpDW
yy7MJhOlgVBtv7OJX/PldELvzWYnmLJAtsEM2SQQYMcmG+TPmE9UsjuFcUxBEk8csAUTLw1Ql4n6
BdNH6k3JtMZL//hhkGWYJYmIQVXv49V1ov20Dq1h41mufJOyI52DQOt4yWUx6JO5zmlVRlKMW14k
MshwnJRLJJXbOVkUMXEurZHpm2Vqpka/zZMgn8qDLnjAmtNiWEw4vlE5l5mJWmM2TkL7XtriBmOT
SbCeC1F2kFSwtAjZrxG1WyvPA554XV5gWCyj5Vv0JvMw2U85AkG6dxnl2DtC1ralZQxKwvYYEFiy
dkeaIvfok/QkkPXPDBOhWK/KS2M+DGnYYmQJdTAky8IhQwaJKdq8eAj2D8gStS2m99hO2A6njxtL
a64OuZ02ifGyL/DiOtuDF6z0FvLF2Kehjs3UOxjAWgNvnPQYNcF1zeNRMbyzQnxtrvGDXNIlWK20
dOMWabaphzbCMvkTLedNzrUwGH3aBUPgoYqgLkIr7jFwYFBxYJQUSCueQrroNs5CK4cAGhRDO9z0
eT1kNeQV2NWd2GEVdH4d5nrbcgZNN+t7BcvCChxftZ+SYN4MTHlMhI1ncgnwWWmqTTTjSHEpUmzY
TtjDWHdYNv5yHu85bz+BcLP4TM6NU+8LKRLDYzEZEECY/MNYE9l/sZ5k7QweqfNgO1zSLw/CGGA1
Pv6CcY1c5faOd7LAvEjmg/dfRB08Xv6bkB+vA1PAiteaNRU2QOvAjp+KTDWZP8lqvuDQLcNwcxml
jKcZeY8CPHUmko+KcuvYw9RQeQ8+Pa2pWRIZ0cKOi3pjqsFBSiOrSlzCGnBsPgbNkWCApyDLBnrT
CqOU8FGdkvaTeZSga+BBiGuPZ7IsQ42GWaBaTfSIiaatOiePqn00D5UUJeSDSV3csZe63A4/Y1wA
dopZqW0ZK6zCh4trMcT9YQ0yMfRnOCnfxPtoSCvGPbFLHHJ7Cs18h/vwRwsc1oUZrm3rjwIN1mnF
G1dyJ/Q+IBKM9unKpJ6bk3RjtMh+ygb3v+ydWVPcSLeuf5F2aB5uJVUVFFCAMRj7JsNgt4bUkErN
+vX7kfHe5+vuE91x7s9NE2GoKkmVuXKtd2r2dPQL8Fb9zPdbTIHdvVl+1rB8eo+OlZvXyHT8e6RW
+8W19rT/cKcs5Ee1a8F2Dbi3X38z+lk+PyPYqrLi2GQ7gZx3jpU5V7JfA2u4cT7WSlH20RCcfj/y
qJw0l7MUjuRNOAFaPrxUheScn6xu881nOrcynFLVGRDvidlngg9HVIXNMR0qBbZZARgA2fA15eN1
0Gb7dh45X/k3uY5+GR4lzeKynp2or5b2anBbE715FblVPcWiz5jzrcga+ft86Hp+0DR61aXuRv67
/mI7PHO2gIo6sPzqMslBAArAcPPpVp6104vfiIUpQKzbvvbniFJeHhens6kwyKKqMTxUNUdsfViM
RkT9tRdxVC1fTX8pqTdZ1bZSXv2Gk8uhynV5HPOKefd9ddFIO1eqzHkcJ+fXnunasOKB9WKWYntx
kIDNw3OHOnX2r4aPW18QIvOIUMlvkjuS2dx7B38zLarcoN398VkQLTxM8Kp9iX/gp2EvZ56ANdr7
/Q5FYfNDs8D5+64ACjXiotrAlSP0ok0UA1msfn3nKEvzF/5q7TPs5I09iNoHyLJZqHLEcWw6Lezr
THQb77F9QG+CsRzUsPNcCV4qLMnoW9fMTk0yVAAT3g36ln0/De5cAMJnMhwolY4vVs68fqXSlEdm
vf3hjYWzQwX2GEqw+LJqMl4Oa85dfp1pz4RxnkWvdXGJnHIHKduR4+4ukMLxh0cXGGsVB9Txxpof
/Vl5VZ8CXUAXxQEgkP/NRfnASM5hGPHlbwaiOXH0m3o/NmpP7MtN29pi8X08SdS8INFOYRbOdEad
WYvgUSKJM540zTSowqa6yP9GvQWkNWa18QRK19zvQajGoPj/5r8Q0O1oLvxOO6tviFXzznpzl8qv
Lr7fqVUcXbvtB+OPubDKRRw40ZzKi/sK/NtIwsoK9AuI5CyHz2bWlVmWCG91cjjggN6m+xFNxdTZ
6NBCoImTluNUR4lhb7182dzRRgM2cjosDPtII+kpg8CLRmtklddlZCcT/2gEE9p4mKkl/X0nH99l
p0oA4sTznHW/rV/lpqqmvf5Fa7ZXE7r/ffMWfb3/RfMLvRelvf+bZ5kGf7Fm6/6HwgGdQEc/Nju3
UVRCsZUzukVx2YbVUoeSjbrvyqjef/N7ydJTUokidCL86gMP38upkSV6WbUToMjXZvgw5kE2t/Fs
NqDnKB5EZF/PXbPv8szYdjiwhyfih0tbNlx3m8n6dk34hwu45X7lkJO89PcHeTriSEO3zZf9MbE1
RbkFqAcbNbqP8qNgyQ+gscPzw2owqm4HIXvta9dN6wzJoojzzh+Np7HwFPc8zLB407mws72Ny92F
zwimar+s8deGM1rJORILb9w3ubJ3mhH5yLKvyUCgOipiL++buj7kZcVuPH48EHDgvejJ0N9bLLe3
jPImtx0EwP8CfP1loAfLoT6wgm2Km2/9DVbOBzgE8Gr7KW9bn6sOsmxhN8y4jS6d4e47qJoAXvJ4
Krr92v9luvvzbLd/vL8TJwiD0YH9jefV49Iacx8AVX2UxhIMmKtgDmAn/fNH/QVoYjeZ0Nd8FpAV
//V36O0/HFszIslQ0Er+zxox5dK2SaeE694HEZwVFRkzAj/GouQbbl3t8pX9Lo7/fC1/hvk802T9
hBbsto++gHX+F45KTI4NfFtmT9HugPtWeNbej/c9vu/D1tI6/9tz/vsH4l4FOPAxwAEuRn/BFWWu
TauqTfGpWxoOikxy4l8Hq6TM/d7Z/3yD1k4y/R8adL9DsFvTC1AF2BZ01F8+cKmQ6DRD5X/6XTHm
fNtB+9V3Vs87LojUpmOJZkg/jrOzlmk9Nns9dzSlweg3l/PoX67ozyudK2KUwpoANYrjAojuL7TY
irh7Dlan+1R9bKqZvo49voxSUNeLcCr4CnJ33IUGkcPhQGth5PuFlMrpRnwYHZP90aud1jPjhdKy
JpT6jj9nfwicFKvDPJnMH3yW+iiz/3wTO87zH0+V64ctQfSEKAWWEXjxL2t43ZZCb568ChpDSzS7
dR0433zN9/tvK+bvH4XAJIRwCl0G0+CvxFgt7HodMz+7+jg5J49hntu2u5of/3xXf6GCeHcEBege
bbQetK1/E4Q25pCLclHRu1mCqv5eBbYv985GO/U+/cwhxsjErF1tB3GA85LKXdE59cngNEvwXM4m
e/ZfrutD0fAfDxzIjUeA2hetFzsx/CvrZprQG0GR9ye92WbeH2wPFT+trOnaY/tHvzXwwknbZ0CU
UVyLjaErxoowWPUNhx7SoCxppQJAubVdRnjzoRZelrVXK0es117EUkhrWRNhw9x87buuZprAT+k2
3aGuEKUOidmafl+j9fdArG4dvIqO/xB90GLSp6d37kVTW91yJ7N8ilCejJNfWEALJYqHK/r1AEFc
ZaBmb9Lf53xg8LI8lh+nM41uSM31f1WDj45d/nqac17bVEAmrP00nSfboC9s7ZB2u7FHHjedij8G
Fwf7EW9gfLQICo6R781UobUVseyH2triptdRU6S+CqpyjP8HOeg4fbBIfPQDvxoRCKqZ57t14X4W
Bt0EQEOLLn37oMKWj6wlzfl0NgH9iyyplrpnLAEWr8rq2aF7jHBfrkPkquvSN419pu4nDVy5fowz
0bz2TpfmyLxBLwEyAsD6uMyHsBWJMbbZbNZx5yDCsR+iLsJohHEBLXP32VujaWuxggGvNimtFALF
S4tVo/U/FwrQNktZ57Dyx1xjlymT2qJ3+2NlguvDs+cvs/3N8pZ1CC+gT0I9NpgvpH0oGwTdDJQm
Y8eAeQYjkn1o2pXvNp0Xe9NrbBoM+FNCh2N5YbK6q5hvZdQP/RbD6s4FQ2kUaujFIjf7k2tWw/zm
m7VcsSK49K34v4Km1q8NAIYxxoiyd+bqdyfbQStn/m1YU/7KY5NXvj3SjP5qV8CP93ZrbYa9dn8s
jepXU9UEiE5pTCOEJSqetOnXWFx7bGxchi0lVmFpTNFnamEbPqkmMqojfubMi/Msm5+8tfDKdC1m
cSrcybkqTGe7rnHIXAEItJ8C7dvJEnn5JSiGygR6nfRnwaK+crNdk8vuy99KrarXzCzadEGSykhX
OcOJmRFkxm68m1CZ31rJdmxm5d/6c6HSwM1zvl3T0McyWNxD2RbjPdaqwTzQ3A6HcMUsxor16/dc
jU+25aob7RrZTT31w8HrQXLRc2QYt8YozaM5fMT40UGPq+JH0XcC6xoy5tVtmtQTUXcON7s+rqKB
TG2U5/LW4dokbtkEx5m3vA4Za9700o4n5APiRxfJ6iQXq9riNSo9XBFm+6RcIO64AunosVW22fO8
bOH3ymg8JuKx/jyHdnEw7cE8u2aUF3FrGM6tC9p11EPf/Oxx5zyCwRXIfgYn+mHBmDAWWMr6NNll
XhzV2hgHq6+HT/3kMrdTCtIeUfbZ6bFNxF6NFUkEkcjD12Kyo/UaIn987223tA7tqAamhQLZazw5
XvgzHLygTg1h6HMdweqnrjWUj8vkSMaNur3x+sHqcC7m7Xez7NXtErjmTe9b+woV3k5FZtN8XugK
78xATteAyBgzpJPbaUj1+2HNM2bGDadIzvSpjK+z6uafnWEsiV1Y2/e+L1sbYl6hwtu2npWbV6hz
ER7pMVXbLJezP2YdbmZLFZfVCijETCY4LJ3KObsh9tIz7hV9tNVo33hVvcQApi/evL6boxAX12L7
TP04pCB0ZhFnSz0Fqbe2zsENhuaicld/xUNAa2PCEmd9PEqkBBJvTeap2Bgd9zsEbxs7dtWcWubt
2Dbr4XGxGvnY5+sgEzkM2XOXr92rXlRtx90yLomwMArHJdcHcRkCXbHxlnxL3CWcHyK7z6uk2aby
OwZOvKWZWb80bdHFSk3WYwQWf63s3VOrTXF2iwYfaegvtyWw+QR672K/H8QQi9HA3pqN2a0fGm2B
bVFG37VBT52GtDll7JV99+DPvjxS6H0/iYotuBqsNn9A7oJEYs71s9026jRhRjyVavK/a0c8z4yb
z1tXb+GpU+6Kp7jOfq48kFM+BONI/IG5Pg068kSs3Q7iU2YDAQjTdO1HUp062jkrzoI+eo6aIXpz
FuV8LrVo36Zt2n6OLPB0Clr7zoWfP5mcFGm3dMMTbZoRe3Mz3eIflt82HLAnp8I7mzSgspd8NV3O
soWKZJZFCKziSf8qgN9IVN+UJ+mN+hmJlMP1T/bZMhvnWPpOT+yC6B6iJtdX1lpFT3Wtt5usL7vD
ElBymSbr4tK45nDWozs/NL3Qn3UYuu+OnCgOdrdOF3et2TxAQ/eWM4w3iw7m62LG5gL8ETYngfk4
ZcpEqAh6EF1vhha3QuT6Eft1/hyiwP3abeHwmQM/u2KzBXebZQxIgfziWEXCu4UotnCd11GVhtva
OKx3jfUvM9oHCZL9kC2twjGmKvOoZ6Ik1DC66Pu9bbvVkTveoPeRDNl1+zlztqimZteYdgMZXllQ
Z8mkNvc+nDIHgFsbPwxhI+W6XT13KyIM0gszQRqMIMPhrfScKRgOJklM1RBXkRK3s6GyB8CK6mK4
a/NSDfo7r8nASwvrpa/pYMoxKC8L4Q1+7CmrOEetsr+NhhjnpMpn8w7FzPhc2NPUnXK7ctwkyq3g
hsgBHR4js26ic52HKoUOdbd4gjZOw2irg7jchmiKa0c0l9aANr9ZjS7gWfvmPOjbLprgS6xFW/N1
43b1vbO4xmPQRIVK/EXn7SGPlP5UZsVUH2BO1/ymLjBFp4ZuPISFQljGKZj6fvu0ho0e89Peephp
1C1t1UqeWjtn8iwZbXWVWAGdS+LVo5juAB1KfGWjlX2eg61dk9as/FtUb8JKZ4sW8WZgnh1ePAyW
oaaOaDV4Po1T1qDOuZoGPzh79mI25efNWYWNLXzpzGg82xQ7k/QEgPVTV60N5uCp98anCE9LiZAl
qyIda0NkFW5YN1qeCgfxCcZ2t3psV8vYTjPzWomdt7PN2zkqF5JLNHD4XVBRTlN0ZhsGlK04lzj8
E3yM8jwY69KX99Vq+NHm8Pgbc6lT4I5a7mInZXv1/TC4ZTikq09ahw1O3bfshxCWMBmt1a4PrjVW
+a3MITnjugEtTbZh6ZrYqVf4k2As5VVTuB4e29mb72QB2piWS7FcOZlrhakfmnkAslRq61pmWsHq
jV6wxvYMiewP9nAxvGgJkroUmHUDDMIgWkBfL5Yy9I8pojUhGGS1T20rLAd3VG5j9qaFy402geJG
0TUTYOF/wuHaBjRmY7gWVUIlHfiDFhPxUrxThLrQP+SqUrGXddYSHWSNISo/KHshbOTOMiZ/fIYT
rcVV2YXu92yavm1bnj1nufqWRcorY8aE+mlGInEQodAnk8PDpEj4GhYp2G6q1a4u2inG45TrKFGd
2sjDQO2o4rr26ifdVH6qtb/GY1i41NdpqN8x7WzHoK1gw7JF3EHUhWZiLf2MBZPDxn2IiF54CtDh
6LSYgExYDywYJP/F/MNqlXxUHdkyhz4Istse1/rT2PVDdhiXbBLXgK9ZEBs1pvi6LbvUbrrqKDvh
oeE3rUM05O2NFJ5xZ8vFvbEV3F+b9XDAEWNRatti+t6MwXjaFtuuYjPgEE7NaOp6zP1+e0GGN6MA
1DN5K/1sLkknszJx/X5ScWTVAikmusLxuve5ucMKVvxEAE7xQ0AfY8eFpko1m3KOt1XqC6c8h39B
XkNalPQXXIL4xKlTHMcg8pMRa/hLWWTWNwCs5Yj2JTq1ZlQfAxWUD+Rk6GSq/fzVbOpnMmDAJRnc
joEtyq/tbA9t7Dlt+9UxhT6ThSCWWOilDJMCjPEslM1NZyZAcbFMCUO4c48rfTxPs1W8y9wJvkmR
Wa/ScubbCQI09VTXXjsgry9g2Lbca9qiYqc0uztfCIe+leK4L0L33ZX7kL429X5qL3b/1k6hURwq
v4BPBJNt/evGIyUg6XWxDFA2WwvmFsyllZCWYDaY4IrSu6tUb7/leT7I2K64hrgkIChMJO+bgCKx
JvJVede1j30uZYSfKk2vJbNzjeP5i2JqyxOpHMf8xsFLtlFkhPN0ZQzSTwdVGldF59nPO/1+tLZJ
jjHOa3XveUv5Nk6h4nhg8jy2o0BU1ArPuYUB0zdqRZsR64yW5nbpR/Um7WHBhQdaN8XFVC3vw7Cy
V9iUzGmjAgz8gV+UX0JsTYemnJwzWG+G8qhY8HHt6sufLkpMcayDfLhxV+Y3Ajo8MaSV6AzvYHQ1
0llyTbyXgSydr1gml0T2Tp9WptGZl3EOrCdIqjBCXEMPF/vDnFenmabqTPVr5sPS5XlJKxfReiKG
MNqLQzaOkYxiF7Sttempgyb5iRSVHurfTdy8xuMmp2OG8qGLapmUkiZNH/YxdkoEySU2PbXTiO21
IU9K3tukR/UpU4WQe/ARORIq0daYVevJMO2yce/90RFhLK2ucL5XqC8Jf5qMcCnFEd5JLuadzFu/
jRKm7cUlBWnL635MAg5cb01zaKCwikdE0e6aNtMqanmzhgJIJ+lHBjD1UE2gVk68oJaOxqMeVVe8
Zpl02yyd2SqwEZhanEbH09K1/nDM6NWa6xH3eP1H3/XL5B1IZShwf3odlNWTMG0ojJNCbzQ0qV4x
P5cP5agk34NroDoaSwTBQOkYqDW3/7M2osDkOfZls6aRIlvo1dOenT99YJ6G2nH7oYp2hNG2xKJu
CPzbGXBo951OYB9uwY/MFebin5Anb+y3zuqj4uuoyJjJ4yac181gshXl7HNEUI6HlzEHUAhvBxrK
5WKWkbm6yUiERCdPGyQR3xZHXtmWb06IcbBOvWoY1+bGGbm9LSYGFWdpgnYE69+TM3iq8A8+es/C
OZvj2K0tcp5ioMdhdsi6o1IhUQyo3dpUIua5s9FE0bqriIq5RgVNVOieiiGo11UBZpJk1BUJyqSx
molgaBa3qA5qRrgSgR00bXi70fqFB2FUvoBMmkSk8Oe7XeQegnVz3BP0Wf2iwrF6NhCpDLiTMcXF
7sjeOSDaqH+YjaTLQkSea6LM/J78A7zmDU7ujeCwR3w34/pLrH6Oimx68BCZXgGnFretKZxE2v54
V1rrWh+UU6N5miL4VGVUT2W0zME1oRhbEDuNWt14aWbZnPRgIgZcQjU3eFwm+UNthCBQWl28kz7n
6JgOzrZ+6gtjXmgQjOpAB8qEKErleSftu0Odijpc3oxNLCvRbdncWZ9CWUgvJRu4edcmPHDclxOj
AfFOE9OILq38QDuh+6sx9+T0IzOWHXGho7abZJN5dsTuNAnjWI9WiMbF7qImEabbtgd3Nfsrq2+D
r9VUuQCWgbCzNgFQLDwm1GDtL3Xom2Nqm944vKIgQH2AFBSxWoI0optokCwbeQ7g1iVj8q5jt6MP
v1vgrZYYA3xwCKRfnY2sb1GEj0SwKCRqqkYBYa9jn4aNF8HsGEN+Qv7PFxMsmRE7SNSuMP535OQA
mL1t8P6sDRE9jobZcp+bOvqWIteKLzt1IxHu0Tft/NNAAwR4WKrs1qAM998YLuf8MShrvXddjl1c
0cH4Z+0GXvFGiXTWkzO55ad2dsQdasPsR6Ytnnw4bwuqLzGCjGxbscSqMOfncPHGh1lXObeAGwyS
NahbqmlQo/mXXvTJAj4M0qhs52sL0KJIZyQmX2bHxY7nyd69atyyROWnvadOZO1xsBvz1de9FUcB
cr5cVxtC935bY2xE6wWvp12k9thPeKOqBp15RFLRdJ2RJ0GZbzZUlZmYFy43qnaFAdNwoppgtY8Q
LdCV2ISLPs2IaqH07iEDxHGpAJWek/UdTUGz9nfOqMbbzLbwjptepoIjegL1eV6CAfHu0HCXkOrB
N1fnGK1rGvD7ztg73p7g0iamp15xpksRoeqQXZGnHOglAibgkoetBgGIN18p/yAndGqpY9bFYSPD
BYTCQ5WG+qJW6eSoP+aefBlb9EsyD976NaBaTDfL0GiVVt0Ufuo9PYx8nIcR30Aac3YIzbpzKmHf
hHklA9Q2Yq1jbYnoxjBy+w0DvDwTiNM/IHkrE6RU9nfMJWODSzOI1qTw+lInwewWazrOa0kakg4H
QRJHEVbUX+1UN6Vlr95x8GfvxRC5Wi4gV9IBDGjrNa5UbX0tIoQDcY2e4dIi1DAPweytDAWRjTmg
EyRcHGqrzD9Lb9FzwrlJV0d/nuaO7sL9ufn3szMDQzt2Ky5hVTuvHWIFctvG6qvT1+2rHkiUyYsG
7BFhInqjbGLJV/prZsxmRm+1GIlB53GnR1wyPbjLtyYbjWtdsqlTXcjgfhiH9jx4HZYJHchbcIHg
yhBm+AJiXAQsg8x/U/bmHBbX7D9NerWviXsb7KScwj3OpTFrFCgNEE/Q9yHxhnlD0lFk0DgRSbKc
Gs+eqk+YTotUA26lmqXuJp3jjQfaF+umWdscid1sveZiXV4JJSGUpR9NHIieJBeoEn+gzjVT13OH
55B2/2S5wnprEXK/mrzEi42FB4dy/hXrSni3wJWf1DSw68LxOzrf4UGNhLzF4dCaFvtge4gyg2wE
bbn1ifNAN4wZvZOGARoPXn07d7b+UgJ2pOHCoNIRtrmRgGW1LwRAuE9l7rh14oLqXyvVWBiJESxK
x3lfR9B/fZAKPEi/cUDJekqhkjEDvTLRtrX6pN2+db37geAXqnwfhrvER3f4suHal7WsO7gGeLv2
3l1RpKynmRhJiAWnNZchvzbHvC63a/TQ6/AsimX23j3CIeVV2Yb14CbC1eZgpOHkEStG8ZKIQuDa
kBmUkVX4Zop+zdpoG0NzLRItfW0u1+O6gGLGvr14R9dt5vCb3zQDRaVTRHOS0hl4ueml9HnQ/amx
+lmGLsRFqoSqlzYecdKKpZhNgxrc9VBU5qr9aXbGGvQp3C56t0Ov5lXmSF0KoiGHlLy2XYvNGuyg
QbIy28zucXLCgRGmcBZf65c2nMVUpvCZIXMfzptiKS8EyvRjm/azH/rWwSS7p+/eRsIarDXmXVSx
JnPr0pLFG0ks3XQlcBuWUQJivd+J62dmVJ3ybJmC7stoZJvtxYUIJb9DUh74yw0hVgzMN+Xai8pP
FjMKg+n4z/TcnwldWEMECybU4W48xSa+G/f/k9AHKgsHE7H9z7pVO6ExfUgyHK/R8Lp9kLsjCqrJ
XAz8AkUJRfcvF/BnUn2/AHhtvKaEycISQgr9+QIKb8XKkxXBD/lxAfWHUKImXZIVZ7TwYh9M6f9P
c/i/xq//ZyqDvdsC/jdB4G95Dvey+p63NU6Ov73od5hD5P4X+b+YTW0HJ6XjRSyX34nC5O/9F/Sa
HxA1bMLqhPzqfxKFg/03v2xoyCb+N8zBcfj/J3i7x5h4lv114f9TmIP3Z8cQEgj6BAR9EcE4tuWQ
fPDnlaQnGTaLb3Vnl041ddzqOJA8daQjDh+9vMlbTobMoBHo8807SM0k85wPXvmjCnx0ZlgKUBY3
SV1HhTghWnb0Z+SB1U2YRUX5MPiN/jbpIvjqbX5zzq2suhnmEpmDQYAMREZRn+1FyKMvoykdprK5
LVVnECFMAbojEFBtp3q1Ttm8TUm2IeE/1oRSRl8nJA/hFWgbh8DQrf7rNC+kB67oWolhK/Lb0m4H
9+D4lLwkylRYfJ8GI38d4e/rq1a3MjtyREn/lrwwbPtHA40Ko44pi3whYg9gb75UOeENwTHsqk1d
2r7ndvOFwIEkaNbSFVcDLadeDjVyDqM+N8h/GFQ7G7mYBxdOuOEltDew41hUPE/GvLUeSd4SuKjn
dJymwEqsXFjm+zxX/bwdZF5gXo+J+vIIIWuw3sikHjV+tNgfG/inJoQITxZ6ZljHPNw610o9TDhb
In0cEczddMU5+oSQdnkrf5BxtyKqBo9H/ZhOWVsgX7SR7J7AwIS+BPVgXJso9R5MOuuYI9+J58nV
cUm3dp0bxnSCPbKfpOGPBCD2JqC21cyPWFS8ox+p9XugSnmYSfhN1p30LVoiFaewlrfaKJwT3oL6
mlTZ8SSbqeM4alofUVc1Xoec98GYy2NdNy0Kzjy792wGlymvFk6cTKYwiU5cot2+6rdIPCKpr7+I
xhhULEUVoric1H1V+s+4RrJHh4y/hzmfgseKKf1rzpCVZnCzZ80w/sh6aAnibIuXql/EQ2W36xcg
XorzPI5gGuBmoN1FcIkiKV7oA52rJfeNe4OInwENnhEdJ/xtt8IX1Qn3dbGlqCjl+qK60IuJqPWf
O6jEJ9hLacEncjqhSe6cBa87wWJJS2jSdaNt34+joa8PYAfDNWyqPtF1ZC+Oap2baAuIO7OUN38m
3KFf41BpUWJJ0dUf1uz6yPaDjXBIwjqbgySpK15R1j1gzA2u9ex9Lrsg7cvRdWLXWYJbhpwsi0tc
4Q0D6jjdEy1t4+xDC+m6hOUN5cp3PSKnfoR3b150vzSnSQTqbbbzL1anJyS3YXjmm64PqwIFWHsV
3m0cwo/C7/Nzg+Dwc2Y52+tISGp9jFAMvJetNm8MpClATp0TnHENRkdcYj+nqBNXlmd2h3whhEiK
oHyKZDi+mn5ZfVnlVnxx5qFAG9qF8ktnNFE6S3aYbwxgz0i9DlEwD8dC+TdYcf2kDovqVGpnvW+i
xjvPS7/PJyuTYcxrjXurBG7cvA1LluebxUODyGcfFhZ06xkd/mQRtJZ7IV1DMRh96hrdemjnUSWz
mPP9uQwIW6ucMdtM8DjPZ9BX5NOrZ7+42MPvB0M/F5t+KpUR/Fi8FtkBWLEJbT07AYF5ais/B7p0
b2r61lsTyjj2y16k0LHXkdsHd+usO7bG2D9tVVilBAu37/4IwKHmrX1wSJB4wy0GHmgZ1RJH9axu
aI9cEHrXQ/xV2W48192abluU3bkYur4OnoFEmYxUAtFNkAHL2vCEAQATXvCdnr74Wc0ILPqpu7VH
MR88f15gZUbn1SZ47soxAuINl3leb+1Fhakr/bmPh8E22HFubl4sIo+PurWAowBi2kdZ9tAmarAI
vIN2vUx9QUw1ydwmOd81ApcrOx8WRm8Ud+DNs/M0DSJ8k3NtAOcV4NKokQm1hV9cP7mGIN6S6Mjv
I+HtN5EvtI+fc1dXjHtId2Y1AmQwzHu4FJc0U/zzn+GJ+ktAfiat4+iQZ+ugLSdGM79ua0R1sVqJ
nTcsG/C+6CVL1INEMZf3jjPvkzX763VmiD7hTUk1LAUyfKmiExmUy60x2EUShSp8Rxvv/dEa7o9C
dTZ5Nwgykl0dDqVYHjqS29jkhryblzy8ixwpb3Oz9aHMt3dsc2DbZtXG7rI8t6Z+WhDSJKGlgVcE
mBEGkPxYWJZ3Mosteuws3R4M386x0vRzf5UZ+aWSU3YE8xKpbrT1BdzaPZUkMB7Z7+/l1oSfiJGY
k7yrYEwRV5Byr9V5LiVEoRb/zd6ZLcdtZFv0V+4PwIF5eAUKNZHFWaSoFwQ1EDOQQCbGr78LtN2W
3bftuO/90B3ulkVRLAx5zt57bae6OK2RRo5sxkvb6OmRzdQ2z9euOpB4bO+5cutdowfTXQ6Y8Hs3
YwkKTWFUHHts/zl1E/vMd7jszAnWQ+sIzARV6dS4yTRnX5lLezIaJkld6vNukXqO5o0Kw/jRHtQw
Dzt7mNWr2ffZrvJb9mZe+UVJ42vBZBKtvB6vx6lOh9CVU3Zn+12NX6std3AGMU5Zs3w3GIFitLnh
sQDrEn/AltvUL/c2WGM2oVrymI+GvHF1Tx3w4nd8F3l/O6Zke+OC5EsK+LsGxttn2mkarvrcBlva
TF973a6+dPM07FMMut8JExnxwpIq5LH3JfOrH32Zy5PFRI0IWZbwSPinxPGCEBupexxzpZ90mIe7
MTfYxyAhX69sjL8FGIl5dmbaQTmNFtpMIfesXCzAsgWmF1V0BARTEQ9dFRwtu5V7b+bkpeF7PpRm
Nl7ldUvUtJrhpCpD03Y6uNVoxoaFDi6bb8qZCL7YMJOH1IiGJXOPE1419h2X1Z4EKyi8ALoIzH1r
ON86XdwPzCsAQhrUqmI98IjWwoVR28ixRGQZyn0OrYP4rs4WR29vPNHfe7i5Atkd1qkeQswF007P
mgcfAeUMEDTds7bxyfJBuHfzBrR6lp3lWqXEG6sLEQ7tIZDzdKjcAd/UUkCHtep7rWzuCKBne1Vj
YFlbVAC3Wu6DcTB2rECrg1Si3alVNDsmUx9z+mAcmtFaeQh71q2mwBnzbPeelM2eby0SSM6O8aNL
XC12mLvDHNBtSAeBw4uszHgfWMP9ZBrBt5x9ZOxpXH6t1I7uPDb3rjYS2lWQgEYMZ5HO8vk0131w
LBoWlGm++udaLfdYzr6QO/30MSD8d5b6h1nKcQKs8f95lPqj/O3nYerX3/XbLGUY9i+G5duOvhGW
HN/hC/4+S5nMWTpuaxYSHzQNRp3fZinbpJEHP6wP0A0k18eUgwP2o50FnJ7FF/R83cegjU37/zNP
/cVPjIQAHYyKmM1dD9nTtLfB/ServyIXLLphmG+ayYKyNLFVDFuLFGZUetPIZecs54ILsIx1SIyv
qrXHT6UtZyIlQdO9/PTT+z9wEMaf9xQf340Nq2xbF+iYnN1t+Pvpu7GhypZBNow3ZtfQVVKuvKAH
r0UcnUfVBuE42cOrNwrgo33tQ30lZ8FajcymZ7OJ9JrvgVL6LV8jQySoKuMT3nTfOCyuk/wwiIzO
/7DX+AB7/uR63n5+NqF7sgKEY3Tf/ItV3s6Reck0qRtC0Wm6c4l2f6Lhw7f2yltaBzrSbBS73ENP
XD2XVxnYaLjQ7DQN5PVWfWdAk0aUa8LZYesBcaxoFsF32Dslacm2yO7KAZcOYpHcYTALnmXWXRED
pwMhl5p7yftsrA9//zn8+8fAukZnzGYkNlAh/rIu8hYNMUhU8gb2UQAQ3wc9bPOsF6Fo6OyY5j54
FIlRff77P/bPSyJnY9wCstl4t1yL/Nf2bf306WMcSG0h0+am8WkEIOQ63GCGJjacZM9//ydtS4Kf
P7XtT+Jhz0qMpV3g+X+5zkRDSKrDp3SD9dV+286tFaUU/gLUWmSx3pG/jCx98dsIU+NU/9NF89fE
B39LtieOaZOuAaP41z+e0AIc2M395nWlAy1rcN5KuhOrA8lrGSOmwC3X+egZt7oJY2PZej9QYwnN
B4t9PTPE65E1gT+PCtzKn3DgmNYu85flh2DK3OkaFq4IJLzdHx3LXYd/CiH8+wcFRpPHBtEK6B7s
Ff/8Qenu4DSOk2gXY0jqtxwRgrYirVSNHVoLQKLzlOXlV3K2+FbXjjwiC9I8QtLx3pW3ri3lKqnH
OrsYf+S95X0fHZF557//iNlV/PVDBgTCReQiTcNvcLwNlvHT5eT2fq73WHkvhU10KfB3KsjWw4Zo
CPZqHAYydJ1+P9aLM3CsyDxMAM1Bmr04VLYADlV19YMASAlou5rSl6mo29MiWVILpxOf8Bz6u4SQ
XTS0BW0LKM/ITEkhm5tJaBJRCv0iTY2gCFFPCWSYY1Yf8aZVD2aR3qV4DeewGrzuRiXdkzJrzdq5
o8kPMl9Mng32sAK/nfzimhIZkOc6TpgMSvj1yio5iCaaIWpC0kt+0ig3qMNp8ZnyJ2aqtZi/CYmv
c9A1DxWuVt4+kd1wAnBoPnUZ6M5D4mmA6tesTL4GMDmwgzSd9mWo8STTMoHcgjn1ZHRB9T0fhct9
b9XlY04rhheO7OHPPTN6tPBzQBkxg1u8V3PM/r/bG8ZsjHFF2gnz4wS/IBqZ1uJaWrTtiOCWLqNU
33GSV0deNeYUkcN20Um86vNc69mV2Qfi0UHdPwxBoZlk/Or1zXdbyrb0uVj3rP/YfSFQvGFTmt6J
kwgnIvyhD2GTmswesypabo5pipd0HHwGwISjvLLqY8O/Sm7N7lt+0LiRWRoVTEPUORCTaZ15DW1V
JZGltKZG/C4hpJNwup8sw97lsid5UHAlsWpUUyAPs+XN1y5ibJWQy6IVqg5xtmEc/J4lGa0Gr3LS
5k2IDXoe5e03c6kLZcHAV8Mg9BtVKvIZCP3deiCKohI8/Tm27sKs2kedif1ULBa8+YHPIMHcpgeI
0ayJAEUkCe9DVZVTF4NAS/Wor5g7bzPKinBpl4s3ZRRcVIG6dqWyuKKmpDWYuQbehXtXy4rkduTW
cdOoY17kgrMguO2bKu+DEAED+TqecXpFWhJQDkdJC7FSgjtbyRl0f+p6poqShVgmnAr2TpNSSeHT
prBGjVnikK6znnl5lEsq73AWENds09x/14aR2oSd3pqKIIM/+DcObsrk3Fie8uhfaeCYr8tRsmLu
Mf6lmUfiVo7Au4NeNvkehnS9HHUpaxE55kYT92bA0oce3oYW8bGaL5qoYeBjrWFE5D+6xr5N13CW
U0jxUrDxrU9WH6iKvaVyH9ZBWRiVsSUYV9mUSa/BqMgG4ECXi2A3pvCVoBKZ5X4QfAdxq6p0jX1j
XhF3ikVMl9onixBzTBc9KRdjOPeW41S7NLHSYefB5BVh7knOJw041vUHgl3g4kVT+PQgD2XdyaAT
6ogqUroRQZDOYh3J4LwOSYnCOPUiAE0yFXZkkSelW4uYnHalJ5W9N0SCG5vaFU/EBjzF9pTlBhVS
ZWAzR2z/XmgESMFcPimj1jzlGGjwfmlferTPhRA895F5Y6xgGKk9G23Nelq2bcuNK4Kl3TVohBdn
aHglpcTH+A0BhiRrDyfGaF5XowK738HOmPdyctb8ClSVerIL03lz5m1R4BtcvGTmyQzF0l2B5WP2
AJZfWTC6ImS2+KNUq5omThZFWoyPSGDTV9FnFi6ziWolH/Ar45Of8HWcqoWU89HEh4/Psu+lcown
Q+HWCicXGE+k4IvMMVSGIj/22CGxJXv4P24/qsIanX141BRFJw9eJTN5Ny+28iO923rrsqnhG2vx
rxtXvMGCZ4RKru6ap2S/841gbk9KBol5V/QkFB5Mvwns02wX03BRs9oOnxndfA4b55mFXM0f3bYr
KPfZrNWKyZ4mnbDuKRGceD7xfSHS39hOw99i6AjVh1kJ+T0KypFbR1QpvXQNGBkMqAOngpRf45lq
qia77Qx7QTe2BPuaUzZt1Qw1jRMyzPWhw3JJpNeKl7FjZcb/ZtPF34gHCIaz7ZysaDbCghac2TPl
fgiJhSKUGSfv29RsKPWZvoMHS826vEo55hZXrYC78ejztjjIRjduuiDtXgEDut1G+8jNc4tiMlxB
fkT/X3qvwyhKZvQgTH6smw16+VayeLmbB4lFhsqzsXyZ3DqVRzYx9Tukie0ZkneU0zEH+Fack+yR
ewFd80XTk3rPBjHFimPzmFt62shyEmRX+PsKZ+eYvUkEvnJsXkeZGTyz1aKboTIbbpNVS6zgZFMR
1f2oeSAvZ9/gkopJDXCNFA5mtT32NbYTbCa6K6MfTDdKgkqNvGmtUefo3RVf+oBIlrZwTD+vgeqN
70SE6Gapkc1GEggmX2qujS1YMpH8PAk+linSEL8hOo2jusyLhzFrlF3oe/Jo1wjEx3XaAmN4e+V6
EFXZtpfGnW1Wd5if4qxr6vEqBUmURb4j6+yJk4j8zhaXxwiPTjmGZcaWjfKP0e94CyzdY4VZOv9M
84DlU9zGCWz5JBS+dL4YYYo4AwiVnrVETF+zVNdGMDDSLU85ydl79mbJeujxI+fxr9V9uakK624u
q9W5qV2xmZ7FqLsX28hIcy2cbmQ84dEm3ug3+ebO9OqtMlFWsTHTJrcbK8INhxWaF9+qPVNHtyQY
uqJEYDF+wYZC0VpGqRW3Qx48c63X8o5tOPTfwRQBIIyaZsNwHl4hHU2+EVIq531ycEVPu4mcqE1s
pYLH1iUQWnm5c0XHIrf4NBkc6OrILVW21x4CinWHw7+iS3TevHv5PGvppew1Me1qiVWSdoZ6UJeq
Svj+e9Aie5n5ZUaEUNdPS2dz3y8ooFTbJZl3+TiV/neT8g+bFItDElPEf16l/Kmqemsl+O13/C5J
W1QYMxJy4oB25WHq+GONoru/MKOC+mUMDcBJMgf8Lkm7vxCX5pfAXLNQoJn6X7K06fxCM4aDgK3r
EKkDCgt+L1H4bVHxdyW3BpPFn6cN6LeObbJiMG1jU8HNv85ECvGxa1sd8AZWnlHj0SSr5duHnYdb
EyFJM1Cf67Z88Cb/QhXK+Nkdi+5RtLA29F6eh4WgSkdY4fJh9FkAuySHcdsAAJ/R3gbPgxPntnp3
tP2Eg73jmByxGg8ayr1t56VZoyWBSzmRVuPlHtgEuT7h5afzKNTKteXZXCohLgh1ukdSZcRTOIfo
2LDpYQmXhU31U6rjPhZT33efIBoqBDwmzMo4Z8HsMomiFavYy3Rb7rPKNsVZ2WlOMIWOTV/fMu8L
1Zc5hiHj7LUL2hOnwA5lqzValsx2MvsHoM2LcxpywmwJhKPcK56SReN4SHdXORI4pkvmrWgS8Oxu
wUNkNSVvs5hpXR+pbqK1Sn9EiiwEPnoafA6wKbDckYqV0eAG2VVSYJHHtOdRQDDqRTGCiSgWf+e3
xbFOW/E6N7mqsS9a6ljgTY0n3XdeF/xLIa1Q2TGX+WNaYejnUVTA5mraY2FOzyRgrUOBFyA04D8f
OXjTkEQ+L3shwsLrZRnzk+fPF4ZujpPD8CLTmvNXtdn9ZlT/Zgx4jqfuNzUnE2/36RW0jIxwv4Ih
tjAels/suGCCBkZxJgX3Nc0ZeqykHB5Xf5CcIbX6MPAj1SxIgrQr8V72MsR+szlgl3gY1/zZrcx3
2qTV1SpbCHFlerNmHeGdQb22tTzXY9scSyDYqHrWbl7JTMoFhVIIuKhQfe4Ir7VhaZbPgmDOjsBa
SxBn/MHK3L3U7prcTQF6OIMY58FhgDpqJTsYVeXBHm0KG9fx1gQHBY4NsTxFCuPlOGbXmFb7i68m
M/bAq4C4AivYzKsT4obKIqJM/lfEtZGlGB5YP+sQPvtliUXnaA/p5mZuivRHYiXtraOpR0flMzA7
Tv50GuYb6Tw/NiVK9ZDrbmi1W61M4wx75Tv2iedCtu/p89oDQrMjJ9MCAInTj9ahOU5lWMPR0um7
TSHRRRAGvrYIHNHo8GqhcCZFN6zljjahOpSNosRt1cjZ6SNvPE3y7jPnJ8NpACdV5TM9wad1bUCK
SQElXmkvDpMTJOC5OGedA5JI2Pk7FKD+y7B6UWEoug4nuwzRN4E0MWlihCTaceW6ijt+wDuLu2XV
3ls8KQjAlHI4YctWON31xbguW3pQO5qlPjwsxjh5j5VdijuX8FiDzxNMlGC/urfaHMu6l3gyMojO
PTFOKyRFY00POQHgczOkfc3LHXLejgsLqTuZ1LehopZAT8bxDm6wEY0jl0UajJUR+vO8fCebqlOK
6NnLeVA5BYFqWiZ0SC4tWj4ALJI14rsFoi0n9Q58dsJdS45/787DkL1jbQ2416agY+LWOzHdmBx4
XiUGQlrlOFyue2Os9ausCWoIkr5ALdTMg05gllXYdPKWgtABEJ63AlIAIbIUPcUaMRGLlbyy6KwY
Nbo6EFyhedZfP8+sh569HLtsVWhv3FIvJnmDsOEIFtedIofX2TfEkMtdX3HybTRCUNIn0mWK/LnG
twq9VDj5xeyXEbvEsFq71aiNu65OPiFslwgzgRVcC7tqz0bAgsCzxusRGfsBt6n2yLrcezNrJ9+l
ZdABEwh64hhpxm2MB8GME3pmGW8XnXDS0sZkYbBIY4a8YVZpIUblzb7V9OXQb3ctJgOX5kjaRpOO
FbDG+ZmhZrzD+sNBbpHHydAzjjibUtT5q8/47jbsMJbXZmidow0c61tvyntC/UyKmIeJGPiKjuxN
j9J1LTat8WRXRAPLwbCgahtCvSetDQJAU9rVMjjZ3t8UsAZyVCzamY12ykomsQ2eB/5ykyNO3q6a
Pl6WnN1XswzeLm+Qwog6cmt55hCjh6WHLMCRD5vCj4ICzgWG5QNr555nsLoEA08t8pkLmFo4jTrA
3ZMq8Xm6ONXD1JgeBoABYem35Cg2+ZC/W3Ds5vkAkjM4kTZJotaYOcq7Qf1t2aRIXbMUkUnkSSFL
Cis/NMvAN+UTtq9gZ/nlsuvsKmAJ350CLeB8q4n3ufM+4Uhu4zVAd9WloBd8CVYM39uJvZmz/TDU
81kru+90VV0qlQx4Vjg6rxO28Mr0mluTkwkGBT7YRl+K/bTJsOsmyGqbNNsxZYVYvnIqJ2mv1Njh
EoQvqpAMKM+7ziXmiMTbbGJvVqovJqi4K1pv6BFdGvCU1rTgGiiMa64BeZCbVjyV5fvgVsF+FuuX
FD8tiYFNVS4WJ7mwCUpMGvt49BMj/IpPfIqAYPR3SWkmUbYJ05MNbyiraLxw9fQVTfZdBN0PW+XV
vnI4MIyz/VKT2Y3qUnbPlc+XWnssWALh/J0kNy5tWWCH4iGKPRuVHD5WcR+YrTgxWKKf0+qzn5DV
hzphHzRyd/GUGl98Kgwjml8e89zFV5XSflnMPs91N6++mptmX2/qPbR5AKejRzid3qC9LNb6Ggj3
FIPetKPRWr5KHNrhiBcxnAK+h4moVKwHnf8sdXO9Ky0J6rdZgTOEmTcQ051Kwbc/qrJ45bYv1YXS
IP+p8xx+LyLAYz+Q1axmxrsqSO8H1o53DkSqV69wHx3XJUhYpTc23sKjNfipFc1ZIWJHJvygszyz
PwVOOUUgc3v8IX5srwnEjk562PSHkdrpdfNm5O4Iqzdtze9OMzfObuFz3mwN7e1orOqor7N3ZN/l
f5lKqb8OeEIgQqnbVbe0Ih7HbDwWTH63Tu2OscECuOHJKtSIJr1EgTkGG1YNlpTQ64cOk+4DnZkk
SXlqahwxTLbdji2rd9kjPG43aspniti01af27kEIw+GWaVwFmE4GKwsGk9f8klqP2J8Jvin9moaq
4rOkFulrk3bnaqKWdFe0GTvG1PpeuZJQq5ub37AxYQhcKRYoQREO80l8eIbyMiuGHfu8+Zu+uYvE
h89ocxwRO/YuY6ZVB6p07/BkXiUtC8MdaKF2PpK7Lric3dH7nqQe+0lTereBcvIXB0c88kTu7DDi
VbGTw8EW0FJJIBBkZ5lntQ+9Zfc5cWZd3sylSbG0nqDYeUoMGADIXtS7cZY4tjbvFqBTgOCbp8vY
3F2g0ORB9a52KJwiqUEvVPkLT7PyhVfc8LlilnwsC5UcdSpUT7ozceJNOvfcNSO1vrlG9hDA11Q9
p2ZeLFeQiuswWLP+HGgsgMNMn0qG2yo4m5uzLQMUUIaz3Qg21ynYXh0bnFpn9aL7K4xpMY1HX7bB
FUqEurVT6BLUPfUl919bwJvsAHfXDvIdp6v1OegVeWPGBzlhiOMJGzEngWlZA2FRE1qJZYzzgvvh
ClAc61t/8wvSQbO6n1Oa49fd6M+8WWlOC7gRexyH1ItSLWiXtnsDGDp7ZYVHzXDrDY/V2iB0Ys7U
LlUz569J7TR7On1BCdTrXJ1wFuq7wi9SgnJ2qfmh3GyTejIn9yP/6nGuebz2dfCIikHEhxbsr81m
wNQyr9i7ak2viOZh0fxwa6p6rJ8Mdrkh4qZ5mDZbJ+79br/UihxQ2lWR0NZKhk4vnP20GUMrm/D2
zlkTyEZjXsZjYQzXdYNkZpMEPQ7Ev+5MQZziwfeKvr2lzG12dgExoc4tI1Qyk8NCLbJgkT4RS9Nk
ZcNxM/cHkjDsxOxHCo1dODkc8FrfIxRXBFkdhFOxjITSwSZEroQPg2EX5IAlM56js4+BrsWqe1SZ
67yYPj6R3ToRhTrSYyaMr4HrJ4h8RZJe5yOswZBLuC9i00+nHRumUUTUG6AbZhCFrnERi+MgA+MB
1AezgNFphxUkwm5Ui3Ym+iVOgOQwbiorvxaFk0PYGrz3um/tb78GFnsEvuIw1+JJlpDCX7E8sOW3
g4lOardhA7Suzs4lWPKD3vb06A41R3BDZVrU5b33vBaTHucuT+cYgG25l6Zc33QO1lcTkeiwIu7S
ekI/tHzZ80cQUohcfM5mu35gP+ycV0FXmlnbYudkhrU5xmqUNWhZEHfJReqslA9Q442o74v2xoZH
scPdbn+SnCJjNc9BtDZGEae86zic45uczV7FQ+WdNNGMOzBA44NK82Dfl7r55tizfaQzXoRJiZux
ajEOeXmbHfLUIhHfOv61ldfuFnTKpq9VgOUYbyMEjCwg4ImRi+8EizfJS2Gay7GjFpyjFKgYerb8
mbW8PcVcN+RTg9mJu6VkvuGi1Kl6zrN4IsoYBxWvcYC85RfJmT7cauePWp5YeK54kzST27DArZSM
NF1b8EixIqf0ACda4Gm3H4lOQrjHgVXeZaaCM3LSBuHpI99ZLVn2g/ibfUkSsOpwicGitBr3ruTB
P4giWioQOWvPmq8v1chLZ1ruM6UHN+OcliC4aJcu3dyJaYXmgSnb9pzrxp3vwyKWUs60Zm3uTa8p
8HZuCW9hdP5NqXUgo2sKs40qsQnHB9YrdmfiqhNAz6jOs/qVZNwrHtwyzEb/YDtgP8NWjN+BKssj
Su56giZGvzeDZ44Hiuzd3KSbi9ti++Cl7s5dqzdChtlWFQaIoZk/C58hIvV3aP3fm6L6/JFTrcxB
b2MkoZJedMuK8eCYYYW0eS5yiQ6P4ZquDN2NODMbNKk3c1HF/bZUT+25u8Yq2XC1SO9gsNuPzN7O
ryuy23fsH8D/EDMd/HgU+ngjFeftQh+B7Gzrn9mX4hR0XRWv07geU1ASP6aGEa1QxXisbQWRVutM
rHceGwHRf1PZrM6sWOmO9OlKxB60I8EsTr5wgX+YWnk2vXq8/0jUpnn3lXmNo9jSEB+016I+NYOg
ZCNFiHvBxwoJbJwuFqv+Z45ST7kGWN7rlXeVudYUdfPKwbHNTsm0doQGBq0nuT58CYzuMqHlhNSO
PwP1xXAw2jZLehhJE1Gfl2w26tDa6MpYbMcIn67zBJXTCZ21NMnZZdc0KL2S8ZTHRWaPvWu8ExDi
/Ad7BcEWnS1rzVcrMygrGhv7u8QQu9PT3toJrX6eKcJ5F4J8+T6FeYnFGbNxBOJtINbl1g/+okgc
tmlhQEnwky8jzWgoL+PYs6BYpocOS3GLPzJJWDvRn7AHTLbkHP5rgxlnxr84WMFDwwMLUd9yWpe/
XuKBfcM2oHEn1LGrl/2ZiHY4ESObGXWSHR+V8C7IEOJ2RExGPy21NjTXMjcItOFfj0egxTIe9Ezc
bNarE//AL5WN/w7d/8EuWh4efp6dA6GX58Xh5Qq54ltSiqE7lKzs49kdyD2QEiYCP5+BCsOc0Y3n
nldSVBkkCgZz2wWKJo2WYEC9prRouyc45eWYc02Hk/Cv8WdoPONEVG84emP3JfXX88wFH1GXrMN7
0S5ERDnrVE5HA5B3FgZJmj9S0oTA5800KaOGoz4m1Nkk7tdd9+l4HxRoEzWC7kAcMg7m5r6zMUKy
mPFAAuEu/yND7a21djuZ9ktu2PJKJZrYTb0LDbuymkOmizTO29o4znRK73pnkKdGpTqbC6ggeul8
/yNnjRiaR1m7fClTsuEmZRF7r+zzEF39a+KMxuPkOyUWLKzqEXmS6YcjvfGRZx+uT9chW4ux59x3
LKPAiEdGQs0JEVuNPQuc8LjXoXAHbnPBBYBoQaIfC1k+BUPspcaGRNKz8tzxfjSCtd2X+SLepAG0
xKEtr96V2rp+wyKVzJGxlNpb69b9radX2rHghdeHlufNRx9c7bVXMiJ5gV9kuznHSaHZaQytZ/nK
OYtbKxU4agrDv223CPiqsuGblrvvv8bAg0yT54419P06g99ycqjV0R9RcNPM7PWmn/1WEKH8VxQ8
UJbYfPfu/tc8uFuSUhdm3uCtWoEf5GRwmBcS7QYsvzP+mgzPk/FpSZ1Pf4TD025RR+6DBYcSCfEp
8J8n3+UJnzXmYwoQLoKGc+sbMnmr560fsE584E1bZLxiSNeuJpNDzfVHbrxTI0woO1Dz/iM83he5
O5zthudP6CpdFId/y5GXNCKFDcMNx7upxfXh4Qp57oXdXXWdjwCWtXi+cN+z41tEkUQLz4VXt53h
XE65oz8BoDHQ3+HTvgylqv5D8tzbgg6RLibc2V2T45EWyPu8sGgn6YeUE9MyqRBJtla85reTEE+Z
158i6eVQqKMA3Bf+nEtPtWqM6MCaH51BKJZPeimoIl90KulMLXiuTJl+dzIiE7smTdJ5x05teVjI
Z1OUxI0W/xpS9ySD92zyiv5LUh2J4H7RONav1L6eBaUxO0cM0yHNk+4e3JD5UsCUn3eOzQN77R3j
TlJekm+GD/+3LDvPsvauIqf08muendrigYKEwL/0i6ZeSqHpN3o9LQcTXmnA8Cqte+n43sP/mXRX
0h8fTdNiGTqbA3dp2/BYDWvHx3/ty4zs1b8F3nFnpMUNG34oJv8WeO9FDdtJ9Wmxm0t5t6bSLiCx
CjMmjzQ/6auXngubR2VTZct7tYXhSfxyUFtdev8+EvFZAFiD1G5OEtd12v2k8dZNof7xsp/aHcMO
gEgIdQehTb5Of0R91WN5Oo2TrmJUzPJaAGCUnOwN/bpd2+kTJSZqDt0ZbmymTXbk9vYHhUS7F2Un
bpxl8o81KcIYJ4s4TJLIniWwMAEmm9TlI17P9hY8EGz8J53z3XXfdtN+gPZ6ZJ3psaXRsoclK+Ae
bUH7GS0jSoWsL4MKvmmjYcQ8nMgdZQ4VLFvqPhi5NazCzOK8s07UGPp35CXn00RR0dnVvHUKSYWR
VmPqGDgxRuyb+7PE2XP5COPjZv3a+LMRj4i3+8Jf3mjJzSLTpr8g8QvWikZSsyvrl2cSc4Bne3gf
H2F9zbf9Q0aBXDT+kdhvywZXZYA3LQPIu9tiyvADW86y+tq/5pW9RIwK63HpZ3flRSaHO99r2QMb
QVXtfgryLxkvmwInVck+ayyvNa9DFka++SPRb5T+GgbteuOUK/+/ntxLa15uJ5o3QnMsnwNpfrZS
HtbUl8a5ba2bVe4taEjuEBkFjjFl6e4j+N9gvt+bRmkfJwL7dlo8rL5gVLAdGL8DqcI0XW9JKFlh
VXQvmO2KOzcdAAxSgNN16jCu9vjlX4wASzf0vb5yQp7/BAqog6K7n4bunr7bCnZt6/NqN7ZBMKu0
W98CCoFcnZ26Rjev7VH7bmvecAGjAomO5z/K9gYSoOr4s5rwMEIevB6FmE999Zsx+7+y9T/J1gYQ
vL+TrR83U/7/7N7KVr39nAFA7t5+4+/qNTo0yXvXoXyHXYq7hZZ/DwHo9i8EAEDAE7NGa9q6XX8P
ATi/BOjMeMUtFi2Wh37+WwaAeAC8FTaYLoK4C8r4/yVem9Zf/cgYPhxT1w0DMzTonA9b/k9OWU54
GL0BeEHOMcZ7hLM6Xu0eXFm1lrEn4OKA9DIfrModD35rgzMal+DkG36GpNFOTxCY6ytLUoFKR6R/
LEnUOVhhOa3iwil4UTdZXKoUNc862kyVYWLDdQT88DwN5R1HQxWip5J54gAVGm4BgUjaAZ4zVtyM
wJzxWc2bj6qBESOEuWkDaX2DXCSfGovdpvSUvaMgqfqua0O4+NYnKFLvliDCDFzmfsGf/1C0rnPo
JsfGQlUM9QONFsOZ4b67WjwC5NyaNeVp1sp4wHvyeplc71RDrY2LYlVnu08wDcvBgi7Wru4u5cd5
w/rPhCoEZJpF4SxYd8/dxoDWm+W46r0e62JjpDqdc633/rGqzAdB7CPcetkudQmHJIH3WMzEW1Nf
mdgSy4Ucqp/sOQHVGLgRGfzG6KEPllOYk8QmCtpHfFj11arscu85mneuC/KlScsGa7A9sZ/NdGZv
1lgG4VTJWg5Dz2PnNDwtl+w5IIT7aaodFwubN742BhDgTHbBTl8seC+CB7ceV22GFzQC6W/oVyM1
Iutj05MUHOJ8an0NX9dseGvYVgOD2cD+Cldr08o10h3iIdTJq07xkMdQRr+nfxOk9AlgGuowPKOg
ddOh5kR8BAgxH7y6gWjMYODdznWjHjR2yewTsY1mKgRzaZGHSP+XvTNZbhzJsuivtPUeaZgcw6IX
zZnUQIlSaNrAFKkQ5hlwOPD1faDMro5QqCWrWteizCqrUgQJOHx4795zY8GmGcl7MgM+10gZNKK+
pE+2FP7h9FKD9FZpK0CKKsQuVjVT01yUSUawGL2P0gOyQqdaAtlZgqMrpuLgBkXnNI+lGYhTM1Vk
84BILGMtSdnSlU0yXAddmm8Lcorc8IiPWcphA9hZ76etPVVNh11sNEcObjrqthuNMC6PODg/yYie
McO8V+ZGJ/lUxXwBB6GDugCXNVb1Bl1W0dOK1Y17imXqelD1hHA4KWoseeTfgFHS2PxxivNnyHrb
oqYgLu4uSkWcrkwkV+Oic3J1kRroWqj41C9iCme0KNKMEzsfrVoyk9QIiXEy3AWEZ+WXJFSbxjKv
Rv04ycGRm4zyILr1OqKjaiCOPdBBinZlkWlowVwrXA5eT98D+VO4wFCo7lNK0ViFa8d6qiPbXKHd
Co8zevnokKq07lh2lg7S0GHLF9AvqE+LdQ5Qda2KbNrFY0FnmjinO18BaV64SBlp/dIHnus5RrM3
kyTY46MJKG642rAAfk0dKOwotRqa0aGDNziCd3JKKdMiDh8XBrK/daS33QlZcXGFkDncurW9iAwp
jtALw9sgq9QZRFFwKzXUlcd/67iKLu7GLxZEAwAIyqf/X8e1wacSv/yyFv79N3+vhZ7+Bx/BIoPn
zYZuMZtf/l4LPXcWcjmY7vCWzJwPVrz/VXIZwEWojfoWX0A3EYD9YzHERSdoN6H8Qt/umI4v/hkl
Fyvxz84g5GKWwJYDsQQxNhuzWeb101IY0rhhq0e9xDT7sFtmqY/sHYa+f25TK4IXKZriPIUuwQmF
QuXqp3v1gQHunbEGSTOuN8/g/jApIVybv91PV4e1ORGdoDh6IohZu2PukJRnZqvRjfPdv3Ap3xO6
7rI3Ie3m10s1VsLhgcIXtuqGWAiT4jjth2qNW6n+F34Vt9K3HIxPDs6CXy81GSpFxmN320ypGOPE
VK+aDoB7p9x+//mvmlV2Pxm73m4g6b+6rVsMCqbYXy+FgqpP6VJ3W+gu2AVHEzV177wqyZINU2Hp
lhZZNYjdlhWi2+XnF2cMfnDxmYDDKMYa8e53dioCLlt1HTwj26Ger6J1YVAv+/wqv48R9mqG6aIB
cyApue+u0oaehWQo6LcNMX0EXpkFnRCBUkGukyqnmv755d55AbmjYvaf6rCATIbJLLz8eUiKWpqU
ZyGihCMF2ChtfpDR9OqFZb4gJunMgRX5hb3s99tIcJUJc4Yt8yymfGepDKI0GTyLqIdE57hF3CBt
O90v15//rvk2/TpSuAoyTWhaum8La77NP71qdh+QJFCn/daKJYHtmnYe4tpie0Schp6LL37TR3fx
56u9e2g4gMlSIHV76wEtXgRkBoSSAhIwmrm/41NKStPvn//Ad9nq4u3JIW0lEJozOwPy3VQ2RuSi
wC8l6SNy7KNd2nSbyWbYA7z1duS3pKu+Prly9JY1OsoXym7eAQbwDklYuZW9L9fsY5AqDm71p1KW
th8dNuVm0NU3c9QKgONwaaT19MXEZHzw/C3ddvX5vPSm3P31yXhtCKgJ/dM2HtjeLWyqIu5CKSHX
BHbMWXsEY1RERq4s7h59KGU/UfxRV+BEq0sXRzMFktA/Gqg5v3gXxIdfjfl5fsMF/3n3MiR+huML
LC0uwgg4ZCRWcQNKs6Y3sSYRuP1GFCjK2sEhTqCk930gyKg5xzol01WuOPhIiNHowcDNADFcWPh4
VkFBqakww/Es7M3m0nQmbT+llKNq2ZHF6c552mQ+3PWYeO46KONLHz/QsqEYsCF9nWaY1XjrvlSH
Lm3axaBl/bID2UQkuTiL7PRbP3jtZWrTxRmtKd00Vk+pQ+uO9BWnXR2zkx9tUIoqyAC/wOa915pa
blH0anPS4ms6WqcOTB5I0DDddU7UHfnkYvP5aP39BfEYsci4BTgfJN7vBqtqQ9GLYX7obXSppVQ5
Y0/fG7G67acA+ERPaM6/cEUcIgDJQYkx3/w6zPxGSbjgabdtgmBvgMHLjPBPv7DPGwu/G06Oh8+v
9/u87aHoQqiFhn22o72b1loElAXPptsmI5x7EzDIPqTGv/aQFa4+v9Tvw9QTqDtNHe+rjt/t3TAN
eyGTAXP51gfLeFZqtbGHFeR+cQM/vArFDLYpeL+4h7/eQCLytLwbuIGa0+gcUl1f2+E3864+/zHG
bMb+dabm13gGnmlcoy7L0a/XSfGuGU41Wy6VUa6wMqL8UDle+xYFpR3QilUWA1/n4HJovHusQduS
auVX09JsF37/NdjCkBtliFk/8O751TWFD1KGSY1Smbse8GVuMOd1GxsOlLdEqmtDliG6oNHLH1k5
uCd0btTfkQtf5NNkHShdBl88AfPD7+S6lkeRCCLe+x1HaGsaHFir3UJYLfZ6QydOB982FV19GbRV
v0ThVj1muNOWGXDMYz/jKp0YuqfvoaJxi+wHAbPyMgU/Nk3DU4/lFtVGV92MhHMvKghXOxFGw6EY
ySDRu682Fx//AN9AScqWnvd/fvY/rcKk9fj56A3cVJhKYUP9oh/s8FvELLasajdZBS1N+Nx1Olas
Jj/gdXz2Yve2bRx/36ODXCqvkZwES/+6nNzy1rOnH5MIioPlRf4GC9kImCvRWCu6bINXtPpiSXif
3sgqC9Pjp1/wbnQOHbjwsBxb1KtJeAgmvzjgmihWiaavurhhku8JlUgSfY82XS7bCqHG5y+I9eEo
8PFXCF5Gw33/unsjcwkm9nYObZibw5knvrOtunLttoD6pL+UmVT3rmlEf4JT6HoZLtF+RyvSogAc
he3GRMexahwsK6ToDNSxTMBiERfcKgEf2k5C48dYGAZTpXvjWula6Akmas2/h7FOuo8U+rkmjGw3
Icp2pX7jjFyIgBEsjXilxRf3/PetG5Bv3aAYSblU57T066ARpkfqccKEUMNiKwKSZJJspU3oUcpJ
WF/sEz+Yth32wJw8Kc+yV3x3okCx5BRAxNptFRavCLsCVm2ZQMhC/vz5c5w/6d0Ew5VmkogNUkR/
v7EHwN3DwhaMpCa8TQ0rvE+yCZ5YPnKaEGOKrFh3NO8QOGR6fX7pD1ZfB38UEBiLhYmN9693lBIb
5aMEhlLvjo+AMK6UW58IeHrN3O47R17niwXqbe/5228FkIhliwO3835OJ1igVXHMkOUYXpx6i30P
fqfVWERyaZFVhQH0toxBK4ZjxebG9uKlbEOkIexWPv/pHw4m4disLBbUmffLctx3UhD60yIXLLuV
XrlIIHHwo04t4ZBFyevnl/tg0XTwh/GYDc7eHPJ/vdMOQYZzfZCHTMdriyYtWE5Q4r44I354f6HH
2Ywkbi8ut18vk7RGiJ6uareckZsl8Er0fgVUYifwoIoBY0AYhL4BuXyG5izMEb4YGbZ/7WyanK/m
yN8P5VBWOBVyKLddT7x/XwdMA1PUotKzJPmBoD9wXDYT2VQjGLuccA/6mShB3M5clGmvf/FaGR+9
weyGuNns2yExvZsuOrJ2TKvQ8RcYdvS9chtNgOQOu2NLmRWNt1OS0EZSEJ1JbfRBC0lwhWKlJxUy
lrx2o3Q5aOOACtkiCsXsOvhbxDO2L5+PjA++puc7xErz6rPPMd6NjEjz4lEUTr11IJ1uehuHsk1l
Hj+IiL+4JR9cipaPjRyCRrUHZurX0YG8BI8Slu1th/D11bZG93oqopxIGkf/F34We1CMXc5cUvtt
VquKakKbZddbYcbNNQA0Z1OObnCWNHNH7R+Fxqu/Zo//QIx1Bfy8a//rPz+YxLgSZRG2iEBp3lcq
INeGCJ24Umxhkgq6orqhBm2uWd2oICtMjnZJ/OLnF/3wVnK+ttGOYHH13z21MNRJ2otEvaXELpe5
UDRqcFesGp2kgc8vBSub5/Ju1mSnofs+IduexYz163PzSIjpw8lgiNiNXm+ccSRUEovBMK1ACRQZ
8oPWXDnsyTNo93LQNpwce7XGPQDPLvcEL1dsUWPcB+2Y3ZmVxH1Poo1H5GNG5NECFE30XA5kTqWE
obebMMrgjraFERPpwk+yZtENDBJfisFAKaZb45nQIn8bQwCY1qXdEN4TppFx6/TmZKD7UcLcJEau
nLVFzoz54MOtzX845PYCJqk4wURnKiL7cA4GaCLsqqUx7jPCPMg8jI2cYHm9Mg5oxZW2BX8s20uR
F72HSKsfg2unBUWx4Z+1AV4A4YWKJpifokODpxBeeG4BXrknWyrZ9KLObiSZbTB2C63cGQ2CXAR9
jUnaUoTPC23SLIGFSrR3Q9TWS68vy3QzovQK1zRPiuYc8aOLcM3xqwH6Xzv4gB8lpgUyJvD6neXI
+nXqDnllrir09myuYvzKzy5m/JFOZKcgSILnvMFMprlbeAbJeDUELhq12EaSTMae7550WKBEhI0y
7PdsYtWm9pQfb2xCEUj9rMJpWhLe6W+LhiVqnQVz+Y/4XvozNWqcb2D+s6XK8tJatqTZGURyV2KX
e/01dd5ND2rpnkCt7CHTPP3UFQ7Mohz0qTYic7Vq/9hn46ao242K3OJEnOlC2hFNREghWzQgAwHe
ab4Je3mw5Igsu2qfkxT/ouhhEveJsjaAQl5sSxvWEmAC36Fxt8Ay9bVvx87WRju3YMc84Rj2w7PW
rtR3t8PhD2oHs5grn6faETtpQeORalyIOLsDoLd2NKe+En7erImXjDHxoAPt9dg48/IsugD3g93P
hcLUxsGdmiyxFZpxHcdYHqBzBPvAt9OlStKeTUXrLjNWiVXbutM1rcx93dF/RggHl39Kj6Q+wUux
m0OqFOnKeop0t0N4nBDaBRMvJa3aQrvEk70KPPsEgkOtjcGL8E430xKhVL8KTALx0NjrJ+ICq6fC
a/XzInIRInc4MZTeNa+OVhdLjb7ZyqNgvXXLUiDbgFbg0hPeW3ps7tvR9dYUKQ4m1Dp4/cYmFeND
rvf1QxEHO7y0N3E/PgBcKdYDQFQ8xcFDTtQYUu809/ayd4uN1MjanYR2m/pecGgDi2DpsPTWemJr
PIfZgZn4aHM4N5ziRpNXddigB+vV7H1qz4kHcxeZghEzaiTk1uA68efFeKRzeEowa1/tFiX2GIM7
T1cpjFGMqX1ZF2AFF+w0G0guZeyTv1l62KVNBs99buqWWrk15wgWUyaJJMQMXXHvL+uBUZYQA7zw
UmOv9+EIXacrydaZvDP+S4mKmtsdCFOM7bk3DuHQPhJC5rZ4IMzAHtLVBMDrUTOsjY6nBJmVyXfe
uppZ/qncKa12VooAfJV7DTb3sTRceLua0yVIujykvBk2cO1AeVZvKdLW8a5puFOLLi2y1YTE/Tai
qn9lZol5G+RFGu+HxGnWAorTpYGVcYOPDQEjoV3qEMWt/t3RA/aT1HertTvp2VnFIvsnyrjQWWcj
yUbJgDHpXKnWubFlGrz6FPd7hLYOzuYqkPpqGj31jT5T/tpUDWaLMW+NJ7A6zYojGp3Owqwe4fwM
WGzacduxY7n1Rjt5RJsHnwsSM04nsz4AL82WsSpwRBPnc08VjjYIzPRpBqExEiLLrx+Qytd/1hW6
glRp9YNbQy0lPbZDmg3oZhPjk7oXJdgfaFkDTpNA5N2qn1pejszUBGATO12FjiOWCRuuPXibdOVS
Ql5zKvWbTcq5Kd+Rd8e/35FvdVcHwwxUErGBgRZ/cIyV18YOn9Ma3FfEa89jUBsOoZ9EN3pOM790
gbVsWm6ndgeGh5/ozrzIsxA/7y5xUnknTdUPF2EQhMfYq71VqVfTRdkRr2pHNp9qVfHW1mPnRnao
pBfsROqDU0XREbpJ9UTpzlxTOBPHsOFVJVs8nzYTRorNUGJH2UKmCI+gAaSLqiMSR16impeKp0sR
vj6kuW8f3SiqvjcybMjzaozbNuZ+x0k6EjpWjFsv4qZqjT2eaQzN6won0nfSdFHiFs6Ewiytk3jL
nY13AsMN0x64RaOxa6TZiX8+ybb63o1V8yAj7uvkuvWf4JKxqUw9WU0LEDLBgWTGcdv7XfviD604
2lNNR12WfnhUsYAlA4QnH18gUtnYUSCwEaGAoJa033OUNybabJ8IPy3y6pognigpmKF67AM1STa3
lTGKYyzK4FsFAf/SEX355OBvWnVkYGG6gHRnYFVnEyl6y1yH2MoPI1nKqxC+w1mT8+MJKVHfPC1h
XsSfjciRvwY3EB57v0YBGHmCHXihe3QsrDrbN+nMk+p8ijirOB2CQ0QEQLwIpO8hwhuybpVMVdkv
Jt5zylhFez+OFK09V7Yvbgh6PAjGbG+g1GWU91GF0xhM1Q1B3PLOBvRPBHrJl8yEnp68rqmerSRy
bjR/qgmaL4boODp5YaBCKpqHrJ7Ulee0/Z1eqfQUz4/bxMx2LhIjOJG8zoVSbdz4rounhE1GdLRb
7hpS7/EKl/r4qk9lvNUU3tgFRfvgBLDK3tegis9xYfCJ5ZSe2LKrbz6EjReMIrZ2mBpK4msEMeOr
W1HmWwZ9FJQL6i3IygtHQwHuaCX0MmDJOXBvzQlOdsSRC0cubqd9LiVckahnJE3YcJh6HZuRxpwV
HbM0KVGG4JK40ojHxAU7ZrNVpPUiMqWt0iOLou1eEf1wZpJ6TlZYPtSv6IyNOzsEqCOH1vgBxgSa
Iq9ejW4mm15LM6mapWPCt182ieh/APQB9xBAMdppVcVtwZbdtFtMjoibHLa8t5OZwWDudGYz15E/
VOXV111QzNRps7rs5Ai2I0HJbHReeAwQnWw7v/fA8nmA8hCvAgRCQrcn5Le7r+O40K8bDVSI5ECZ
i30J8+yVHbV7wZk42FR90DCJOaZL3bSzehrClvc0tV53GeQISWSWyZ3t5Dwals1zq7HTHuJGGF85
dlttqsJuvzWVhNE1Ra9dWPI/tajEV4GsrO+kj5BpVEEcq2xIaqaFw1hIy9ka3K8FHU17lXYN7yFI
wvFk5I26YhMC/NlOgjszC+1lppU3JGZcSJcpESZRzFkGk+IAEPGypv5DIpM8JHnVcNnUOeoDRDFo
ecwbqNe2So+1C+UQD1pg+L5xArPc+wr2NpNuPi2MgmZjTbLBnqD7gxxH8lx5Ny/0cGjOi9AtDoAJ
0KKaFltAn/YfJdRnXwCrS91CndJSWi9k8x1qXF9MabB1Jws6S+EYFTkf9plSiX3PfpuULpxb3/1h
7jOV3Saisryv8e7SLYvYkMqETAtPDeFJL6IBpHi1c0qscv6gIdGO63JH5N0z9b/8Mc1dhNBuyU0y
MUsw0XPCWbrjiEuOrM92n2o6gIxAA/yLS3DTQk47i4yeHLdxGK5sLyUnMUnam74G32ENfnjqWy7S
i8C96gFsLShMj1idA/sZaJ5zBzYx28Wxe6cSHeaKDCP2gWzlCBcbCR6Ph+gi9ijclIa5RxxnfI/0
YCBFRNO3nWlMKy/urdUgeRnbChnbgP9+HY6jc8bmwr5PbEFAmSo3vE5MwGXC6TR0an/rZ77/CgHE
vFeVbVz6uT8LDXP7lkiQZKnYw24Ec9dZHrTZnSFc93qUPCUhoTFvXPaFiNcamMFIEX9MtJpwIIZd
fFknDIO4yMKY1LKiYlqrRuweOTnaqiJxjgYC1mPs9b2Ll91E7PyckAtyCIdi16V1hlPY1s7LMVHX
k27ed2jzNryKhGZNCRs1PEIARvrL3BbBN4gabDNsuUmZApNF5XXxydObaUXKrnfWjjNlRY/WkchQ
cVuNOOaVKMtlNPgGTYsMj99YygtHaCw7uaelvHCk8FShIiU7sWZLRQJvc9E0BcfSjLjTinyRQV6Q
4JY85KbtbIVBAZ7SWsmKNVWUNPpYU1d+YNXnI8VsTnUuPt9F3yTpwR9i/SRc+9AkmHMC2S2l16YX
GU/5rC2ggrZ2mdEcxe9RDG13Tt0X7Hyb7Ayl+Q8+PVPOOc9NiaIvj8S0rOeIZoi8kbcAAWc8gBls
9qXpfjcm50eAsP+JHWv2lJGix6TVat/cDCIn5JJw3bl9fj067Fgy0vZoeoN6x+IBIpXtkNpBNpTx
QbPKAXw/rHtgAMRlsMbYTnnUyEqHLzS65ZHyTUkcAn7qkjZAxiQEvyF5yvOkuDZrL792YurIi5hQ
3G0SDd1L1po49tskeiEbkBxcU+MDa1QAB4GZ9mYEeTU8NOx4eG4xhxwQbSRWSM2x9lnlsaL4qnpk
taR2NmUGLsmQguS+DGLzlv0xJ9M0j+xDmKr2BaBF99L2LUWEduzz19QuqCq0Uxc86Vigv6dvbLjS
hqbY1ip4MtOGQ7gdxBq6zSloXzSBJxCjnfTd9ZSK4ibDtshDitRQbtywk+XG9gcqGj28JdJSzJ4N
DqLG8iZyeiyJPpHVT8IQ/I1fKXyGbuITZGoXOsOosDCrrmTLt4QRiFxqVaDScjnEKC6axHbRnsWT
6Dg36oU0cEsiGw03bF755EnzVLm3B8qPq8j2Rw0OybwFwOvG5oXDlH+ewMwqVk6Ts2nNAiheUIFZ
6paZ6vEtNpKgOiBEQF4Be+avZt9z1b7GgroaMDg8/XUzBU4RMDe0J2O4STrKNNeYVLngPFFuLV+E
S6z+LRlMb0UBNOrFjUA/VmyzOKHcg7Ig5oCZqnRXGVSBjmaNzXbTiUmcjQhfbwQ5HBWPkH4ruTI1
vy91BfWQBqNictaiYoDSNCL8wGXSyVfpUBvFiwi9+cLRjOg2HaW5LXpoqznU7evUJUVnWWHDvQUc
2I47RRk+ONo9P3pnStSblNptvjU5LDw8Z8Q1Rv8PXghU4Jh3l9p/NK6oy3AXJTF5HZOE2b7EnF7i
BV/WPx9b2f6IAY7Ah+gbAJ+9j2MW7GZMXHmm8/5gtRf6tCuo/x0GiOnEVZUdOzoR2VWy152GIkpD
byVhconJ9OSd4sDNIsz6BTlrDswtiCOG3zzBdj9G0tKhzrOFzNzCJAUVbeA3A3jQmkQT/UBPutkN
eW9d56GnztEyxXcE1Q/fELnLv9pg/zZlfKVBRa71U+X0t4C7/yZDqiwoHv9fvh3KUf7kbwUqBdQ/
EAgKi6MG7wDar38oUGnr/4HozEERgtrN1x0qrP+rQHVRoPJXHtvEt/+HD/zbjmEZf9DQ8cg6Rhwp
aOz8MwJUlCe/VnnJdxR8r5lkiCPD/k0uSccBHz1hRudGXGWqho49dDmxWJ5g2oDLKj2MFth1u6kn
gCUnB+6+8xAurFPgsu0tpIRuahbInxiUWZM01YDuURZ15d1A1sHGBggJH/9bcxamyMa2BoZ3Ufgj
PLxh0Aj7QTqXy33TZznv12IipLarLooMnTpwt9gDQupVxbmYQ6pKLZf6HvvmeDHaQXCbWHV1wCr+
oLWl3A6ldAmEV/6KUMzqPMnJ3mTb0/P+CWoVhLmQxRdH/TAThmccL918fz2Q9T6ssmZiGXMyR50m
ksyf9cqcX8aulRcxKazNGljz0C8aCFnYviwcqNtCyWyrZJN5K/D38R7ebD2npBHUx6Kjx9ta04Dr
O9XYQW9JYYZpGZWRKLeZEoNm2CQTdWy8ywUfPO/ImQJkANYORcEjjkzjNDhRISndglWJ2lbiJqxG
ppo2HCdoWnmDRa2WDx0n/LtgKpngm7DGkqVKT83J24IfSmp6bz4EOMfOB5rm29akhmQbqVw7YVVz
1jSa86EsDTB9tjus6SYyi3H2FXsHscudz+7sHOQa/e/4jUcevbHJJUMdhBscuWvQJGvzjWJuzUBz
DAhzNRWwANq5mXgu3ujnKHUhoes9WC32LfmunkHpOEVhppszPn2YQer5G1N9NDv46izHWAuNGbvO
yUR/noTBAiF4GzdpEDdrnVSFZyZ+knz8JgfgXqrqxiia6Aw3avZQzqD3QJcQpyqOabtMAqVdmY17
pB4BHH7GxAN5dBH3RUixlvobST4MM/gt0KCg2Tb+UWFt2IK3mxnHYOijNyI9fL70xsksop7I4MEE
BNR7D6HJ3Hc5QHtHuMETbwOU+yIx/O+o8TC+jm0n023Y1ZTysrjfD03ubsyMMOSFXwTtDXHPf+p0
QjhEYF4M3hj7vAHxHliJBTLvjcIfzkD+3OE8lEbCe/Ro/G5lGzkBFobJIOtQ0uXAFwXbv4XyL+ys
uaw9ffqedTnl8joc78DE5bvgLSFA03SIaSBqLAgSsxi1VMVljQJjWHRvGQOmjDF9z8EDxDCW35wQ
n82g+cW+wNd639UZWQVERmen1Abp1FLv3AL33HalxzjkeMMpFjcVMZk1xcG3HISS1W5gZgmM4IyF
Gi6d6KojkF5/g484+wGdd9zXmGOgWtXJXJL3F0XQ/ZlALl9ZHK+WwoNhDtDDX5a2+Qwt5B6EA7Ld
NPQVfSKT3MFVbZGNkgEm5+jXO1cD7OGQy6aCwPvmry7Zv1fFL1ZF9NkO6ql/NEx/WxYvfwz/8Vg2
6c/r4t9/9PfC6Bp/eIJ1z/VQQwARmv0Xf1szXP8PF3EKinP2sLOFkUXr/2yK2AdnIwHyfqTGc1fy
74XR1uHvYnn0DQuG6puh45+A7HL1n7ufOB7Z6dHEtxBs+p7zXhdu0JaXuh6We07amJHTIhRHq6Hs
N2XDV0aMuW37U6f17VpINN7QwDbSw3cdctmSoQLDsti7lEYvJzkalwn+j7uRO3Be1/+s9me+3gwo
BmLsokkHMf9rZ7fRLNNln8z1coNVcMD/F4C/IwanU3Ndqwsca20pz7gdwKjd/jQOrr5snM8XR4ri
kErE02P78+7H1poOtwd71n5quu6FDQW4qsyQ3vnI6eKk0LSBjte/kjt9cIsFd4sIHJw23m+KX3bz
STN4br5vcmOugUXdiyQTh6U8piYW6oCEP/+Zv10Q7SZbOAYRGDp8uO9a9URBqArjob+LtKA8cz0y
I0c6E+vcs7QnK5DO4+fXM94JEmxeIN1Ckoc+kJtrvhfhjEgXpzBQEumiAoLcs3ybx2mqdcmWzmbP
NfaxcelltGXcMTVONeDZO1JKXPIR0ZkXi9Bt3VM3mua8yxE9YOYqas8N5auH0fS+GAUUiN4PeldQ
NODdpzNHOtJ7AUWR+16Y5F2/Y38a2rdazrbnrA0zpAZhSWkir0FvHgxEFBmr2pzBwDs4njQ/w82p
R45zeKvH5mC9nkMLieaCagFjqaUGeZZPnnGpAD1FB6mboHXe8hxoBnIfSEGiD9iDwIBU3cSkOozm
5G0qTqeXQAm0Zt27enlWaaM6GZ2jrgJ4TUA2CdAS3z1pVRwSccRLUiNqAK6NJdSVwyzhrGJPpv5M
YdIQ07FbONX0+xlyQYI1FTweyNGZ3RMZxg9GKTwW4nfiRF10ti/ta1WMw3mhR4SNOIJVWKLcgzY1
TwRE7vCeKmpvV9rQUWFKa5hIKqirx54uyuPU6NbegXVJN1nK6tHLLXmlE8mcL+HeMn0pPfHXidGI
Z6/RSR1tKJ8s2GxW0JA6ddJqzbiFckWNe4qJ1fAB4e+L0VcQTTrqLJykKXG1gVCn3m74pVVqgzcj
B7ZeEhlAKZnSKLsqbxDPb2mn3iS5b41t3JLmOMIzqP07+r/imda6OsUhTtPaGoS1GcuYcAxfkS0B
mzhQp7/GapSElC4iC1PGRTzXczgxcwpHblU9mqNEatYOkoKT1owpaCN2iPk+rbUal4uDDvCN+hrd
R3Lw70ApUNfoUuh6a8SNjBNZOPZz2XrVYxRWvPw1FRN/xPRA3EBCICZ5A8kCF5m2tENVnjVk1NK0
Avtx1ffj3IZwTG4pbzdtApVQF/krOEP2czqcHxl0I6O5WDhU828dbD+jZlI2u7f7b6sOYkbv2RBW
XRdltBa1y7rw9cu3fwdnPHHho54wb0wRQglZXaNVk6sh9P0NAQoM4Gh+PZwupT+ONiMIzoxW6tVS
tkNPS095/gkiodGA02UfSphxBi3zkg5jCwAPSqGpbioHhRphIqUK8OcmMF8DnLcWkOLYgClvdK4k
SznXCF5piabRtqPeJ8OqpqsUnKqqEORrl4IdcBERJnRuTv74iCtoeJGoSsChU2WOr4ZRM4f7ltsf
EerBOaY1I4jViBzoJ3lSowGbUiUWUnCf21u4h9FaxVSLAw6HG99CVRTVoESsGlCRl1iXwitp/ECY
CvxRndEKUbdO3lPQrQBEOqY2EnVCuA2gcuOh1c16VUWjs+jIxDtqGElOA0EVNCYCKZ7ws/s246sd
8O/4sTqTrkYXxitDCmHAPhG/QvbwQPC8kFlhXNIidw9UEJ3LSi98qmyTTQezGHIeuOLsuZiSMN7O
6rMXP444TrZaH8YrBrd/sJHi4N+0ZesvSIoL7ixENAVeY/tbF4X00Jr6uTDc5DLJEMvuaoROM53e
YtDBFmZIjSnyv8jgH8Bu9erEMsdYNoMiineOFrBK07XbcsSoHoXR+Xf5GAHhd0MPY5mQkgMtXsE7
FbG3oNRfPY4ol8hMSodnDorhXcJJ/ywvzfQWFXlynzQTL5Y/Cmsf6BygY2S8OKV9BM++HxQrltHy
1hFAG2IO6C0/I9wYFnKvA6lMun8/tZXxlDeaNu2nyO69vZU3E9Q3o2rVxmpQQh0c07K+T6EUzho9
2CHzq+CcCMDwqqE2vCfJ7Za+NrTfrnmGOz7P/rFx1+Z+v0p67pPyE+Z5NCrxwS8r86nXSJFfZtGg
X1T+4N6YDgg7RDPDXli9JlfWUBtL3kv3zA7KxtugYyiOqqd5v5ls8y6PvGpVqhaZkMwjxEGjWSPO
BNYpF7kVEBDoavb3zLD49ytWrOabiHyTKDNviDGikPZWbiYP/fDCDNMeM0+bauc5pzxuXU4s89SJ
8AF5TbmjruvRsrdAy/CTtq5RNekSKUn7WCqPvUjVzbxHnFfL1JA81hos0TrOWnjYkZ2FzWXjteOe
cBTvUuNsdNdAVs1XGsDbFz2jPikCxNMwACYGTU0L9tSGEJ9Cpc1Dqae/vgqj0riEAsJcWuN7axeJ
z+dI8nm3gOD983bg0SwzwptD0OMEpC9chC+LuEKVjx2zYAgqK/TPnawCQhSaBApmjWx2YySZB6UI
W5JxMQ6c+1UGk8sruXLCYpLDCaCAX1lc3hFDjQhpZB0vGy5sBZP9PI0JE/7bFOhGdEzXrjb3GcZB
z6KrGZFcLPpqsM/JOtBBkAtSXxqiyV8KCLBgbLDkOKystXh2M9bHFgUT+SvouUhXqUuq9FknXHYM
I+ea7V9fyygEgVN1RIPvEGgay5dLI+eszppmJ0f6152c+wr/w96ZddeJpOn6v/Q9uYAAAi7OxdmT
tmZbU6bzhiVbNvMUjMGvP0/IztPWdrXcdV9rVXeV00oBQfDFN7wDyvF7B509feHOboAc06grb7l2
goTRgq2i5tPsdm1K02birrOq5VmRXOSStcq0vPM6rC05LYLBg8RapknHSAS9p0lKRi5ecDEWfY4/
cefr+9hq/E8oGxBYtbLyq7lVKJ4XSOn3HBlO8jDLtdHEzTK48lYRYmAEA+y+RLD9ApVC69ugmOzR
36Kzzz2T5bxaUrkLCnhoeCpO8i4anAehOjPLUguWakp6OEIlS2ZWtGt446UPcgxhzZBZG4Pzob6P
zRvNwXA8r2NljLV6XqPloEi/GVyjPbLze1xS91BBYvvJsbSHvQVHpZzvA8HA934KlhKgN7PMJA3v
ygJoMkdVG60IrIZJpzFcg3iVOI95SLacnC3zgDSyQ7pR2o2/zyAHFNu4rLLdMDORmwMgb5UVkYNI
N7UvCpCgN6IaJvAIKSgupCJ2wB6iixK4xjWvv7trgEWcF0g7/8U0jeHWALia3glHjw6rYwKhdaMX
aR3KcfZ5DpBzNf38jS2jS0/3MUgE8RGIV7YTKhkPjp1gmogs/0YtC0b100Brbiidu9ojxGDUMSgU
fpEhcwoykiGoim9W5vlo2TfxEVBiBfi1m5jX41mwJSp8qxU4h1LfRgtEPfY1icHY2YhLtzYy23ra
AYdAu1dXxwVoKT4CSXy/0M845Byiu7xL5/3iAWKxB+8aAbT6I2+bc7leygtOPkSlUMSj0YgqfQjL
P4nK6xFiKETkVN/auk0eWysYP6nGFTfNVBlPw8QmgVy6szIqmSRNH0Tl3JH51XvXmu1vPqihCyEm
L8s2lRvlEE1rOXtxeLTy9SvSHbwQb+QTPoDTxiGQ0QZC02QEyAVbnMD9Ro+TiSAMsxl6piPRkA7g
JQAMCyiI7trrvkA3clOlRJssACC1XSc4o5t4KdP+gy7mHJIGaffu/TLKO61KjECLhMUAQYkWxGnZ
j/BQHnHitccWTRSS/mlhsoZV/HL3/nV+qX5CQzJEp8BIU0BVOCkPkXcZxrwZ2mMJqCbbjID0H7re
eBl68A4vcRKhdHkNh+9f11TXb1oNXFca7lZAZQr31Tz/TxQ4SvJS5LRKEcAsg+fBqtSx6hes9WZp
mtxNVeu7IEiJxd1kstz3r34ybPC4OIwjqmI+cG7ilHWg0c8vZydojjM9QFTfQwWC0ETd/NW5cMBA
wHhqKMoSk3mjX0Fwf72F/3TsftOxQ6GHydP/3LD7v+Xz5+fq7Rzr9V/5R0mFWRXCYIyraFA59I/Y
sf8oqYR/eEywhDEahnrz2r/6Z47lM8fig4IvSCMkgEnw/9t1wv4DSQQRkQ6A0rRhlP47g6zT79Yk
FfTrHBesEJDe0xZa7rSu1wvPOkaWhVIjMvfrcYy8/uGnNfkXzavTrqC5jKS1SA+JJqN7KpmygoJD
Sn2yjv1KbVs0aBOK0Q5vq3lihP7+tU47SFzrlenpYURGv+yVn/Hzp+o5WNdMIj5qp4lu7UAZrIoj
LnDaIpOiIvkdL0+ckpdefYuxaPdt2nLoDti0eH+ODihd+p0jVYyIkoqpD7tmuGrIHMEhWRWeWmFE
QY3UjkBxakwmgWJwmeuzoJkZ+3d+App4mjiVMbrIzto8U8eoWQhvOlIAP5ZMXdHdjxipJNHZa9FS
cZIjurEYFI1TfSyLMjorLTU80nipL6JJtQcL47ybWIMtAizk1ztBHnuGRW11ThtB77uhrz6C1Fq/
RqSrSFd56gnk4rU96mw/yxJXrLa0j6srimv6KUG4Tck0P7o9oJBVrM0ttUn+6NooX3Pilwe/S+st
rJEJZHk9H+0mRhth7Vy0NHCoUJ2e9066tBtMfvtL6QzNjWpDRib4rT7bZWIdy2Dudquy5mMHeIF2
whLFOIkZUHgfVtVVsFbLR3Qj03FjdzOocRV6B9sAybPCAnm6g6EigZgjDWsA57RiDPw8rdv8IGuJ
y+ocs8+3dgraeGOLqv48wmT+lI9J+CcQE/cuSuwIxIjdRy85MuBYiEUKwGblYvOxAcW0HBSgWeJs
KFJwMCRtQCK88tYuJ9yPAvjFV3KcR9x36vkp1Gu5NQO3neuW7L0cJdSNl+UAc4Vzly6ZjXY82mtp
FwV7WpDqU4Wg5qGBd0C2EwDkXBAnflFVlZ6ldfpFK6zUEug+lwltGjL31U9x5mRx0jourxkqrX8i
U2h9FJjFXtlrzPi3x4/iPKgn29oVWY7NlYWJnYcsPH4dtnec5rrfC50VV6Dwx5eEkfPnwjEMkzXB
MmBvDVl0wRL0uzQOvnSwlWZnVjd1aYoZyQBPgPULCu8ytlBXLYrkMeqtjE3almcWmBAANxUz1wXo
awPrcIsrQbCR7XCZA61GyWJIYLnbYf7sh3jMrZakvQskL20CxP9l0N3Fc+leBWQt8LVmXK1CQGDR
xNcDXWm6Fig005oDhlqRf/rKGq4Lt14/DwupPm/W/wz8t7gFd+/uinUY7jofufB6CO+6Lsr2QG//
skYlbugrwj7Ta3+D7Oq6n6NgvmfMDkjKiSZMKbyPtCv+pK3QuMesCEH7InY3pfoLVilQD+NpHGFZ
jziIkZCFrWvEfXMw4klV+PvAHYHX6hLQ9FU4l3o5h+mdaHpRSWfbG+qnZH0q+tljRk3+2c8I4VpN
t4NY1OcPnspD0mMjUhRO84PU6JlEDqY0Ox8+BXLjcZHRquiwVIuGsK7PKKACSabuJeGBZrWLOCS0
fXuXAZQJD33eZ51Hf2oIDmgVrsndVPj8JHD7CZh4h13QpqlUPX9IIKiEgolz16eXUWxNSOH08ex/
ctsUUN7GrmMLGwQF9vQpBxbgH7oFb/cXaZolmxTPNuuiID0e1X0BzKnqzpyoLz6BDSvuowkQrIIf
ZC4mwZjaQ/kkMRdU21i4mALNYwCwbZlAX0FYYcT/yl3zByEuZjfu6Kwv/pFpLbivBWdCjUdJ5Dy4
WNxCgmNMAgo1DuJ7rcf5C/DmGAE+p24PXkE/pilpbsM+q/WuGEvvvAUndpEt1KoDjmF0EI3qFF22
mYLWg9gJJEM6ByeAeV+qrN77bTRs694Gs2bptOINxNHfi+J/dYzy79fejkFi1paBtU5z9XERXvvV
g/pLTREbpJbr0SHXUbXuxiAp073Sc3OOl3F0W/pZ8FxWHfcnysnBDF5WH42qTrEtwop7s4KWv/Ot
AeRZqMonYVOxgw0PwLKuVXOfVCmJP81rcBtLg/oZ3225+08W+L9S1ANU9FMW8svYliywL06SQPNv
/ANmcqM/MB2FgRpKVJN+kpaFHorqLNLCKGmhbhP9NLJl0Au7gx+XzP4EkEcSnR8jW5+/8hHEMpIu
hg6P0N6/MbJ91e/47+LG3A5SfmiK4+DMc4JCepu+hHLSFZWm9zUFXZp/4yyJ6bXNs2t1w24Yclc/
5SCTh0OvRVlBbNS+/wUlora+wjEUUctDaxn0X9GFFmcljV7TAwjLIl0elV2hbIkQUhuswSaLwa5Y
GIBNEDG2ohw1Nn1ZDt70lhYvrO9NYiPr/UiVR1VVcjijCu7pKHMNewbc15nokUHgdOQojdQWCycL
JdZ6yntc3zSmYkja//Qi/0XqeqIdYsaQkTAOEPyfzxF6ujp4/DiQQFf/a8vshJlElcgUZDRnGKkR
PIKISy5OVlffKN8z/YBCBf3HrUuk5HlqZ06Wx/dv6VXu4OcXBjcFIRnpMdAPBBPwkxcmcxeL2l4l
L2iU+sV162VJcbF6jDkytD2DbC42lcygweFG3YbjpsiXFnmu3G6b4pmWrYY2JEcA3Bcc5j1Yb1jZ
K/ZF5cKr2A/YEpIRqiC2lj1N0S64WVekTNM9XBoy3Q3q6yOc0/cf6m0lgpIYi4yABxWPj33wL0pP
gDBxvi/K+qs9405579eZ1dxVZdysH96/0Nti2lwIcIKp4X3QddRmJ1N8TYwFs7/EL4K37Yh9W8aF
Bx7b5gtfhMy927lvfCMRHPilNWxB4crpjpO2/p3MxNuq6PVOUIAyzQwmD8EvTQXEQ7QdLXnwMmFk
Gdz4eAQOiMwBRJLignwMduq/u8g+o25CCTWnTbfGhKifCxXLSSzZlFJ8KcdONQjE69aa8DYM15h2
9fvr/LYOM09H4PIQlDSSLJRi7ttrubAZijbz3ZfFSfA8/OoaTDLmNe3IvmNUbZa41ME4/g5C8MtO
ImGEt8t/UP0h6J4gJYQqwQ/kRf9lsaEfQWKWxpE8dq2M1X3/GU8qP/OQwGZcSjffZUdF9smC5iAA
ixng/0vP3KOSR0be9WPJXKDDSVniEdHeLtEa29VVk6k6sPf+lBbrU97LthVMggmI8cbGnC76iEK0
FAzXptotrwq4iaE+orPk0Wp6/6Z/eTFGHAsdc0QYHPT7TgOaExV44jLS/1JruHRio6yoyL9Njrb8
v5qmCtD9B33XDL8TwjrRDGSx/Ii3Qq2IMib47NOwFVuQ5lrlW5/hOjsuwzLpoy6zBeSRIhztCOw1
SsxdvEI+azQNFipIpVQEu8Ja3OkBZtSMlH4aLuvwOcEtLDqIOnARN2A+3f+uo8l3wQb9KcpKbhBs
iPlMsBgNaQS93cB+whyhGlXzOQ0zhAY32CwM64cetx421arJ46ezqAeqe2OJOONr6mljcxjUSD4Q
LKPCS/QXNmCVfwuwneI3ZDFDAxAKDvoF374HYC9uiS7+MibBX6jPwZHZTpUs2KkT5mG8nVoNAccw
UuEYRG3SKjYh2sKagwu6einDj+Dnh+UT1HhSiA1sC/wxd4g1A8/d2GsWdPnB9RiTzBva3ZlpgXg5
4g7z6OCFJDCdWj/w+Uc+hHWshZ8U5hXco9PmUT3CRBudv4q+afN6PzKNWJ/WQcjpYVJdMN31Of9k
3qR1TgTZpGnQ8M5cqB5cusJ5odDbHNVvPnTq0YaHAV6ap8lBp3VQo/c95y4/GTjYpqW4a8q+ghuE
DM7wcZilQSHrbsHRdtsr5mh6nycRl7ayGQOxDf0HczUL7aHgRkRF1n3qwsyfjrE3ddl1ycxQn81O
v9SXOBPr8WJcxoW9tISQfLTRBnD0Zcgsg8PSjgdzZnZh7PK1QWsceiyLcXLEbOjHA/g5BhgQAKUd
BfnORlaPBfXtmu2HfrsJYmUlbavaIx4e8F+ZbDVMzL7FTeif39G1HSgZkcEcTrdsuWZeNiJdfdZg
FJnm0kubEhxReeeZku+r6hUAFsTGD9uRH5jnAYOjulQjiGgnRbO92gtLkrXpFvQZyvuQpXk8Ar3Z
Lk00cGqJAvZTv8/jIK/uaow9pDzkgjZXsGkhq/FNTXUUsWsSF5NsvRUL3j7fULV1YnkYkqEIxYXl
gTH40lXLxBo2y5RzfZ/A6MT3YWkHrMkqx7Ccz3EynmiAJyuszXCXO4vg7zRuJuYh8ghsx3UHjqtO
9o2lzHuXAGa5O4bd9AL3yL2b/atAL/AnqtBOTBdRP3n8FhiiHp/CmANwzHnzwC3Iw5Ah5ZZwUDYX
mkfmkvnOi1L6qtsAKrj+osMO+/mdWIOArgcdSm4vr7LQ5G3Q94vspvdC9n82evwB4U4tua3ci8wa
d1PFCo7LDGCDxjsER0pBUkDgtID+WB9c6MwWNan19NCGNf+/c8KSD1jmA7GB1HEly/DmjO9cK72a
4JHikPKcd0KZT9qj2Yeym+05vAm/J2+sN0PriOlB0mFgFcBbG2IOM5U+r64hdjIh2XfKjD229JVG
s6txx1ID+KJodfwj5pT+AsrdfkD1JoumnRN60kSmtEzz9RDYNExwFm7FYSh04qGBl5rJawIcZv3g
a72w/cOerjVukBiz6ppEYW7wDfX9qVCblJK9s5GpykV22zhpBhuZXN284RqdXnzqXb7lyTpHXQGe
3mZR3dBAZCyh082XBZUt9xhbwPG/dIiGNf5z3TtwIelo5ggu3EeU4V590/RNtIT0iDIPc1gCMeFm
P4gk13gstCOKvJuRvH3BqcJlCn+MsYwAwowsBWE2+LKCC/dSE2w1zxzlS7FSP6t0SVN8Hpt0dCS4
TfqqbB7cpc1OhDzQtYdCoxDNDBMBMPYQahxdkVxiJLTyd50LXAmsqS8IlX2HagiIO1h+4NQW23LG
7qafA5eQi1nAyFtCWhrQ3b7R1czvijrbRMGRxWfnwmiLh+lgD+3MT1LCdPzdoGITlwp7Mu3OAatY
9Jy9MSE8tR6M4fkSz06iw8Qq8i1gcdWzoaZOCWyXefud9i9DnbDTwxJseXKZLtbIpT0HlgpdYZpP
nPXMmDnlq9iHfb4PAbyzCMMwdmzHJfCzxuJQVpr4oMPU8m4XW6sWwq+uANq03QDabh82qlGbtYLA
h3ATjQr9pQpRk7j+UYcQ9c3izE0nmugMq06wbPskzVGLOB9zdFgYYSP+u0Ngoo73HprH3X3cLTw8
zpAl0R5esOSOZT4jwXJoqlTyYefjSjqN1STKxwX0mddtXWWQ+ggyXiPYuCuOO9x50Fgm3PdWyKHF
bB2Jwr2AnaAgKAONxMACqETGl+uFsS9xSgPoghVgRtjd9VEBSmIjV0cHf0MzKdW9XS3lQwRPCGcz
BQ4ARYoa68ZD0Exj+6WtOGMuFdAvPDu5U7Ft6jbr/qbtGkC8kHVTvngIBaq7ynjOPc+rU863a2Rh
KYqK5kBTSPhzC30IxR2jJYz6fT8e5tkPpxvVYVgHH6ayK+dKlByr+zgcJmfb8Y4UQX4JuxUqZT0p
bwGSUEwmpV/VrJmKghdxo02rLD18ilxn9OBgDNpDXLLzUBDZRCWafs0GAFDqIAOj42Q4H1JOsnIr
GTquKxoE4JPUIXZXumJ03OIR87fierZtpz1A80wYZ5CgrQ8JflYNB18wyIue9lu4ER5U6612iHBw
cpOhj3YWVFvEl0Eao27nl8lRumLYoVsxr5dxVKNm6cxO6h7idnFqMACyXLETjIVvfWiZG3mPY99B
ej2zW4lVxz5q7GV5WKBJDNcWmAvrzrO8fn0aanb1BlhPoB5XOSWI0JZDIFV7Fi5+si4Ybco22EWw
BYuzOBvy5bBiMVZh2Fg0wk23Uq19F352qjysX1K3baZlB0NGd8xLfIGSwijbRm5g4PsDjPK47vxw
Nxa2XwZncWUVwQ3OqVaBW00A4rFMv6ZhbSxltk1YjG6zc3ys0JFMEoOwkhvl8jD5hx/Zt42+QwCL
KakaoEYzejUcS20l4GE/oiHatt6ujWcVI5wA1J4cRU/SJxuL7ZkPRi3a5Jq1pej3nikB04pjJSKQ
8HF3oUkfFQc4n0PqBSbCVb5tMswMkKITHxA+hv9sHqydw8sV7CIpKWSUiaOHmUPOKTPUPmIuZ1pK
fudh9BuT/UFpNZWDzB0DnNXeVDGTGrsqC/7y677mVpzWkkV0llgDvYYW5RnCpN/3ZPZhQXPTPfNc
nywY6JLJorEGbYlleQgddGbGMMeobYuq9+395KDDIo6RB0JZHWvmmsSUaqxsHpS8JKTf5PuVMgGx
Kl3O6JkZKKnJrKOBBWpr1AXLbdjNC3eqklRy7VEiTLveT57f8XdNHC38MgRUY76l3m8U999HuYmT
hScNHc3NnYg7quMWKthzhEQuPxLFoGuf3GFUwecZZ0L4si5c86ukySeOxaHFVk5c1K00KUsawRiM
IP7UweB8G61eF9FuBtM/Yqjk1PQNGJfEC2sbIRrM8hPDtUmRXts9QV+ZU+rHCQbQmHUsgDgR0YJo
NnfviNhiIdsE9ajmTGeg3r7hBsTCEmZycwdjb6Vsn39WAhEa2LtjK1YyUhjy/MaGYQE24IVT67Dc
kBCZrZjZ5AF3frXE/l+lcug9fX+NHJiO80T5Nw4PYRcvPLHIa9QzsLamj87sKCmmOf2wzrkdR58m
eMt5cUzbIKnmc490dHpYpWuyWGdtTfNJKdAu6TnYUZNU2AOTSrQuXG0K+TDo2CwV/TqIwNlsKzns
sDQlS0nc2GTzEyZDyj9iXdpP4Qc8Ot0muwpiaXM/+Fyb70AIFPo6IJ0kmQ/gBc0n0lWdaXjVeccP
xJNnEjWnpDTOOsZ0SMLEIzqsZ50rS/JsQILmdE2nKeHQxM6URHUrREsWGAjEeo/TEJj9CJEQeaGt
zQrk3+IVfrfe8s/NT5OVqPXDXIaS49JJuS93m8Kj415o4qMTtHNEa+72++dRDEy/HsBbodhxpnoC
X3UlFjElf0/hnDA69h1ZQGmsOvYCelKanCA/eMoze7es3ai+rmYnmYZdUvahM17wCypBUjs3gMm2
AD8rrlWvikew24nZMDqlJrWOpoaSL5FRpp4nNWaigks5tji+U1t64sqbHSS4Nuh+sc8q2zVFYN76
VGyQBM0L6b2I9JLCk/c8aH/Vl2J2qZ+AP+hlOltc0RXPU+qA7tsiFWEyH4CYE7lG34QgBs+yJSpI
DH5UxOGKSsp0WFB3pPqqk07wp4SaBZkZFLeXL2g2dOsH24KPtIWdmVKOTKlKeusYBq0YH/CiBue6
tWaH9Ucf0RTdEKtMFqYWxxT5MlImkU/ahv0R93HCWxsqGrrNbgmtNQKDDBuEHCXyG+Z4JCHEAKQf
qXnPO4kyERD1qWI7BbDv+UUqXk2obInJwbGVWKBgPiIXtv4R8AgzRV2E5FHfP716Kk1qVVpVVOM+
BRyz73bDNPVmY9Sz6R9ZsdBmSyKIPNe3trcsdceCrKbi9iNrYCFnB/p/caRaTtrrgHEtyaue8+Qs
Tutl/BgguNafh+OCLnTIMB1F6BHYLvkBcmLYLB8C1EL4NZGHvF50lne1yURdnBCIM/P3qnEpkoKv
tEOdliBFwj8CJqdz5ZZ73DBNFfi9sCjj1dx0s8I/TLZ8ZZp51RCuVLzeFOZsdIokJvrbOa1rXink
Z3PrY40ATbVfgLcOwx51FK+4li3NEX5w1ewo7RYmYA28RmjRgDGQFtqADutXJgOpqItn0SymQtff
I0e09CbRhcNlduX7vbV/0TMCsgOdjoEORJ3TBmsIMnzGC2X+vMSDqTNBTpYYUFgeGr7Rph8Vz/ub
S562O2lTgQ7zAYl5hhZ42mfVbY03xcDw3g9mM735vjVK1KA4ut5/ul8vZbBKhvrGwMgged52xFx4
H7DsRPM582ITn5rAExNJIcGa2PX+tV67gW/bbwCGkEd2Jez6X6dSvW1IzMBDPi+iGilkxtRox2z9
wUv5DNEhcTgL16AhaIy15wP9GKeyC5GkH1zqbroQZrIRUfKa2PM9Mv+YfdQqMSVCLX0M5a7AGsz8
6f3b/2WpcPUADgQ7EZ8q4FXm739CIS0qroZklv4zGPyF++CAMmUhhysl1PuX+mXPYdmE+SQQK5Tv
vPC0300ahXoICdRzlIZQy4+xDvP5yVml+USCOJl/u+VORyhgnFCwR4CQa6IycArnQsJDhAn9++cW
DTN++7DwsX0YMyL7XeIi4aJ3cUS+TzKh+fPXEkqluiXaIfP1/rOfLjNTUx8oqJmq8rmBCX27zDPG
vpCVEvE3PQlKR52mdKlC8D5EwPevdLrKri9snhYKEFejOXYycytIDFH7zZ2/cVGUxfXQluaAgtwv
OORT12SN71/wLdSVoQk6xbSdGfJCzSVpOtlBQx6uBBOt/kZHyfST0d81YY6gqHmvseoweNykWaLT
aCsLXKn1/v0beKUS/vwFkmrBabBxDZHQjX+RBKdKhOPfyho7QVsn9Z5ZFlajdD3SKD/7nrZMKjWp
MY5UJn7/aIpbPoqhYl8FePqm5/P3xakAobFGtP41X3GDlD/VwlqGNUdCj5NO2O9CMQC9wGiyGIjW
cvbNYQmnoAHyncZgtIFGEJ3IRQaJ7OgXBwTKjBJ4QYtuj3RD5g7nGaNlpACawjK5VQ+MhmBhKRdh
3y3wF3Ocg6Mgt5G9MEd8C2qW25LfG/Q9qT1RsyjgRNDDCYfXjM+FHdRu47zKiSR2D7yM9liSKzqT
7rRANbpMa2xBL95f/l82HAxP4KI+QiYwwH/Z2iOVRYr/sv7UpB1coGPSDqYEQgXMZAA/WtbvX9J8
LW9eOKEWMxpmNGjBA+g+2eMMyqAw9OH8KUqAs4o9WkdBcW0MoArrxu5t7mDjlUDscTB1YpMUWvCQ
+Yfv38bpkwsBTpbIaXCcfHOv4++fYify6vXMu0w/FQ3tzwtEhobq0S1mV125/XDz/sVOIwigVKPk
EkI5xvraOxWeD+AkoEDc939PXZuvT34uzbbI89ZkVu9fyj35pPntOMEZHz/J5E0I+2SiZHwLy7Ke
3EeYbDCMYtqXQ3JIaKNS6Wb5zOkAuXCt+C9Jw4Z9ufjQWEmFfRVuWtq6tGAoecz8vp1FSR7qrJ5J
1LOECiXF7Et/SZs8NW2txTJtgHAIGj7CKQxMmxg0Fj89Ib3Lw1mFz1mUJJaZFDlTZeI1BUEBM8Oy
iKPloW7sxLt+fxFO1ps1wOZM2HynnsQQ8nQNfD8ZoioYl0coMeZkhrdiPjlrxorr6f1LiZP9bN4p
wQtOArhj+vqn+3luWnqqjhc/IOj9eq3Rp3VaTJ1J9UdCPSHo++y9BKTDKtRLbbqkP/6EaI3pEFiz
zeL6njT9TGrBlkjnVn1MR8Eqcux18Q5rU+Q7EQkp5jMtRgomdH5iyuNsJahNhx+DP6ZFZohkIU3M
t7OiMcLfTU1lXvjq51zFep2Oy++tCVRYTI/X8lPzJqHBJvzLciLwNzvUKU1j+ccIjS+SvQvTyBTP
MeZv/ELtVDMtkPeXNHz7+tDORY8JsDiAJRgoNlT9twduxxOAgm3jL+Uk5F+5QoXo4DIePQZF2Hr0
+NPhkHhLdKnDrIx3rRfXx8otyqcpwXD6VaWLoWkiNhGQxH4Dy6Z7jKlf+w/l0k8phjYTOMso/1gx
avsytV7fbgIF32bLLCe4nXxUAVI76685kdKVaj1F09rqc/Hnyhx5uojVnKOVA8zS29E1LJ6s1cJh
eiiBJm77SH3wOJWKg1da4lpqNe2GVnd7ZuLlU8oM/wL/Z6YEuaEUcojMjPAGp/wb1IR/qRf856Gw
drazE62SDy7n83MLNRDZVBWktDAMj8/N6xrGmRifMiFQjAttC1E5i77dp2KMoGRbrbpHo7QnLYrH
IzpL+YExgW4BpzJcRtc8yqzN6FXTRVk3+2GOJho2aZ7/OaK3Qdc8HpHynVXzsOZAT0k/LXT/ge9v
7cD+6A3a/uzqof8b92fvEYlZ+OALzt+F7LO9l+ns8v0d8TZYsyEYKxPMUPxgpk+icLIhUDYuJBD2
+oX3BcMeem2xD0q0l3htdvD4/sXeftDfLyYBypljnhxOuG93H4xHUjsV1S/4gFRghBb7AWyn22+q
qriePIEj3ZI01UdGhOAm37/2Lzv/9THB6jCyIYifwiZGv48aUPLVS1fXFK6ibIsFHX0H4Nv7F3r9
Tf99DL8+pYfKCHlf5HAgnxaRiwvZHImj9MWZG74Z8WoeirGWkwFyL+Vd7VbxXdbHFkD20o/anZja
rDybMh/h+nIA9gVYL7hVgYouaquTj5y3PXnSWA5PVUXy4g51hbvd4Hgf7SmvvyGFF17VtGc/Tq52
/4xy6tSN0ziw42GT3ooqYh9bsgro3hTM4pw5orGmIv2SN/jv5t2oDk7i28/2Mojtyvv7TS50AsJj
SUwaQBrEumBB5p6mBI4l+8UDVP/ijWbx00ykZwjYlsdlXWCBR+UnYSFlNOLQiMI2hLsjGF9YD++/
Gd9s5jdvRhqwpsGDIP3GMX6SIDnoXDM+SOVLMjI4oJ2mis1iHAV3PVOSYTd51XKU1bCMm8xqK6Y9
TXVs6FtdT22Afz3EBut2dRLvKFAaZz4BfLjK6KdvVWFdY8Etr7TQZ7WoxAM90PK2sXhpm4DBmN6u
w8LYJW+gVco2knekjQgyzl72TQd5diMksukFneJjhtrxLa7B6G43cT9+1mU6Ptq+W3y0asgLm2Bx
5oNwB7DVQmXQY8sozbdpZ/MA6eLgJjGgBMX8ussZhHAm3nu+FV5lqfb+dOhqx3gXFP7ym21v1u50
bTFWptwPqGblqW0nIo6M12wZv3RQPm+sTuRPbSY0SO2utlHuN4jx91+nY3g5J5ckN6DEgYUFBO9U
U8dB4kRVHJ1f8zb3LmibQUaKR21d0qjMDwwiBiK9n6iXVtjlU5Ysw1WWRfZHa4rE4f17eWVIvr0X
Uk3Cpxu62Ao5pwxDNVd+HyZ1/RV2s8QkJkYHtVFrOu26CteLznYLOhyVYYYj6oLiJhLo/jEFDruj
TxLhGgXXCKOYBgZANpSTaf3SQq+tPr0ugqw/dkIsN8GYJucJMtkeOv1GObrHTBdV09aukK9xwgai
6+q3ZxbLcsiLwbqG9zTxA7O0roIeiXS9oIqDgF7WHpKZ03vbOFBIKsa8ZJSigshQdmUNpGTOmeEy
9HzyJ0pTcpH+fnCX+jytSqE2SgKXYScyLjJeh/0HEWU1I1cQdejBLsyVhqAsk20P9uF6xliyR9O5
xUqZ9Wucc8ApszqzYZP/Oagm+wvOzfDNy1xUg/spB8P//tv5Nf6g4hcBmgO6hrrWL3094TIJLZa5
+AoT1EaaFv39z6A8NFNDXhk1lXxZe2PbW1ufNb6emEAEU/s7atu/2rChgSBz9IURpMKTdgdIqb7q
V1l+jWGAjbvXFxJgK1BeZWUwHGxkdx86VY8HHSDU1yK89ylFrLFln6zOw2/W5F98sMi101smdIC1
jNy3h/FajbgwLEX+NZF2cN8FTn+HQLyFdD1JBufieDOW3XDRIqJ0Xi7CuR5qyXzpVWkgk2kIILme
pyuI7uIbyPkOlZUuK+5/c5e/pAwSYp6AmueCmTZiYW/vcqpiXUWdN36l690lj2QWfr+lk6g3Y29P
OPki6LGZ+xVV4FD5zbcUmeRis8ZuO58J2fRPflQmV7aci0dXeSMTEk6BA4qdJcud5HLrdYx7v++3
/7BtH3T79f/81/NLldXo/lOkfBl+lrrDMYoY/Q7bVhVggZ77X/+df+i20R9QPjHviyJk8IwE7H/9
Q7eNvD8Iq5i3ubQKQc5HJHj/0G2DP5hx07H3UNQC9m009X5QLYT4A4FXfjo09FXkXv8t3Vjg3W+O
HNOi5D8UTqBLqa790zAPcMT1Wnf0zv0yDLdg8MF31MN0tsbpclEmnX+EAMbAEPMW/eI3vbzyC68D
1OQ4813TjDbbtrWeS1na1wXIVSaVsXgI8hxVrAB9ol3Se/ImLaf+TudT9sDAvDwrGKOeV/R0/m7a
OIRXIfML0F37QffdZ1pk+REaBbILtCAWxZSiXb/YLXa0WZwEtBqXwr2ny4cWe13Wl7EU5dkoUEFY
hvq6wTFuG5Uxeio51HsHNaXzOqtQNanQH9+5ViIvqg4u6SYul9umDcuztgyNJnSCQacMFvcjI9To
Bqibfe3ozL7+f+ydyXLcSBZlf6Wt90jD4JjarDdAIObgJFIitYFRpIh5cMzA1/cBpcxKqbKlrl7X
psyqSmQwAIfD33v3nssBSIHYUxlyy06c75hsR48azP8rDda8Nln9JdQJo1AJbtAs1CilFK6CKbQ2
3jguxN5YzBhHNXTUfkPr6MZFgIKHzkb/I8yp9ZqVMWPmav06jnyI0ZBxJBOgJmVfZQ9SpJYklluk
u7qY0r3brgHfYiyItZw1qkG9/1Q5SXhNmsp420H+eGGiPj+WDTzpKEO0bcxpc2UZoPhptCU+rZBk
K0OzP6mTJb/AFp+IeYzsLcFuAzCbjK9BHIAnyC/aD+WoezIT/aviGl7SmKgx3fqkl9FBrBPxPkEx
lKkVBCEzvBRZXRwUwiLzzCbVR1aYQFHm7iSQujcSeSqvTbvk1Fli3FmqGx70Ii5umAws0F8V4Pq0
kkMlICOgP9XI5D5Gc+I+2dIqAljB9TGsMUPWwyjv3VAkl4UC8zK2Koo7nJPJp7AT7TkFUfGB3Pp6
V3C6c70RLc/eJH0Z80luGLfLbCeXCFz5Fr0I6ahYQ6lgklqjGdAB5EpaYzhbDP5u3Ia1Qj1hhX66
iPyln6b6KrSsfD9PvXGyaLnvitpKnnrHTh5lHWsICmrztkDhtZ+IELti1muc9NGs9k1fRdegY9r7
dDFcfyra/FAoPYlF4RjCjjWdK/Az+lNJ6/0iI5EdEho7+zTNSf4tsjbnXE12UF6PJz0eBctRNntF
7QLOT90zQw/YX+QvaIFeh/YzTLavppyKQzTXwI+QyR0qJIzbb/hCEOQfDZG9zKNRE9oTCf3Jdsr7
ajCQELY1oUMqUSgVaD5EhHGoHE2FyZXHFE69igeqb5ItLflMPl16Q7o7mTdYj9yXJHTiXTnwQ9GS
5A9OAupkMBAYA78qTmnETRwNA7xyn1sb1FDFB9touy8cLIaGsCztHuHJIdJH61iNcscQESmCZRel
l+RpdktHOr8zw3xvzWN3tMKlPIisqDbkVQNJZLN86io3OdhEGm7nxJAbXu0TCLIpvatbrGQL+Vq+
kVFALPGcrUKA7BFV2fRgU2fe1npR+dxQjoBNnOkbDg/1jdKA08gteZIN42AfbpvZpcUubAFUMQEF
OpTfDmE4PCprHzyzDO02VSNjX6K9bbGC8TYHtNS8GKDLPCzOm1GdCPDTxikYcq1XgBMbzmNno/H0
anXJE2+05wqpwxxdL22VkfnTrSFqs2n7zTBZLu7zsfKicA76cuEAulQ9qD/XHR6ihfwuL8+ovXPY
0Wxz1H+eWzfqCTp0fZnLUA00TXlMCUhwyECCFpzkLo5VC+GsixMEdn3yCTuxeshprAcI46UHDbD6
klsxSrgqdm/NwrEObUvGlLcwbr9NOoWsLpukGvjgzxZxGLsUS9yN2loFNqXCUK8Gp1J9JywWBFxO
bgUIO9yPLm+Nq0XE8Scs88m5WIbPDBGsPW9EsvDSdrhqIwGFjRP7uU2t0u9mxT0XvWhuOjJELimy
so9KmORXbUbcFTHLkMvcKtoselwHDF6NTzTK9L3V8S1JWqq2RKHoXxc76i8j7YlnYcj15QL87ZHD
f/KAKHDIPezTGDhSN9r16KGRHkajr2hhfKOtQZajC/J6iOT0Qe259CXRHRuSNOugnXTn5IBkSOl1
kFKEY2tkoQGsdhVmdNzZHmlaZPS7Mpm6VRJbP+R9uEtwNASoF5ebbDBEUA+Inb25U5cUzUtJNmI0
bS1ZDVfaEOlHl7bW51Hq2WbEz4KImNdtwiN+ApNZ75mSI8gEJuk+ZZaVbIpyVB/zEAAEOxMWp07f
zLpl3ix9qrzUGGOOdecoW2Tj7TVOwfxAWEu4BRnQ3ubz6Dwwog23mirVD/GQqHycHSr+PCvW1kAI
dNXMkviPZX5Rl57tn+bMguB6EgCfjFHbLNS2nt4qJ7NUdZoMALQmSsVqRJa5GjhUWENZot4y0F89
lWka3fcmBxEYmTKf/dJwu1sZyXxfxTzS3lTbGQfgtqGIsUNHvrlNnR0IIdU9MY3KOdGLYHbK4mYY
ymzfmf2T2ZjwGqpW0uyEgPAl66wnLA7Pati/od98cqrprtQW7NLLSJfTkLA9S3sOkNHe6zKqj3Vs
2/cDuXgfM0qnlxXy+QmtzJMDclJhqScYlTISZvgW/bGWrRy6HcR5uVgXjlpkbnqLjvQySPACiGAd
eJwnfQ0VHafeuZGdnDHXWOFbD8jMgWk+cuPwb+vooaGS+GGl7vqZU8+uiOvqkmDTqJ5qNlDOXqt4
fgqzrUQoXxxhGjebtee+4ZCXnbRoLo99k9hP5mzKzzQvovQmpEd3smNTa+7XvLVwly9Zjn97ascF
OWfUmekrAYkky5ho5EywGANZimA6swrRUGJsSkWdd+idCIa02k/Y/UmNnKJ8o8LGhz0gPk2KPu6t
pLb9GRDsFf9y2rq5zXEyj49JI849nFtAFUplelnEW0axQa9wFnkolzgPYipcIFSu8iEmxukMy0Hz
sVPNV7De5VXD3TwuHWiOOBmf4T3Ox8a1FNRbSr/TSuI+0eZw3DIWgLeuaTSnJDlQEaF+mjdwujqE
59jY8AKjmARggzND3BZES4PbUqLDIhAY92FIwCtBc8dOjc6Wluc+5M36DGii28yRLT/3hoVCczLn
XSKHZIuTwg2USAU+n+QVYdiipksQ40Xo0F/62Kecfa/WhLnkerEz1VB9Ez1mAr/GgggLzmV0/2o5
peV8atWeMvSlFzZA24dQirWDyWA4KfL/FnHfwjp+U8TpGiPrX1Vxl6rsnn/M/vj+M3/65VXxB4UY
ghaEISpFofFXFYfaiVwQxoZoguiX0Q/+q4oTJIaoMJHBj73Tz1eY0fcqTog/6HGbro0oB9EK3N3/
xDAvfnLMm4zbVAvRo8Z4kYqQsfGPTYV6qTJ8SnN8jY0TTTcaPSXFQaCbPgy3bN7bVWaUW1RLAG29
xKgvEZ0RP0+i+LUN0XVAGS10Yq7UGFJrvEhOXZR6eFYaHdR1mTjEYJNmfEbc1OSfkkXIc9Uu6msK
3wsaKjNaKDgIPYFfKMNg7MgTrB7srrNJpJUwUo74gZrx0lAQBnGXTbSj9Hz2splxfk0Oi68hpkO3
qZxVeIOJhzsj8rW0XDiKoTgZep3gDj3ODwLT0cwhwSFA0FR705uBTm+JqQWagnHDjH1hxcklH6rx
0Oe9TWxm3xwYaaa1BzBjuh2kwkSs1zeV7n4ay8nAoE6uApkV5CZw1lrST5PZ1nAajRrsyXSOXQ0R
a7poDdEMZA+GGL6qPKVus8kiYyyB9tCDNNu0/gIAZcHDiKExwerYazc0AM0VttPeoF5PrRPqR/OF
KzKfMtTbYXO/WPVy6BrRKuJkN3glgrTRcNaM1lTvGoyoeYA3drxUqcgTke9RRFDPl1trDZblIM4p
qjP2wICACQO3yWoCfE8L3KaGs5SG/FmfgjHO+jQePDdqJn04aPiD3OFEj5aaqvMmehROBq1Vse16
U+umeBrwod9BVQDnIV1lenXL1dDnplr7RmK1PgKpKVuz0D7ARdW2VpfQlvJqO7QfibjuBUNQdziT
LwYhtuxrLhR5nDHUmT49JMItOZTl2a2mVZQGa2ATVvvxmmjxAQdSQtJIPlGCziDkfEXXtKPDKTRA
VEuoapJkO5xSnFnq6a6zekHKIZF1m8RtoD3R3IuOjtPZwhcGVxtJvBPuqWWGLsiNGfjMhG9kcZf2
udLr/EXvJJG/bsZbASAUSaSdEyIqj0DMYxxrXe3YGrx3hBHlJCcmqcYMp/8cp4LMN8wZ5o3CFTQ9
Ss3oc9QIjtqpKLYMZJQdJ7pyY/Nxl9wy6p22aNNtWXXajqm/k14TaGV7hXQYeGS6mp10LZKrkLwd
Ng65rodhVM2rZA0jAUuUizOS7eVYhosKn1hdUTHxM39junVw4Gz7HFhOTMz5phcWjUG7fYynLPwc
N7GLTWkZIHhxwMxkxtkAT9EDVOcrE63h7bqyr0MNII+tGmVgSe2ypPbMNKsGMGnUgC6TWm+4ArX6
RsS6el2ZWfQYEbt8aqQYz9WQ5fsWJChhzla0S1PCUUIGgRDH6vZVH7N2R4vc/RAJAFLoXfQzRN+P
i65elwawVFsJrXO2DOYZb5JCsduOn0xZjcy76W2fp8TQnwqS0slnn5cq8sZcNe5op/WBVrbGm2I7
gG4ggsfbbEl5i3f5i8VJ3G8wADobpZ+l62WDJT7UxjjFvm4P1QtDu+jeTEWkkvLZmF+6gnDVknY+
vwOVdO6QgIheXvEk6s3DqFoVmd6yQByfpsjv8eUYZeTsJ8iZgMHLwfF6hgZb2MAaC72nu6G5cX/f
rTyknOtzD3yTTPG0unP0+YyriSSdLHT3ig0Jw3MMaR8dMtldzxW58zpZZXzj5k6yH8KqfLUT1d3k
KoJiry5UEs0xnK4ZmRqu1vSuKxoHivBqBGJ1f9CUiga/BgV/7/ZG6I/d8gAxXNsQYRgBIbJlApp6
YGfvVeNzlXOMK+Je2UyjJqhdUH49mVByN4ZWL3cV6fG+sJvxUxa3DAaBTV50JswttcD0guh5CAaM
Um9RNkI5NuUSgGdtdxMQvEeoVwVDxcS9HjCL3MylWW21POpu9KapV+eM+gHzxZL5OKcyucVTFKGo
l+ozluJmI6a+uiMjuer8eYwNMG896UdaF71NS6Tuy6G0n5gVLspmYWkFC1uOH3fzgLQogvpcVuz8
ztgwunEG66LLJUK0pBhbEWn6QyRpXkG3j48VVcSN5Ky76aQ6cGXdeP4KLq/7wHhIElmrE2zU4nyS
Xqy1BU1HMrU0bdDJu8BL5gtdfi2KxAi0qXI9VMPVZWJq5yNeas5LWY23ua0E0LbcCwROkwi9OYnD
g2Ep2SVWNYlTUqakOg76fdrm9cWunfmDOmotJCcrdu+EO3X7wemmA3D3hOkYQeWotxP1mvFJ9qlw
K/kpcsrmpuzz8GMN2u3UT3LyYtS1D4Q/z0GsVukORckcQN2Tngr0ON4Ivi2xPJ2udgeiMwfwwXb/
wJCZ/lEiWnQhcEXILRBVQMKweiM57huB7YTVsRwV0fkoigAcpAQZYDYg+NqphMF17MZHMdkrpzy2
dvNUoJxJZbgc8fRbLzq/H0x8WCY3UYfsxUpV99O8mO1eFQsveqdUV4sRVI4tRbh1tpO6vg/tAbS9
YjZWRsuDvKCNM07nXlbNtq2Zun9TU/x3wvGbw7GNDf1XZ2O/yqvm+bX6+4Tj28/8dTbWOQDTpeNU
zAEUhfC/zsZrZh4jBcg2GNYpcDkA/5n/ozHG0FGUWMzAUJXqf5twWH+gMyHdAdqFibBbdf+js/GP
EglTRSkM6tN1bYePE0xMfzwaEwFfA0dYlBMZVxJEB1Fjztw/NsRylM2RrF6bzgOJzSiadvQMwRGe
DTcvxiCCLmTanEqrmTf8UbihkxmXUtHRZc+e0hFExqESQHNCgGSWdlO4ywA+JMkZUsdA72Hhf0VQ
FUqmoAK9A33rBb50X/RTTCwsb7YlAyFukzFOY89XQAGUxRFZANTezBhXpzr4t0F90ssGtXBlQUeZ
P6SSjDADkzQj8Fvq9j52r5OkI3nNFcziCweJqm/2JePvvMeBMrPzcC7F3ErcxH8pvN/zH3/31DB6
+/VTw5T9pUte+h/GiWCy+LHvDw48NepS5vc4iq31uaFy/E7itY0/kNtTahrfU7UoX/98cHja8NYg
iGYs+G3+91dRqf7BVNAC3mQyzmPY+J8VlT/J7fkQm6YLKicYsjbCyp81TqY+M73E7LuvSjDpepzQ
qsHjhuOle6Rw+wL8nuC5aumCsp9cH/Jf603TnB0djUBYtXPuncHJjpRX2WXq8/PggCq3FYtJBwfs
XFXo56WDS6CRmGjUlctWGIVKOgli0Rh3/rYm38B3rR4/gavf1jwKGyIc8dSSzh1o0ibbROMz6cOQ
oIzuzldpWW4gLT0OuUtPMQHhXld4Tsz0C9nm6iYv+OeZRouNhMnmUA/NowaaGhPAYHgpVoCgCO2P
HFDuUkP7MnAu42frx7xK3ujKwAit7MTHiHKrwRLAdcb3seqpC9RGPlrwf6AlQGgd3yNYInRtU1Gq
m0GxDw0ntajELhZSovmDGwZRV6CxTbM3pOyTZ1lcSkyF7UaV/NJ84BIICKZ8BS6D6hyKpG03YcO/
GlT+BnSojA9ChIY9NtJ9KgDscqLLN5a0+H8zcTs6fResP5lCc/cSlySRhdwDL5q5BHVudIHZactt
VOW3LqVXkLd8ZI4N6WQKSfkzGnrQS/4go7ayDcqCBypWxhhAVTY0+N7mkrR1aTS6b4YzXelspgxG
mfAS5orGdXDvaYx0gVHmMA+g7BCXCfVCdI6DSXxgEpq67X3ohBkoYQZseB6Wbb2QuTs6LA6j5UNH
0z44mnL/vkgSOZO8JWS7qW3WgTYbt8XgYJdW3fuR4aqvk7XhF6p5OyT8UVGaiQPDJ/Z7rKob8mCm
o+12OhmJ6yrq+Lcks14lrUbQYNXqgT0gObNCa+IysbD6vADzZJpXrOc3bJ40tAlz9fIx+QJfjHu/
8N9SePK04pVyM3YO3Cgcvn5RcJVajZgw3a6Xiypb6pG2eXy/38T7IkRi0uJ3I9+XbozroR/l1kve
F73l5EdVi954yFnVvA2Q2bI6HZulUq3PQiS7+SGP+a9UhF8MjT+EJ4/+fA00pudyoRq6nxfu/Ch5
Tmx7DI8jAqpLzJQLvFX7aAPgA0PDHXZ6FhNpV1fvF4PIG/J+FP5pnRVfCkDQQaja8ggCywxIbcCq
m7XhcWY+eVe0JKIjR6HDBEXbN3CRb+Fu6CQiV+qmaASXdK25xyhuT06rTDum9pAiZJiAJV30ILN5
KJk+npORMHim3KwycKQojcvs4ug8qIbKRuAMdD9oc+eBynMC1ji5HWLz6v3xMiB27FWt18lLILe1
JymVuoYBM7qxdiMwzx7JJCh3E23xAH8+j2GGmOz93qIlW62q5dkiqIothCVQ1tL1CTjAkbCu8sXO
li12bXfHJCoLZmzxW5Ts+QY2Bq2hdQGsK5xH/DYRS7kzZrYx0q27QNBe2L/f5q4fV3oKywi5QhcM
qRY+g59T9mbMV8UZyuSh1xRCkAx2LzP5wiyAW6Bl1FT8fTg62VdgJ/qF0bm+XmrhUW36ksOxOl2Z
k7lzxvQLxBCOIvZYnsNMzwJ67uiBFlXZRybPaUXY6nm2aQPYFousLIzyrLQUdgucGPbeAm0Lm4NG
aFwyiR3WxJYm/cQv08bBF61h+XanGhts660n9bY5jBaFtU3Vu5mSQoWqbRqBAorTtyONzW3k1r0z
FcJev41RVWI+Ludd3bGZYEEf6EbytcOBPwHcF08RzIo9Jxb+gzyDb3uT7k568P7QDok1MJ5W7vnd
8Y3ZsCQaU9zq84oqDxXHMxn58toZWUxyqrctIwg/q3J1g3S0PE+WmK56O3vjGMelmXkC3q+15ZrZ
Jiv4lb3GfRUlwbekebUbBcuZBzZPIglTwhudCdEGO2e+c0L5Jm3+Z6J0oFaZFE0J+4lQ8mSrNc0L
inoTYSPxs5W0PxYVxVOmxDfK2F/Zq/DcAA9+nJMJILCSt7kGnnlWAwxEIIXLSYGMS8jL58zMi8Ej
a1FYgetoreIBpUm/6MQ8bJgVuuC9Vf3ejLJ8gyWqTi9z1PZHSAPcQkMNCUIJI43eSKqSuRoTWXUT
RwK7JTyzHHUH1nzyjOesUwMyh5o2YAJba74lpXKsw/5Z6arqFVD9i0jUqvciY8reHGkoUFKxli8t
ZoVp3HdlU23dIgNlA6dPGn6dEhtT0BNTCAGBI4JPN7wAoljIYDEwnF9leuzYZM2KttiDGOmURwhP
gx/Dnc+JOncNbOjE2Fm+nDM6FOYAQS+IwBMrd2XP8QHMzv3fjmI33zSs/6Psi5sqwaHwv//neuL/
l7L1/VyDpBfBPNJIWvo/i/ZzV9EXAQ5/byczg60lfgMM57AFOfdAnaCCUQT4glTCza8/90d94vfP
FQz/mQeo9r+5rdxZ6AA/6n6vje+bHc+gkWSv1NWItuvs7def9qMP4vunoTWkH6a5xIP/5INYxkgR
5GT3+3xmgawnATdDWxOh5fj2vf5bOv+mCGABrYOW/7s68FPSvlSQZMq/F8/ff+pPfaD1B7p9Hc+K
jhfvR32g/gcgZAs4L9W1sK3VLfZnEUCsPLpbDub8P5hc4C3/VQTAb0YZiB3KguS1Rn38J9Xzj0uW
oh0vIrYqHce7gDf8s8cE2xWzAzO2Tniomz2Oj+nGJJx7v8wzaVNd05pAqP+6QP/wbP7TB9qodxET
U7pb78jOv1ktodHotV4X5omOGvSRYYRf4RLiZZHltI/mVvuN2/LHp+TbF0Tgz/WCkYCa8qenxIVW
3q46zJON3umZMymxammq3bfmkOx+/dV+3HbeP4pbzb1m4Idp++eg1CYmNavPNHHKCuI1ExsOI75k
zCOWHpHYuxCYa2epdvX/kFL0D9+SlWSyGtCLu8j5f+yBjDKDgkfKwanVU3EonZrQHsUsQcVBoiq+
ddJepv8Vfa3+4Rb+JAp//6IrKYGGD6ZdWBAszh9QA4BBCntKxAlEHx9ko0IavDEFvecPnU0AHc3/
Oj4W09Q6/tzEQ/sILgje35QTmafqpXv+9ZX/969vqSwmoA1QAhjRrnfmb4sqJfecIUko6Pyi/fbB
+SU7lTTo3f/nZ2nUywZTSyTe4qcFhXeWpLt5FiejJaexF2Tb2V0x3b3nu/76a63X8V/vsfU6M3Jm
1ku1j6wK0fuPXyvpoKhZVS9OQxi/tTqKhJ4Ygt/czX+6dmxCdMX4MHapn24mJb6wOz0XpwXqKvSr
gSQncDWKD1YL9+Gvv5H2Y7Pu21citFrDkSu4hD/H/zghVNkFN/ApxTlR4CPjMzVgHkRLN8S0As40
n4VFrraRuNMdQczGIRpC4zem0n9YwRYtTToe66PKSP+nBYOcl2n6GiUyOZ1+NLJSYx4Uus65VlpW
qHSLIsCT38AjXPo1lXZ9eM0a8AA7yO/wyP90B8Rqu+OcCvlA/WlFEaVjTQhreXjXXF1VVZkUUjOd
BPVJ8Ovr/08fRaCYw6SeVwssix9X1FQ7MBQpDk+JyeV13YhHVmEcu/gOkRO/MWr+uNWzfdP1x4ey
ph/zcf+2fAEQVbmUtXIMicldPEVp6qcSF+PTMhIxOZQzu8Ovv5724xa8fqSNrQqpBo0rbvD6Rv37
RlBnC1ZKzXaPakjSqoC4ytiBg/GdNSpE/LYh99Uwl+kmdlL9/j3euJiAIdpKSQ6lk1hyv0hef+87
CNmzNfl3i07WYkjKLymNWvW7i0QP/YenHBc3uCkMAIRI4dAHVv3T7S+dKRVTYYhjm6sFFo+YyjSx
lC3zxqynl1JgAybpM22q0K/SerYChP7WbQNSDl1cmvM3hkXIjQxxur8uxCu+TohAiWiJlzVsE1BI
vFGbFP2zqY3ktmmRK54lVOs7tK/NnjCe7hXnrHGwmUOiNkt14zDqqXzqBrs6OZEwjk3KBSTfNp1v
IrJdGjCCuvsRbL9C38cNpbbXWibHHpG+DXmeLkHlPn3zkJKvTwxrl5eSz3C40u8OIikdwmjEIHCC
9Sizr1oYAqAxhEbobWV3y04hXt46juSQntouKkgHbTRCjt/z4LM0l0/ArvT6iEN1voNkNd0oeoeI
f0FUkHzWyG+ApbUYFrrCET7SR5lXrL0us55hdrDaRaqbzzMZMa90ctY39DCYzwUBNi81Rpz9QDF4
11jkMZqjzRg7oaBB8OgOJjJRkzeMhkjjnkkgD+nkOGf6J4pvTIIrGhKyTR2Q7ELDaF+bFhgVBEq0
zwgG6Z+NoY3wggwefSAruHbXmOvCGt2P2tS0r1kR6TpzdOLnlzbUDN+ZSbvuIUNY9DNm4wDsnd9S
pDN2hI7rJnqVzJj3txxyarLRW4syey7iJt1jiifKBw08K1vEFv6jopwXm3qLg4mCmPdboLaa6tNd
Vs3WFNCxJTLcLHPtCrUmqyZD7PhsWxlXcwZQASm8cubSH9SQjNZ63S+VwZbtroWAne/QsfDHwEfI
iqDpeC9aFdIbVnA0R8F70HusFGvQq1kQJR5WUAA39kyRijg8ZLIBgZC1DOjZ/UisDb/W6ehxTIoB
QlxzeBchN8IBPYMjRncHB4Di1IiWC/Y0ZsBEgZnPqOaJLo+RI3otCpl8Y85a8wFFor5fKJjsjR5Z
4nOJkPTeWZL5kssh38h2qrSV46g5Wy1RmyOKv+EQIcTht+TTBHYMIfZGhbN9n0MHHRm1OmXmAROc
rxzcaqdCxBURmBmmyMRsjXUeLfwZnfd9Bvwk6Ku4ro+ZOiecjKyMwZHalrdd3dIAZIBUfK3Mpntz
xFIdgFOhr7QY7/jzlIaT32fsTP6Ss3GNao2quVPm+hFIWtNuW3O2XqbF1jaASEsEW2SFb8ncs0fP
7etko6VVuRuqvrpyQaWNPpry+HNkINWga4Fm3GKUK8uZXPK5s+XOgST8RFxwt6WVsny2orE6GqKI
4CmPYvlc5jILTBOMfouautlAsR18WOHlZ8bisBDLAckldmB7tx5GaT9NstVpLRVKIDkD4gbXEc84
erduTKEH6iO867NWOZSZrA9pE7fb2eznr2FUjQFCUeV2dqviMckG4dPc6by6xGyZEjni2VnzbHeC
5yNBJgBDPfb7odG2RV3xixzlSkyxyvZPhhaq6caI6cjQf0JxkEkke6iB6MJE0P7bqR7PnHSdPVbw
2dxAk0YPFIZ8ENiZcAMHOT44UD188G/xZqlmJcBJ0D/UmSXp85ftFrYykuZYfcnttnp080SnGa9N
2xZW3gZ9rAqjsytueSsxDKT/HZ8tgRaojlTuqB3p6RlfbHmjdn19k7cdi1qxOJE9z2FHdq+e8ki0
LX3ooKo7PT2RI8IBW8cKJdcA9e41Itqq8Ks1kmpWF5as2g3ux8bupyhw+gl6Kaw8lG8dAgysInZI
aLhuojcONYH+a5Kgl9eIZwSvvI+d3iSjPV9ToyqaNvw2barbXZZ0bEHvqdBGXbHbAt68ItOeI5w1
YPRcsRlEEcem3ItJpNPeZEL0VNcsW7+ibc5QJi/zJ72SmIEHgo9hhVZrersWt3Xx2UyJ9n6b60Fg
prW7kD5nBxIyFeNX8sRkhKJGMT8xRnAPaJ7aPSDMCATFFCW9l2tp/KUdumccH0ZggiqN/HBm+3jM
F6VXPiQLMMW9Q5PqamjIorVycMYxrNR9qoBKRlhePyxuVOCxtcX4MNCGvLOi+k3Pl8eJ1st11und
nn0Vj7TuNn0g+lp/ReYQvSJXGz9Evc2d44lPAwmZyfVEZI9QpNYwAk/mrX2Eb02c1zTmNVFGFvu4
n/UwnfadO6knATz/ItvOuLMW8mi8psh6zbO4CynyHMf9qJTDVAaT1uWXqWnE9ZIs+bWkD3gHUV76
De6IF5pzeVDhhvhSudaA/apedM8MdfLvWsdI/AypmDf2y+giSqM92bqhuUkLRxzncfgS1sr4Yewi
JHt9r14w6Jufs9FCntfkoL4ERFVSyNFhXrliTi4NiKAjAYiu5cVD1D7ryVifCoBxQZngOSOtVwHa
RNpjs9PY8rYKh9lhM2m6HqJACe1pG+clDsKsrnGfGcsHUsbCszr3y22HpMVzh2h8AkIg+0BtW5Ec
p4QANh+jiUKnMhyd7Mqa1LGmnd23e6pc5ZwSt/2gMhZyfSXr0bbqiq0CcmTxXI284d+0QbaXvq6B
fvIiPJVpW+Sb2o1DTN5wpQ4xm9suE6EG9piTheJHgz3cRvpAi798bwi3bHlP2cSMsJlzE+mazjZq
qPT7fFljogPQ0/QhgIZKv3Q22heyNKXmBE5uCzZEbfxa6VYf4oKTzIVA5B6EkHpg5NayJ9wouWsL
TT702tx+xOUtgmFCP7Wka6w4hCdPqHFMyhrqPeZ1IwNCLVziV7UALeN1KkMaMvOSfCO4VDfDQp2C
9sdufLMKk2sYB9OD2ozKxUyg2SMPlsbWUYzG9sq6JEqvtc3Rr/TERefA2n0L83j6VMMReiH+134d
LfqlW7W2iE6huW3mfkqkD7JOx6jelm6RyaaJl5l2a1e/mfEU3ZAaAPVhwY97XIV5pJJWpdwQQiln
AOFNwxCmbK6VfEwDXbUQ3LpQXo94nFACkpdpAxPtmSSesh7VkiLs4TG25qpnCLGk15gecHGFdZlf
l24OrKLUJ+U2hqXg885uNbEvkIxN/ccJrXMovlWw/+2F/qYX6mBY+Fsx9m+BdJuv+fP43Hz9eyf0
28/8qYYgYZgKF4anoD9lvwfP/amGMBFK0P904K99lwp974Ma7h+08VFKEOpEE8RYJRR/+qQJMwZ0
iY3aou5DZm/8J31QUqJ+KsNWCh2+a2grdNGwcf9UhmUp82FtceV+tub4sUu7st5Y6Ep7njq8g5Pd
cDCq5XyTV4Dp/TxmwEzxS4SECrhiSErm78aiPYZJX/BuKjPLh9wxfp06S1knnSk2OXy/q0yyBJXq
NX3+WSgNYwkqoG0Z8fDNhhoFZFyiPuIiJvuQ+fSHtGP4N2EUvMpTE7Wy0zND59AdihUQ2BwtjWD5
vmLQqdg5Eue4kR5+puY0SUaCVmHggJ3MdDfyx+ngV6z6YC9JeCAMpbsr3UgccVp/Tm2pPCZ5wSxO
lpYn5FTuOEVHQb2KNWqnra8XunmbYmpvByd6NRWOsSXJA7zB9VvmHtnWdbOYs72heClKiB2c+Lca
0y6nZbcDW64iIzERFm912RFrsfDp8aDfWsakeondXTifEFShM3DVnPtw6C8adH6Pk8sHVFXaeWIg
hv/x/7B3Js1xG9u2/is37hwOINFH3PcGhepZZJHFRqQmCIqk0DeZ6PHr3wdZbqRzjx1+4zNx2CGr
OgCZO9de+1sl5zBvWP5BwNVUnCyvfgZ8SgiD0Y5EgEafqRIOy1jdapkFzqbss7Tpg7tVdT+m2vxC
HaKvazBZa/Bh3ZYFpg/A9wbcgg+jGW5CN3VWGZU+H4GkIJuX9iVDBNDa9bOZadq27TOyLxs/f6ow
tnBwM+kPLy4IGYXmFsV0ZM4YP2asF1+bub7VHWsmI0g7tjB5XyvLUA81HGlM2CHFnlnnm4GW+G0+
EFHizViG7VaeJ8DRz1bmPThNUu2qETXDaCZGl8LM3cyAJ/a+dDx89t5jjq1ZYuEeHiMrxMZGUJ/L
SrmkLfth96bp8DkCV+rmHTKfeVMkknJ4IDQJo0aMrzePy3tTM8YNiD4Vr0VlXpq89beNFxLibMaw
sXlyVikBRusYWiVxUaP0d0qaTOlFtWHQLJ0qaHG2h8G+d6obYYzdVcQEKYESSrMfqauSK6tw9M8W
X3zdkBEdYLcXyZp0lwrvsKdCxXT/pF+Rh2K3h4ox05VNAtL0VSvtWdshW1Xh18l3h+tcUM+vIqDM
VImJqVY0P5lFTY37b8vXfxb6v1noIZcsI06/93T+ZaV/+lAF81R/Xui//53fVnqDmHmTNcbU0Xlx
jf5hGMX3Bp4WYA0DUcjN4Aj+aHmxPyA/f6MRoXmjiP2+1FsCtxwslUUJJxYNyeyfLPU/quq2gCOI
2E1PbeFuIFH+JHhjJermpPLIdPGAwxRxjM8nYu3502/yvzRJflIioSIbJt8RcpfJZvIv5Oqw66Uw
qyjcd9D5DExduHi8Maw+w94YbwsAy4d8ZtgKD0dbv/z1ey/X60+NA1rDvDnCtgcTnNAPfuwfZdAY
kNFoZp6PBgRCbuuqZlj3IypZYevZJTVE9Rr5RQ0fvGT8k0Hf5GPUkBA2jgKhQcICek+XJru2h25t
Sk0eu2UqpyEsRgvSPCRqcFJMRjNmft01bngpnHxY/398CXo55I6yNXMj/aTR68qq0TJnfy9nDCOj
Vc3bQiusQ+IO06M0sQSGRgZjQytYwg2C/l4G0hfXdhVNfD7aB7cOleFt1WDk0vuZrAx0hy2Gxfww
kuWz9frBeCiSbpE7ZkwcGmNwf9MR/FFu//U6UNj49DmWBq/4qaZoMPp2kzv4eybyhrUCAbAaezXt
XAIL/vrX+llEXq44vT8M0N5Cmvm5r2L3jDDUBu/Um8xQMA7AxSNZ4KhaU97pdvR3PcCfHqJvdxja
Ps1pbvEFj/jjHSaMpiwLLef9SIC4Y0UBVtBF/6yv9+33ox5Dx0fVx939c6/NVywX+aB5eyXoE3v8
ajXUrn3WeA9//fN9a/j80Wr79k42zW4WpmVd+JdFIWV2xF8G7/eCoKTD7GIYjH3umWniwk0FEZ8U
Opj2qqrNLlNv0ynKcTBamL4uMc7WK0o1eacmUgAQk3FT1SiJaF6GOe+jvA6PVY5PKuHefOwjtwSy
MuuWtorSYWb8KuJNxpp4eWD4yb4RTGEPzpzs//pLguv4eV1AVsc7brvCpdam9f/jVQtFmDMhrsb9
gP2VXGEmaYgMbQ4aczrbKmsW7bn6OuZKW9tZrpjKctN9XqTdtjfqdpvVSt3gRASB3ZYmDI1S/2QI
nIk21pfP7lAUTHc5G2UM4t6ghZKvFOkyAbm++QNTcP42nqE0tSD/HuOoFOuSwmGXwXZICRNhOcsg
Otj2Oeqgu/YJrRZ2l5jTXMg5OXKSvVb6cIrshIA6hJldY1beA8309JCCAlqXhozbFUXYW8zGExRN
BsIG1+O5zmEIkk/lWicCw8BWho69qXthBY5Vd4HTOVUOZieq9pmqsqe2WSYNyxw73aSdwUlM79M0
NQwCxO0mylpzZ4dW2qxSJ6bszAh10gCf3tmxqT/UXVN8cqOY0teI4cpluj9N4DdiEIaYwXB5lvH4
DIwFrkYh8Af4fn5Ip3Q8zbhkz8i63rr1kpKBIzLGzl1bAmJIc/sVmylJFD7dljD70DLNu9bKXFtb
URJtNFcdiwKMRu4YcpMJ/zD2Gml2YR2u4N8N5InQLOJ4UO6IWTwtv+eaAVd8jr7HmH01NCujMF9w
gaB9Ipweoqygsg7r6VHLUb/4U32+gWeCRk9dKjY6+0uQFoO5E5XvHbrZMl9V6DS3Kb9TeWh1DN3S
bcyHzCIPo+aO6Mmv7uABvkK1qbZZLDRkjNErVhWjD490ArugYiKQSzOmK+T4aD9M3TaOzTsRFt2G
ta0/tKh+KwiDrQfCRbybimuuHKO+m1R+TcRlDDcZNG8f5d26C5nUj2EVYB+GhSGQTAFLW6vUH6P7
Mo2u4Ux9jik496Sk6JfQmAn7VM6nqc1eRVHi91UNo16pQ5PLDj2QTco4uWM3HEsIDauqn0esyGgp
HYyBVUtDBJuvFrNEdUNgQIdHNavGK82LSKIjETSYSA1/0ep44sOM4TYWGcG7mYk8TSBQz83VD+6a
bSjbJpEHVCsdkmRNRKvYqWYBbcxVdWo1WCuob9NrChPprksa11sBHfVQadGJzzOKOstUY8iraTIs
RK0x3xtmojMdzuPiaFOlZytfijnrNoITwAp+NzHnbRwGo56Wb6q3ouc0NLp30hSnZ7NXw7HwvP6Q
9T7xsFFtnZSu1TtJvwZXuN4fOqz2Z23KavzUEwwUAqzcxoDH5bszE3AL16nQo2I1avP4aPXMNdOU
jw96FtUbK6+sIJ066EgcgXcGEPZTMiIVl8haDOXwn2nZZfU6Abxx9GuOuZghph2+acyqjZ5tw7Sf
vvatGqob4Mz5OqwpCmaaDytVAVKB+QPtKWLnMGYcckLvalBFGJ/5xuroOpjF8TdnDD7o09Xc6s2n
2R+ss+BBvYELJrt1FrZQtvW66j+MlMamn3P2phOm3mJ3jIjiS9ynGJrqqWRe40HTqS9oNMZnuiJU
Jz0lH8OKQCchY/Hp0NqhpMAA3TCLmV3yyJLPpObiVdXngTQ06kLNrqddnhk0YC2ZbevI757Igs8P
kr7SO55ifZ+nzA+kii8pa8ovyMfhcfY5Yk6TWd+Q7hoe3YbjIvZrF/eniReWNlC98VXPN6cXcPb1
YljbHZbdb2Zty7bAERH8hUhv0UxC5c6bTxGySwB0i0+Sdb6+6/t2ERkdI1q1pku/rc1Se2MS93k2
WBhwHCM60qHAtJ1C0vDdLjxSq9gBKbHwXZmiOvY0XdD94+krNXD/lPSKdb0S8pgyn5AzYmkJFONC
7sJSs6+gbGqXiTeI11rOzjuHLv1Ce4rtz0NoMzkYOnF70V1iIsMs6i5KF3Kt3Nh41j37qskMpr16
We1oZ88kEZu6eWWPBOdJFgUDdNpNb0prW6MRHqAfO0Gfp/G2MkOyM8vuAU8KaT9tm6zsbLA3eLJv
VVj6Pfn2Ub9TdT/FO35+N3tTlifjk2oKict7ghfQjmU3rZjdxc1sChWefHScmpUVAh04cmHFN+Mg
xmL+1dTynwPr3xxYyUOnzvn359X1d+zjf1Vf/4thx674kuBZ/BUscnj/P//969//7ezKbCKByhw1
vV9Htijpf1Mp3V/wfXk+MiQ81EWo/P3sanpMNFrMFfompT6VPn/0h0zJMQw3BOOO1F2CP/q///OD
1a756b//7Gxe9M4fTnbM1NgYWxafFk4Sc/nmfza4TEaZGYDn9D0BwyAtvubgnccpPKSety4HyPeJ
fqR5vkH5eTYypDiz+Ztz2TLQ9i8fAYMNKBK+M8ezn85lFbST2vM4ZVQsQjeh9Tz59anps01ZbKNM
gAindbP266ikhxpe13XEkyiscjOIF4vBoDlmGkOLrvVZW3EO37Y+w+8uloOYiXvL7ld44ddaT4NP
r99wxvA/4RIp4YFnn1Pq8uVfJ/Zy0PKPzUxIW0GHVNtMtr+3qpYxm4gJY6njL6Ld2uJ011Rjmms9
64LJLJ8mjwhn7on9CGarYAu3hHkVdYMLjHKGZg/+38sZqPJol9gpzvvWbDZNdoJGdIdU1m3Gkv6r
BsLK8V8MU+MU7L4Ca2O0LDVWiCIASlzC8Hw6GTGt/5yTdxGoLruMWviQykFtsqbY9G39GYFV3yV5
dxs17hXzbV/mqAvaNAukM+Q70uK8FUsQK2NZvhWjpe8yEuGhAwxvpRWtI/oxp7IZbCbt6qB2Gt5s
3iaZeY6KNPrVWfWfxeVvFheCtBaB6N+vLruPSkU/Lijf/85vBnD9l6WpQPiILhYz55IZ8n1F8exf
HIzQAmQHzmsYbvzRb42PP9QvU/+FE5uFkIaBHBFV/JMFhLXn58d3ab3wYjreawIcnUWz+JNX1hdV
ybC/l+9J1HoZsnhctQ38FcfVn0vNuVeAu5jWl89eYTxPwwB+xJ22jJYc28n1NrMmxcEEeHpocn9e
lcZgH/wuy3esBfXa1SQwv95XYGR6Z13FLjNKXqOfNM7An2nA6BcN3v+OhIxubRL2G9RekmxJDQU0
GrkX2ije7TAnaPNtcUUmz8CrQQ4wByk3jSag3A2WOuqtCmRfnImlInmjtdpVmo8H1bjznY1VYl25
gxsY09A90NNkMHoaw0NM5s7K0oy7YTbtHZ6yT45VJCsx8KS5RR5ft3piXKUmn0nX4RgYTqM2NhjM
WwyHxFjkTx0kss4ckcYkHPTC7V+rjuSD3uyRdsCDfeHYFl1lWGXov0BcqnPp7GxYkhtlYYoZOOWA
88mxWZnmO/m/ECs6Ea7hIVjL1OWrIH86IHn6mPoZRpmEaiedkaTmluh6winAPbnlpZDNtv2GAdfO
Ie6/TafJcY8sMqxGtzIufi3y57a360+0PbaFP9zRGSkumY1NLck91a1SD9xegGEaWpMZDRvh9Xog
S5k9d3OV3GVmbB3MhkAf0yQIEaNKr+6lqYX3nLntKyvDQ4ZWZpMP1TqSAZ86uVFVPjxD02/emVrw
n3AzkssJO3igYne9U9z7BcExDGzKLvfu3IEUnjI3cbLl2OD2renVL26SkiGaun3+VGYlQ6pYD7Bv
Y0WzSgDZK2QZlMwIC9TJlUwOQOo3+PF8gVsi7iisG1GXtLLCkD5cpZdHqc00cCTRbBLAKBQT8iWK
hGFIdIWJZudWDG762RU9lrcxJGwMrnD4lIq8usc3RPxjkVT3sHKxIjsjPr8h9U9Qc9PPNeGDAN4M
XIGstjOuoxRObqtjU5sYKrjp2oytr8N+t2kSiuJ5IEvLbAfOZjZh9WslPeyXupk/TQnRKapDCtZM
s0uDqGn5VRVpP/ilUC4rwkL7ccJ9R1mAyaayyyNzbAnbKfTANdmu063Aj/lkd4zo7m38wylGjWi6
uFj5gDCSVX0h0hUPJbt2FpgT1wEgMi9ItyyWGyya5Wbqi2k9tkX9EvP87RJ8qmBDAdytwzHBQIrJ
KH+qjTK5mRhdfk/k3O8M4Fkf9qjG27Aj+uHbJ0vDtPa2fWfw8jmpC3cR9lD8cAoxhrLau/vVKqm1
xde8iC1O0tTZDR4fwAeTQ7d0+eKtWUyXqbPbR3cs+B9zEEkHG9vhEtZWTRvdb/pdOljp5293Gh1R
3m2O/L5bGZMg04owG9AJfnUesHdwwo3SLrBnmT9Z6HvwwLSEhJvCcu9ASFqHKsNxbYzQXZWi0ycw
85A3j6Np23VWeWRclqsmGHvc5gO+2taNk5tSr5wz0xjTlQwNcQn11LsMUkOU4o7E4uXb4Wdf0IUF
hxnj+AtHXqj3eEd3Iggoj2LtvpolBG4nre7hYPq7in7b5tvVKoaiuidiDytWk4VlGxho8Nh+eXon
17JPhmyscOWgRfVrJ+LluyXa1M2RTeaZfySe9+IBhwmErJKgSeebpoxvetrWxD0/9DKqVr1NEyLx
VhFE/8D3rkXbnfUhuo171IG8RXBL1Vd78K8IzCP6QaPFLdzL2Jhbs49RleenSDXYRPXROzkOL1iH
NiWNthL1RJqDKKtLyz7WYVKrADjCh7lYdfrYEGV44/Ss4ZnhRfjxajMw3NIKkmK6IbBkPYzpugFD
Y5ZueGu02ng2RgECC82UQWTPiXdOlTHR7PfWBnhYwdwJ7uW+p/PaepnkmKiM9zIaAzovH7IkJlTC
ubpK5yVdWBREOAj7TRntvvTsO0Kn8iDrO/MMDxRlJhLPjea9Ef0H+7Zsii0nUppDExgkrTDJvmiI
X1kJJXoqLae67xCRofWk83vR24GYYxBKICe3dTuiL3X10XeznZm2McHgMxc4cYztKNE60mHKTplj
PDqTzuiMLw/ZOBUHHfl7P7AIr3UPmWIsMxL3fNij0QwztKpepA53bcQ0eZoy3T0qbvxdOjn62u7D
F90oZMDUM+rC9NWc6kudeO5HIvAQWIPUP7uOBvM7yx5ao0lf4bwSxZ6iOuEE8gLwlDjIG79dCCjW
IpTOrAdmn++jdEYmZjLFAoe2ppt8L4vmPZ4w6OmlN92MmL1rpNk+aYmSEnh1SHHuNnMvMKMazk3O
mn/HbQUGzgmNWxJoLA4BxFkGRael+6xE3AGM1zNOL+qPhryYDWPmh6mospVZ168dVou19BqfELT+
WSfLONArdntfSBsZqHvTLf1FxuZOn2T4OBj1tDLNDJu7OWQB/DbtWlkQN6dSDxweQ1rYZfRMCHYT
QBdbt0Q3nKAoRBuKBO/dcokYd+3EeMzoQVND4EkJSKufjgMxiKCBReiN+MLSx9SFSG01VvHR4Bb4
aJluPfoKA2EZNeG66rV+y54+bLOGvxsV5oahWP3GDdPqjpbkyBitpLJabLhDrbybuq+HzyUgqs+D
MMwbB4h4YFNhYVJN5nXOU8RK3iadG8SlLYMwKzx/BZIsOvUjVO1jI0IDLBSBEjfCl93Wi2Sh80hE
T60zamfHUB60GTFKLiICYqgibdMTI3dybWVxx5RMEGObhmVqzQPbIHium4pBq6MFansTSrsAaiHD
J18m7WXI5iTFnE4k1ar1S+2mjTz7QKWQId1UcpOMOSa4wa6sTazGryXUgLNB0N/joJJhD3ZXfnJk
W5FLNJEcMPtxMLgDk9lWDbfenQ9ZQRVW9L121CsWMObY5L4KCdCoVZsGKcZOhiOw1YUSw95k5V/c
hlNSo8LhnDka5sWwVMwlV2onBQ6dbkCppGa4HisiyTVtF2EAD3JvfkmVqup1SuY1VAKp8I9kxioh
kW1bWDosHpVZu7mar0dCiHZIUWwDHfYOG6DX7YxOBneuati5eu88DTK/l7Dt9h4GkRfc+zewSpoP
bHoUIM7Ubn0S58H4hTWBNUQrKLWIuwoTNFKDQBzTL+yg1Zlk7m5V+6hHjT7YTyjku3EYo3WDSXJy
TPcG1yHoDc8D+1Ui6A4JvmRDbaq+ij4IbNqZLVseole+6ZOUk6o+jseE1mDQpU14ABlxSiJ5sULb
XgNaTg/T7IxXYerFfrtOtRi6vGPOFz9jdTWu3A44Qb9hko9M1h0zjWl0RwKnxDvSNUO04gtbhO/4
msY4QxRJJjpwu0dTEbhDPo2Hkfp3PtmUKlmQRkVmb6YmxQjqIcfj78vGFIB535EoVwAFw2qPMZgw
yQx7j0UfKqzEnt3w01hYd5ru99ui9LsgsrrhPnTneWNMc3MTpaDn0t62rlt7fpazmWzm2rkkfkWf
em6xGPn0mXLY3Wfp1vYXWgtTkMKv+4JM3l4PhattE6P/UNGEGGyL/tqDbrrGrWYdYU8PrH5xc+sP
uTgNriMvEaXKhhA9cz1p7mfCe0JYmF36int2ChIGMLGLQhouNJy3UUoMfCbpJvV9MgZh7cVslUQK
jC3wcyZ7HwhMH9EXGb0zKbQZ8Xl3Bd4mSxbEORgLXtB6iwF0rEPa2ccpmoGrpsZS9Edw7L7o1tC+
E8SbnoahbKjjG2tvgrc6gF6513tUWyRipu3WWd9mhxkNHBV1tqaTlSiI+Hkxf8qVnl83cfHGAZTI
c8TYrkZzABIDUL5aJ2X8JouCXV+TxbvbO8uaRSj6lky0fqsMXb1QvjgbMtTGSxtCJKUGuphJap/h
d0T0lXAcHbEFQuufZp40UpOeHIjdV2RnlKc57z1sU1Obn7NSunZAdmX8pUTbR9MFebotaKIRgOsv
0B2OhhV1QO5774hPLBx9ZBuXpIu8T0B5GCozCwSUuAKyzsCgpbHk46sPOn0oH0qK/o1tzB6c+7ba
AgEbN54xH5IJiEpN0Bcb9JzdJMhALwZRwlB2XLx6dhnDn0lTmPyCNz/LiKIkrTxiIOlwtA+YElUU
bnCulbOJA4p9cJ6CMRlm+lBEHxBwJZv+a9wUxd4122Sv5FCTfFJ+ZCPc/2YCEtqbzSlTXcE5S3kX
p9D72yhu6wuc+nmdYX2DIUSj2I4q3F6hmaxTWLhHPtgjB79w7fpxtaX76R1yR4vUryaW/6g+f6P6
YCtw0E3+vepz8/FFvTbZDzry97/0Xfbx7V9MBBaaJxxEsCwtr/dd9jEW2DRuVt0B5LWM/v2u+lhk
/+jEbUHGc+HZ2csc93cd2dL/ieyDi+pH2QfXLRBprBSLfO3YfLAfZZ/c7IC8h3F/MovZ7+PrOcNc
AXnRtGQ6lafeTayJbJeEUeMPoKEeyLwkGx5sTxEJMbfhfV54Ifc9H/9aGalzFhwCTmPqCwsGugYv
qOFMQs2vtG05J90zOJDiRnmuTNe98LutT1/7RoyeCU1URUzz9ICC6JIDU8c0Sh1R2AHGbrnVe6+4
zTK9vG2Hobv4pcN+kUxR9qTQo4CyKA9PrnLKZ10y2tfpsUaCjVf5lzz2iosS7ZPjZfOhYSxw5xpu
dOtIe77oRq4uY2SGWxMowHkO23GjDWZ7zGrWrXEws6B3cEFa8UL/SUg9eeiSdHx13ULuGeCgSrLY
Lm8l5Ntbx3XiT5JRjYmKNCUPM+rF1o9d496FgHOxRyfd9PqyPWp6OZ5UNIiTJ5tHwihaBjCZK8f1
0Zsi0M16ZnnqsoBBmy/ZyBTgyuyzZk+yTHKSuIqRSmq7+ZyU8xATyjeFj3mWFjfskvEWRuF8VIWF
sTdmPmPNeuoGaZl9Q1dpya3wm3QPvuc8ZGm6ddMxW8+xnTKF4vt7fahA8KJonyDbJDexUSCIt8Tm
3WMf6rYQYLKgdTJx9tTY7Cchy2tX6sMJiOi05/xrvqaWWaFWGe09YZo5HfFMowsg6haFPRYwzWqr
u54NqW+l4WrrMszLOw2h5L6drPYFNF3+dRKN/iD6Llk7QMPPhEdpjH6728jWW1IFo3oKsCL7t4SE
F8+mYtcxvLpcL6eNDTCpeTfoQN2YZRjf5dA0Z6Otq1M6tmMAdWlJnODGWWoU338zzbRDN1TYRFba
jGN3yQ6GDASR965slsOv48t2MxFmsir0qt96DQs9qXivvei9K4ZYmCg27frGUoCAOrrU4Ktnwm4b
gjxGgzTQTQ8w+lQTkL3Po9rb672Tf6QlEQ16jZc5yaL5zHZd16vUDrU3rzJxQIRRQwCmHJwcRp7L
AE2ZODC+6phkBVjsGEHClOIsJ9oZH8YnNabjyfEzfRNbTXedUNUAxqplf6eow15kDuAbCFE9XtU2
SZu+ldlnT1orUOPRru/d8pbsw/YiFh9HZpstmmY/c5g2jNJdmu7dvIrb0V47DcOWqwbBZEBUwFMN
NYM4J99QB5sIl5zoPIMqGGouNaujwuKJZaSGBUw0UkkxuOm7gnwMoHzX9GTLYdf1dY0NOWEbiyd5
LqIiOqvYEuy1jvk5J6yGQxWJPJ+aMHYjQk676d5xMhNzL06XzQzkYQ+TuTh2c8/howCKFQa9hrt7
W9aQq1PQAkbAOFBW3GgZpx/XKMndcR18MIElZchKktTzGjP/e44TzAPHVozX5uxy1EoyO6FPPvXa
U9Q3gBZwM/scZLRoXJsJc5SM4pRSbMdRzmzVXj3eiVw3PqE3lhSltVC13OZOhShyjYTvjYTzmFHR
jWILzRfQaBANk+NFlORdo9+HzQR78TFyi7q9tGbcgWCUQCvK41yLRgO84qXFyOG4hyF1r9Ix8t6s
CMZ6GcRIe4P9WBD5KN2NV2PE32pd16bvE9EARraDGqkUGxeb23/qgL+pAwy2Srbgf18H7Jl5SZI/
d5O//5XvVYBhW+B/2HIZKjVhAC1+59+qAEf/RVgOmZoMnVANLC7p780fIX5h3BTLs03exLdUwd/L
AINOM+gfj7AKAkr+KQLU/rGXu5iTvW8FCtQB+tb4MX6sCghkyufUjsQ9sWA1Z8+5aCZMi3zOZeTY
P9VWpO7ggqo3MnrEQxxn2gWRYdqVFmPI5Et4dpA3QM1XWI+GNfaQoPU1MprGvn5pdJ3XoSwFHKn1
VXKbKihY5LHZ5qGCYL/tLJiCtYGwLjSivDmrYYNJs2lXMU9ymVO8kwyGNfC5te6jnDWskrE1WGeN
Q/l5LFkzkD3a4dVnm3h1MZYkaCv8bAEeDeRvlal5y+Mij+RO1F86EaevLc/hrZaB9BAIQS+TmlVA
qzpzEcfn9gMitYGOmVvklOnGXRQ7dyiRSbICeSMel+5P9jftdPPHwuzbJQAz5XJViRLxYBX8eAkK
dotUCxvnflamf7DNDm+ioLxZ+dUIN8xkXIbWtCj8W4JpxYm4Pr5a7XgVuLhMR0WOib11Xbs6+HPX
X88Y4W5EZ1XvpORqn0ppN5d4yeW1kzS9Rlg3YqCTKPpI694uiuGKdhgpz56nHtvctPf2MhFNvfIg
YrEDLfieSkIE//SQ/C/meH8xmv5ht+VLWwsfbel40l6lRv7JQ1DDKohCvSbnuSrCF2O5+lFVGc+G
sDBBubo6EKiuDkU6QFyMUZFY79t523CqhDQ76l/qzFiaMPYwnpdRkONQmfZ9OPFv0hTiQ9SVcRWR
WnSOOwcyJbFet7YXPtGUETs/oWWSkQQbOFmu7xN8E2SEKI0xTdNZT5VqN7OOn5LWv95f6bP5Xjrd
aVDC2LddaO8nD6wDU+LmOgEeuhltLGVs8PHWTl7y2k+PllUNb0kMaS5vzeGt5twGW4MZawWWFJQI
wlTdd9s2GcYLD2V24/YU0HmTYW02GepMUkUCt3IYp4dZewUJuiAZ0xu7dZI0khzllNYYyS2BSOjS
uGU5XsaSq4QrN0mvi9iUp8nLBW7Gsv7wcuQEcK+U64zUMN+2AAOwZTbN3h/r5CrHAHkd4im59Uqj
v7ZRLFrK+A64iIzndA+/KfUDUpTERUva8dy0Bj+oWJpfswfN1V6eTS2bobUOzScrJuDTJ8P9ZFnK
D3Q6Zn8H9PpxzYJT7Amg4ihjhomvBu/5jw+MgAcUMp6rXeJWZ2TY78qdZjR008bBwwCG9xR+GveO
qua3QXjgCvB0TIE1TPF7yvD6Te2I8ChbXX5ypUWeXpzrO8jZzyPF0lpSFTySHwp3sld2zqGe8a6c
a3+qwhBLShvNm4boNpihlbgQAJJZ8Lf5qlOnTdfWgv5kuZq2vYXyxYJaZWj1dWts7FYTm4TOOq85
9uMNLNX57tttW6ewSZPEma6VhOdp1Iw6VbmnP3ta0XxaUlk+ldosYdkmTPQVdUzqNopr8qXUsx24
fHDg3eh38crsOmdnAR13N5kXe2dPZ7h889eP7reZhT8e3eXnZwrTcxfcllgcCT95yAcJuDKaVXih
5mGysTVcYzUpqd2ns883MFKB2i4b7SGdEnK87bH2aybX8T3vPD1hezF5BmkO5TI8ellfvxLgoaaV
jzRCqWeo8IX2FV9m6f1ie+y07T//Alh6+FjMY5hQuH+6f0o4V8qIcRswet1uxtQYb3BSRluJTZ0s
2pJ1JpQD64VYzPzkAGobcB814XK6fWUMpLrx7EEwFlP1ao6uQZboCMVS1Ex3y9wLH3JXFuEqLiOU
6b/+7N/2459+fAvELwdEAREbC9iP9z6d5ETN1mBfqs62AVFDhvjK3RwyIdGo/MkADnCdjs14zt2+
3LXFQk0RZekcvDrpj1UBPXagN3nI7UEdKmY+H1qn8HfYXhnJU7Irz7PXJCdkyPF2KPwczkozNF8Z
RqS34ifWlyYcuoM+zx7oD+ZybjtryEqMlsya16k9r8al8dl2XfhJxAZnT0/zjg0RxJuQOZlt3pjR
tma6/IXj+7xTQx+iwcVqM5du6QWtEOOHweSiWonCYtKwqYWxmc2a2MYq+2LQR29is5QrE3bAIbfo
fJUujzo1wXj77dELfS16V6EW9xvoXnw8+mjHeVTigoxKy7xIQfDSPmJ0vm7mbQpt/IU7r/8grXRZ
QZafJnXDY8dx+9rCoZYQi8XKVyeKWBZRZA96LWaUACjcz26RvplVUR1kFI+HbBBNoJYGoWYhF8cj
bQ2bxuxNaqDb/s2NQJH4ww7KY8hENDUDQdH2t3Lwp7KBtbromqyXF9T5llw+nQds9W1tzoeR1kgo
48Al2zVZEQkIFUav6leHVBXsIKxJZB80h1iTLhOdaX6UCa06sEF6ggiipUlBgGi5bSUdrBVPkv5l
GvT8keW//SIQ/T+6xLW0NZiawl03sbcE7FCOXfdla28KV5+4DyxIX4zg5mG+zQ3yDlc+8e17DwV1
Pc21exit4pG++/9j7zyW41aydf1EuAGXMNOyqKItenGCICUK3tvE058P3H06xGI1Geo7PYPe0Uat
LACJxFr/+g0eR3ZINBStNAKtylIOTETksGo6tftVCT4r7K9wVReYkY/a1GzN2TDBTqO55JyfazlE
7WMzwn5QEsgVI2Zda9eQj1oJTIBAxFjwe8KMXGJeCNTObNZYb5B+ECrxE30gGoK+T/aFFqve5KZS
YfQwVduJ8VFxAVWftKGyS8IHvgPRQ6PEBAqTSGPA7I6y+LGBagDbIamswAupW8BAMDygbw7L8JeC
UeON0g9zgVOPxV51EFUrTWatagDiYEHf167hYWB7TLgTR15aNNyoZqj5937b8RrIUJ/8pWM1prlK
sVq+C4K22fmqyVdn0mLjNTT8SC4DzSqTM6Vt5/LHlYegjQpaZtrw1wxCOmTtCir8zHpRl0qOmjoQ
Q7IncimBBjBAiFFMGTJ1hPP5pBVThGsjoaaHOIdGutDAjW5qakuvRYCDx1czTb+BDp2d003KGsJt
gi8HA140FvU0rLGBJsgWr+ZwCS5gL5AAswujiipzMQb1qsWeGUC79NVVZEzpb0zMb4DQMTDD9KFA
J5OQOJsOtPFAb+G1ntkDDlcp04zGldPh/UT9v872u852LsH/+Ph8UvlevET524fG9p//x78aWwue
9IwjW5Am3mFs8OT/5UmT/ELPC+4NXVoDsvp3X2va/8+kYqB6cNV/WTb8G94G+RZ0KfTKmBlDK/4r
ie/ctv7xmSTYguE8DdXcXVErHutfJWcnyJYyMTom92kt5AWZbH/cjRMtzOclgDhnOTJSYnTLxz62
fAYBh3S84Bk2LRJk+4rEzd/ilv4bTfgvVpl/xR9kzdp3sb5BiOjZ+XOjPBfjWyv+YfZ+oJj/SSn/
7kLAO/5cwo4KMy96luCFt9UDPXQ1fdPuzX/Fh8dBxa7aMP/w/0TBaB8tYY2pnveKU3sDWokFIGmw
jMrikCH1EKGZ/a3o9n21mdUP496yjicd9ijGVhR27ckiEAu14R8RdrVrINn0m+b9071jKUKOiGnB
3Rl5ylEbqzaEg+ijxoWFTnCHj2PF1LfXLlQ8Ir754n/smOmQ35ciScZEZ8CKR/dQSwQMEYOl8hrE
PiFyxbNq8mb9cRoRPY7ZtuiZQf/l9mNROCcc+0BUSBiOFhURBDeliED/E+6ibvIPqyYqFG/+f/nq
/MdteExLnq+PgRNvLpa6lnms9k4MpZzKUqm9TPJNW6Q+BCGlgqOQ6OrIbLyurksJz4Vk4/Ciw5Xv
m/s7z7+O96hu8MF3+fIzuJ3/9z/eNBmYZYgsrfGcDLDEyrlAqxruv76fR63r+0NkvIcAiTYK1rf+
cZFRK1rZUn97+INoW3sIUdIGtuFfpjrCsknqpI10zBGKOqs3Xy99av8YuiX0GWSa1Ssfl3aFOWoB
0zkvJsllXRqCOVSsSJxCFJUIPCMIcawKYXZ9vSx9+bxJPt7Z2VaHi4XnjmHPscFww3AwDnqoekLJ
65+FbakDfTCYCcL4yRN+kt6QBkL4BaHpe6NRuw1cQx5BPGoEzfXDNirr+kEP4aIto6mJV3VrH3QB
724V9qRIuvCkNoWP3MpoR+ZDwAO3kapTQ81xDncycUaiMOz4rLF6Gxux8jlzYP7g/rBOC63HoAGf
LLcK1YXiatYqIbjxIi3pd5KqKwiNrzEtrUk2DdXUPlOdyfqhZDaWDiFaNOJfFOuMXB65JJSjwbZQ
YL82A/8LvMLSFQlhHeHY2XRP7ZyuqAp1OM7VT4uqZu9HcMMcpcIRxZ6yrak35yZJIvdjLon38Ttt
q3Q2vm4oXXdmNpMzO83cNAlnqD2W2oWjYrQZ007TdY39jYEN9RbLmPbcnoAEi8nRwXIxxLrwfZDU
IubYDYouPCCbHH66bSYP/WTg6WX5I9uA/JKtEk1vQ275TyFBjTE+rul0bw2WMFbDpL3V9aikS9GY
7W+lQii8hMHTPrh65ISbEdragYR7/qL5BgtTuyikwOsxg1i8tKSwVuiO2/PU8o0WGzjIJj4RpeWS
35csXUEL06WxchkH5ltLVu5ikG33K55Vo5P+5uau+DHqIlianRI9kS8c71RZcUvqkBcpH8y3qS1q
l3DEavLiihMDX1wegvCnlgkxf1828jvi0U72mSuah2je+ggy7bPM6cKLMht8jIFrbQu1KTzA94mJ
czL6FSGS9QYUSQWTRje74IMTLF1oaGsH9XAMSk7yh5Am/qLU4FCLJnIuqrjdDhly9ljE/S04T3fb
lj5/uHZJf5wz5A5pgGWOmvpkaXH2MvgqunWP3urKcbmdyBUht2d1qa+wsLYv28GNUbnrVkb3jDXr
YqwizUee6Ws3ZucHBxlE6u2slh2hs0TiCuwk3oZk6m41s/ZffVsYLrtE8S/1wcVHOAltu1uYWo4c
wPfNK3pwtBVERy3J4MQVsKyr80qhfdGIl91Z8NeufQzWtk0ZGtc2hL7zwRQPflYBwNG/DTie9qrX
hZWl76oayVLXjQyEUZv6ry3RYAu3HIp2YSidsi1k6Pw248T5rQSk3jVKM5zVeHC+hq6qrYOuMpFR
ARyvlaZ1Fz4Kc+6HrybWSpvGXynOVwyw+5GssqBU8R3WJAkzrn6eBoF5p+JlTRwmJi8sJrStY+f1
Vgzm8OTofv+cg44fkJiq+AvoqYW/5xgtIzvqjQVTdOenlmBZB6MruwTrx+4MmO0ix9fiit7TuEvd
VtLbNY6yHiu0EIMOAZ9p/WzoVzvXcVTnL+hTB3wggFPHOGwvx6ayzrXRlheEQouzBNrTVmNmuSxl
a92W0kDvP8nJq3C5ID1HZfCxqLT58Ep1vz3USB9yZGy4Pi1yFLmrCBb8pvcH4uYj/IkXYVqEtxWx
Yb/EZDWe1nMIJcCGW7aGWI3ogDalxMCzLWCirpoyalYUlOa6U82KhGhrmpNkqvBu0jMIDiS28HcK
P7SgGdn+Urfzac+vDe502sK9hBl7JmJdLlP8KatljAEEVL4sdncOzcKmiGNrBZGMMUbjFhtYVgUJ
ZYGyrcMETCG3DPaEA4a/oUEg/EjW9U6BgcZlVI7c+MAVa9vvfKLA1dRd9vTAIZFsFDg6LtnXOUXA
61C1LcdYnxxgxznbkLjkZcsp8BxFLhm1vW172KT2b7ZK3JwOOfWMZKV8OxSIX8i5iUtoPYX22to5
2EbqRv7vxu2AfppxuHKxUtu//3E9t8QtIoV6J8eA6cMk7OFqwI4RDxxJ1pODYfKaPUykmcTh2dQC
mvX3JbEbpTenYYd8KuFfLIy0VV+TpG0ebbQbq16E/FGzRjj4DvnmyCPhzoAxmfno/4hxEn7ooyzb
vgPbkMf9dTRpKt9q+AZDpYKpjx2520X3ghq13QGrIWgMulhgyJuo8+cdz2tZ95cuPgx4tM34Za25
0QUEi/5CU9rAXUitGL1CcaW+cErE5rVuQFVRnT7bx40GfmGTRdnhbkIGFzMEfrA6Aru4aJVutbFR
n9qmn0jGanh05QwqitIBWBlmwHQqO5aFO+TvR8DEBVpr0vhmqLGMrGHAjI5H72BGh+8t2F2XGuEv
l8AcvL1j6zarLXHma4VLpBiBeJDzwZAr6s0tjWi9I7c5eRjcyN3mDDxuZ8AIy1fQd6dt822QkDvF
sAVHTZfwqXeP68EipZfQAXdZuA2xgwTAXRu1NF+gzKdr/C+nveUzNprY0UtCPdo1/N/8DcJqt4Ob
0tw1CYoHNhI0olAJrtq4c2H4ZwyPzMbdRnWZ405mWE8tvWiLm7nun6cDypxlA2F1q/vKeA0uA+6m
qP1bT+rRfYbWfgk5leTmOZ7tn+eUEC/6W6r82BErt41qltqlwGr9LvATDhkjkfs41bu1IsboR941
zsEt+nGjqJ14NDppPhJmaD7GopSXfKmsTViFykpGkbJSSjP0bN8vLqZAqW+KMMvXep1nayUxxsv3
u96iVFnNRklXeqJu1Dwv+PA18ZmoMcauCqChHPNYTIY1dTOKQj2zqzBf5y6Z3JlsjXVZZdpyrFWT
l9h25b7TZXrlO1qw07IQ+u/7Xp5gXB5cxcREEKjhbHKi8dJucn+dpTb23WbbVwtA7eSKeKtsZ8nR
enJJR922wF1iMQeVr9TJ5PFP1XRBVsV0gRhmJla4RrZUZRJyBGraDc7Rr3UiGbCEldzppZ9f2fU0
raJCdMFCMgp6UMdCCLQK2I9OnWw2tpa456mLzKRL7BiXv1DZYI+Q7E04LGdY9IzXmj0oa78uR3jE
DZ9uO8Ti0K4KhczIKbMxkWByES0cLXSxbk37nVsH2A74ZlNeDG2aa0sQ7uKuK8Z803HgUAPldnOm
mXoLrRRhQ92RhRaE6XQhETLsK98aNobOJGlBrLty988s3cl6KmbTmAMkOTbUd6i8FTgjYvkqYmwm
8TGD8wv0r+Xpg9qxnTIc7fe4JmmvOKAwoUJAuDKHAUzXdZjDjBFjSsUk+i9seDEjlOcA5sN0qBMb
6+KBnGkHs6+dI3WypMnBK6tFhskwstG+4KRDSTEdVIuUWrjtOLQsff7DnalUUPzcmW/YtWQE+PzR
69hAvb5A+uR7iIHMbaQaE8J139oO2FXNV3RlhyMCcZcRNqMM8PQuym71MYHijvUY1O5Q2dLbt5gF
Cqk/y1w6Md+G6tboDZnCWFTOAr+/7kppLwoTBHyIlTeHAfpGM/MnZpraIo2lf85lJKtULTg5RdDU
G4bfA/nmgb7F+rtHx+G3Z7Dk6w4jIBWWTQcZq5wEWfQhirsyKjCwtbKfdq78bCZxhe+9sdHHIZvr
tmrnhDbKnim6G4pwWmJHHnicVltuxOxTZqJ78Gnv0Jw8KblRI/iebWAY7PoEYENWS4y6RQXUYowu
ShOTw5LrhQNoUlXhxsWJnV+MJcL6PAwYUqJctDCsh6Jg9N12mmIs3jtUlcmopbON29ivCWkvbkuI
JkDVgVo1i0wPz8LYKq+xKS2flAC1Jl/17EejlN3PsretW1urzXGVOlg8dr2c9rOQFuw97DxkAmIk
b7Myr02nnq7jwKpvywBT7T7rbOjPY40p+GRZayxTfeQmYbhFKhxv+ioBjSMkaB9AYgdXbpkU11N2
prmK4U1JKtx6NRSBgdoO4/IkOWvyV8p77Qf8EudCc7sW+xtdFIe+ivEz0tGXXvuTLHatRCuKfgFl
rNPxKmYZJPAEP55ZasFTRN8pXuF1VnPA+iSvTK2NDznhgpsukvUPq6a+WowYmV5Kx22xCA3tfWJG
+aMv7Znhn3fGgzp/IS0tw94gdEJvzPPuLIwc8yLMmvYxb2FOYMk+7FMR9GcDljg/WzNmYBwSGbIo
uta/7u0y+5U1tjrzTM0X3NMLnVektPdaopvndUsHbik02Jgs5Sa9bkPWn1Ra897IbeJofDzVF1Hf
h5eFIt+S3nae9MLOkUROzjIIiBsVTYpGBjnnghpv4lPIpLhbdMqIDlfWnGRxGntxiddKidybx8vX
di/pKlBqG9Ni0JxV0ECRa6LsjujDpzFvAbQ45RdgtvhL4GVFuG75WBuxsUqw/IsWqmlj9iCojLdY
j2d3RZJhVDSl+q6ufUopBk3SD/BESEqnUzyjIYLUo12ylDdo/7PYoBY7rbOcByQG2L2WnbOlixlw
WIhguhpKe85HMb2mVIxfRkzj7+MqqZ7KrhztbakIiWjHr6KEmAPhi0VCSi3NVJsf8NAY8mVTROMz
WSh6v+jqId73evcWkAiy6EB2z0lWzc8MKtufealaS+j4zcpSksup6NNi0RhKum0T8j8GHtU5o2oI
uG5VtpcAgcFlTDFEUHEaN2vHEdVFHZBy29SxfsP7/6vNVUwr+Ka5i87WofH47bR3i6a7TlRABjNI
w4exJipClba21vLMPzTY678Cgz1jLjY8m3K8nTomVUR7ovVU8kHbxhVRpG2pGFiwduktViVDuwzD
qr4RKpFcSyy4NoRfqJupRw8r2PEMYAtzG4aWfa4nluRwqTt7F2YuvWmsB69Qr/Fb4iREM6cESMdG
+45Wh+8J/pDPPrO8FR5Ej3j6D2cqYqwtfwuSvLFqb83I/GUjKEf828rXYPL7TZ8MDrIGQ8YXrjvh
5oUdDzQmx9lWQTzW4CvcFMO3H+0+NO+ivqg3cQfvUq9d7OlzaioZWu5GKGILKVK/pgd5mLMYrsZy
svZVZZHKOrTWukxz/6VwyXFJ68EBJjRiLOF9Uk6FQhej11S3Y4NWLuiH/IbUi4AKVwFvztpd68js
4EeKdW1XKjLU2NIvtbA3fmtBniO0RdBYd1Gw9/Owu8rFGJ6nIhG3KFjdPFjKyVe6H7hgwuJJmm3G
cbvuS6NcTe2oHny/s7x0wFMOl8BiK3sjvW05cRfdOBswub26rdPuLuhQfo22au2NoJDbdqifob7Z
XhyEfLEoBPccpIqXGW5/Tiln7wdm0JdNUCXUvyQzQ/bEijdty1ejiqHZEZNS0QJUYfJaEMSsnmlQ
Ec6IvYlXoCWEvwSNftfpyiiXiqsL9xI+X6AvsWSvxoWBDA4L+BwYeemEtXuZY6d2l2fwlcmvd7dh
1ASrEgjrztKbN3you4U6UarUlYERwzT8RDaZ7UWqE/QgBE1S1eO7oiUxidautqad8PBtiGHZO4KJ
ufWQBdTGpo/FG1VhugLu+NnAY1oVUNuXKgFDjH8HrxstEj44uWMkZLV6oIaa3QGAiZTO0X6abjqc
mXM4rVUxVlQT7OQDX/N6V/F/h5heXQtV0Q/N6P6uRhNSL6/ePZwK/I1FU1Qwx+rRX6EQwMogF8VW
dUcs0aIqX1lt0C8cwke/oS19RkFhKpkqH2ggbh33nI/4q9GQtD7bFXsIItK9lvX3FtNML7Dobl0b
IP9r3PXUZMJg2AK7Disj7Z11+AecHdSVqimkB3l204q7Sq+2dADjukJh8c24RZuR44/4LlfmYkhE
Gc7ERT1GlqfpX6C2NXXDz+YdpJd+9wsS/rhQCAy4AFdSt5YzqS+hP3eUA3jc15d7Cr3HrRDZhWmQ
mvlpemAb7TQEKj4LdoAVI4E7F2UATvr1KqduKo9wxrBVBp/HYZkmbIDOzJjBvI9D+tgHj3TluNBM
zBS/XurUBZnv6Z4Qhxkxzj/lj+eXoJTrZTowWUJcusKS7hnG5/P/3xpH051ItLrF21p7mt5eTFZN
YE72z3j9P051Tm4O9h9UPbYiLOfjzeHGDsRJbC1KPmAXQafqewxoQMsJ/nwKFUYtKPXVq6AGa8WN
RN1hkv/daOfzq2fgmgWOyvuHm/DxAMIUZWcoBczHQENP0RattSSFuzpPlRj1PcqM1d/eV9bDKMzl
MCX57vjdq6itHFkalZfhn3KGgvyAAsL+5jz5vBdxSnSglIPvIBh7Nwr7Y4O4ATrFOkmRJrWYRjUl
Yumi7M/hakTfbMUTK3ERDgpQSxOGaR9tE7eJItJgncLjaEOGqTRnhrTvyjp++Pq2nXhMmm1Cq+ZZ
cXJh8v1hy1tllhgoPQtvirDMSV8UvKfjJF9GEAW/Xkn/PGyEtfTHUkdzWxpVhCQWS3V4NK5M3LQW
2WC37QJj6I4Yn3y6l4LBtAAErVeVCcSn1pX/w6JuXZPk1q5jRkBbvaGXzmoDFCwzp2QvnLjct8ao
7IIhnC78lGLQrHJiDQIgY4qrdp3qJEvscbkZL4eiA8aSHW6J9NpIW5H7f3OhxywxBo6MMgH3CY2E
vCOOp36klSmGS5akR/JX++hmuXqp9c4NdivRSzZ19r5LsbWoU0iXI0a8diJpnEZrZ2HcGQnGM1pV
Jku9u898qiPMMJd5kcG5cuCZ011i1IAvU0JIThUZ9sKvY+TsEIr6BWaT9l6JlW6JcbfpMeAaVm3r
6EvWiVf08fZ5YsJliBNkNjgOhETAEHNmo7cx+frg4RLoCsXj1Kivtg9B++sdcGKv6cS3wuDgm8V3
/2iv+VlfMYaV3JdYac570kJ2PPURx4s6hqXkG4P39YKfJ7/w1hBzoLaAdeoeT36rAlbUUGaF5zqt
uQN0gV0d1O25ZZTt1neC9jwEf7kzIyykvl75xOvLWFuFrQsX5zP5AmV7r0CCzz16XfnUW4P2DNlZ
u0N8Gr99vdSJi2TKy2lEw8O/jmfoDEcoOmWHC2FfA432Gkg+cDD2DnFe7yz47bjaMGWTC7iS7t8f
U9RVhMUgtuUmH3ut23iA0nvmuYeHTLStUH0HY8C8N5b/UkX/x4/a5zuKnxvvE5nSqo0r29GBSCPY
BPAFU093nEcp5+wnuPm8RYbx19uUcgPCFMQoaBifMmnKBguoAAM0hot4aU0W6IsRXw2DsHCesn59
/fROXRaJDdQ35BYw0z0iJ+AjVeZmWnFZIjM8pZR5wSABYLfBqqv5ppT6/AKaqkFpQ2kgmGodf74q
BsSh1WVcmWLehYbyWE3Or3g07oLB+qYGmd/lj/UpS8HPsbg0znxxdF0kUUUyV5jGzlErBoCJW8Dr
t9MeaX3e78EqvqtGT69I1hE0tvmlO/68mKXtFPOKldbvE7d8KaR2Z9QJ/jxEM2BXpv9V/vVMDjJV
Cm8UNVQdrHi0I0VD39H6duKhBNxjpuuZZnIVWeo3y3wuSudl4MgQIUn1ccyswqdkjCL+aq9XdOVO
wbxpV458Eb/eh59PEVbRsCfkZEaA9m5i/0dlMyr6mJPQnni1QVtLu7dM4+63nVuHuMKDuEPRYcjv
Ynj1mS99vEvmg4MgXvImiBL/WH0g+m1d+C+J5wroy9hM0Ivn5AlfjC6juilnktXImRCvFGYCtXpy
S7Bv1d62I5mGKcOkzUBZNElR3WCImKyCsqQ4mMuCqsCYDG6Mde/qg4VtXiO+OeNPPhjHnZsfDUHy
8YNhLhmmwJupB0SFRYhEg6SMgB1fP5hTBwR+BZx5RL+TH338IploY/KgSL28tYl1LXpPTbQ7x26/
q1pOPQrI47AqLYu8pKNHAWneyEsM+D19LA2m2X64Gy113Hx9NadOINSX8BGdOcPimCM6xao+Bp2S
wCBocHG0+UyNAkJ206SvfWz+fRVNzwhNlE8GtjBYP3zcX04bWT2si4Te0f8137s6sg5Z7T9+fVWn
Xh7EoaRYCIhsyDo/LjM2RJlPBS9PGgnnOpEaOLsvfoG4Fps6EM7PIS3jHSyW5ptP1akzD0asSV0N
ZfBT0wN+ooaG2SdeEOhXba68TDFSj/ihjKdbXsRvVju14Wl70L/iaOF8YgumXKNtlU3iEU+WbDOc
lw8kViurr2/mbLfx6VDgJiISMtH1wmH4eDfdTh87Ae7mOd2gPkSkU24UGMeY02CPBkBvD/ex5hTL
rmj7qwp3v0uR2sYWGwpjPckSwV2AOYRW+d06HRyGsl0Xf9fdaifvvD2L4dBUojA+euS136iC6A2+
NqMJVthWL1rrFngdOw1ZOc5jN4JO2PgJnBO7GT0kQ4+CwC2eQ8a6k1W2+3IgVQcUCVcxdLKk83Id
X9/IE/eRwRYlKKlL7lwffryPqc1vQCtZ4HA3/Sonrd2oJYwqP2WILV++XuvE7dDeiYZEEcOUPS5j
dE0iOSVp3Jt87ZcK4LDKhPqCxCT38AOK13CG228qjBMvnaYB21PR8MX6xG/ua+yuavSrxKqIpzAK
lKXO6B4ws8YKVpfVfVUPFUq5vPf+/lo1DToniBQF4vFJaWI3EdVOU3j0apeYRiMbrdMDtORgESbB
g3RE8Pd1GwvOMICOAwJH2ccnybsytA2ZtZ6iBtVSaj2jydxoD0PlZl5m0Uh/fYUnvjmsRw2FsTrE
1fc39I9iIPNrMyQJBvFPj+YyNQlhQNRYrQxocf/NUkiqcN+hYEQN//HSStuM2iynRdPcIr8WKdZL
td1aZ1Gnad8cX6f2qMELNesQZsrz0Ze0hxeTTyADXpN1d11YvAlR3SHBqhf4sx2cDt/Pv7+N5JDp
ukA5SIV49Ni0EcBdb6bcm2b1moripu7qVTnbrn690ImDGW6xKnCmpwzBweDoJk4DNBCfFjANxCPi
360zVXdfL/Eucjwq1T6scXwqK3ESmyZrwOrVsIGPyn0jGnGjdxjIY0OAe0+gDgskjuWqseLgvhhq
G8YAA5vOqRPAvw5KVE7oY4G9POYxmkYEo0xJ6WrrPXr88KC7+IjmEoEhmSL5NmtgaNDdyiVcOLyk
BcLnCXO9a6ERILKImeHdTC4KQjXXGpKUsqbeqn3l49kMf+wqTlWqwwIbgTyJ6qtwtMOtVjcSGSY8
rd4Is4teqXvPSdy7iBimJXc42WRgRXOIjV16MJSIyhmmcu2TsQ1jMBnOC5Ng5wGbv83Xt/fU3uQr
bmvsE4M5xdHeRLpbtdJib8IVfKnG9sUJyyvTUDZGVqx9BS+0r9c79YZTc1PsAd/DjD9aT4Qyr4xA
5h7W/TPmdDnoyW5o82+K18+QH+7UyCcA/sAILPdoGXNMQkyC3NyDSXoo0XNCHHJ+Vsk9k6gLptLL
TujPQZ1/0zIZp9cFpeWO0lwfF2RumVXEEQswkUJOT+GoohKqTeUA211N1wzO6XGw2MRFDjHnKiUr
kAlXzkFe6f1OQPUV8aDsDBUdtNaa+dKHHcaGK7cIPxhjufGr0Hoa9RE+UEIuy8ptNQvsxZ5WgYZn
d2I2S2cS2Hm1sUlW9FQG65jfs2rT8g3it3YdO+m0LTHB3KDo4r/PJoGnURuvbcXWHypDfPcoTj1x
i3BEFMzADIY237I/znT8h0SWJ33uqaTcowtZoC7dJhqRqF/vrFNn0R/rHBdGfdkjfnQJxXBEqi5z
8IYlaY/rrxc5VdpYhk23qjNvs5yjr4ZaYTVRmXXuMXRCNokom2b8sUhCiLWN/EZ0dnIx8Ep6Fhd1
23ETYdUcRnnKu6KEVkYnOm17s9xAA4NQSVTN11d26iCwgP35WiDZ+1T8kueE2ydUCq+O64Pe2NZS
8+VjkdZvqEsPWWh9cye1U/vCpkuigUVLZR/PaaaGSD3HpE6LMeZC6qFre2eqh50OFr8qDCX0zLJq
lxgKGDeR6oeeDGA2B0WUXziBQwBxYcp71L68UY0fYE719f04+fM4EIGRwG+xnvi4bYfRbwg9pswZ
qvLNcIOHUO9vU4Nh8n+xDsmKsN1Rr30qDppekWEJKcejEy1Bc9qXXCrDqujqbz6kp8pWwCnUa+r8
D/voPTQGFxo3BCyvhTgeNvDchvxQF2IfO9pVWlR3Wep+A1Sc2sB/LHlcsMaTmULUUTNPGcZt0BVv
rpnCcLX2ddF/03MYp/YvHSlDMspHeuGjvqgdHNL/RjvjmNHlcxuWv4fInXOeNAzVNRJSlFIhh5gT
eR1VM+FY0WZ6Vg3zx+2bRxNQ5dHHfdrrdGjLSFsQG4RtfYtrcbFyciLwMr9xNqM9OA+O4NRcWHkz
G5M14wpHNaDNQv+tYteztguHeEf1OS66SzSJ5bql5IuIfMNgHMfaLpP6bQnzko895m1f76ZTd8Gd
lbpAHOzb4wFsmpZNk0NS9qZy2k14my5a1XwUpTgDM31sIzl8s+CpRzzLM95NrcQnHL6MtUBWFENe
VLkYTZcdDkMT3S8eiX7qY/UNMfWvL5Hv+qw2dhHifOouXUs6JIAbqZeg78d2WloXeUiFJuOieYwJ
s/XgIb1+veY7X+OoCIV7gxONzitKa3u0uwJFpkxm08yz8NNchkNn3Zqh1i9zQ4qzsEiJTJjj52IT
ytY7T/nddCnrsBxp4RJtlWGAMvvNjzoBYsJKAPWZT22CTPWPR1Qwiqn0e97oZvLhsxmBuYGVZmwa
v262LiE0C3YK9CmRrt2gDpeSmQz0a1Nbff1DjBNn5awLh46h0eaYx1ChCjXCwrMc29s8NhiNzOTm
yEinAwRLwj14XPaujaEkorNoFgHetWtNyZijRiRfXA/GoG6k9NWn0KTwxrVCfaIsxqVpYEshm0g2
MHvEFl7um4SRyZHdr00rDolWUcxVreStF1rY441hZ6+c4EwvEuM2Ic7kitcWJQpWX9Nj6HTuPlXt
HyoO1d805qeunwkYGnSSDuZwn48PArgtThuyLHCqSMbbEH0ucVNj9BhpSrj5+l6fWgr2JVyD2Y3n
U9vK0Kmqsvmz5BZGuCorZ5b04LO2d8M0ePx6rffndrzrZ/TXoHvlM3jc/hMQlHZDFtEc9MRiLrCI
lCg+JtIlfUISV7mdamcaMZTX7agPl7quBAd9TpAwjbTcljm+Xu8/6P/sG76zb8ADyPjj2X2yb9j9
egmLD/YN//w//teXUMOkwQR94P1krshr+m/7Bo5R3AdJmKN75w1mu/3LldB0MSeeXepQaSN2Ryb9
b1dCUyP/DsAZV8LZjsZWjb8xK/6H6vHHNuP4YpbFz0IywzDyE66VaH7VCdu3LpGqQabw87E6y22J
R7viaFLM9qB48Rik4ZDll95OUSncV0x138JiEremnRhiqRXGHdOF8TGxlehMGKiv0NQ5fILK3MJ3
FWoB33HFmGR7o6R6UJEVA9nqXs2RGy3yPkqN7AxBUbMlYiSOL209dMl0weFpEzVhvst8iXdN3FXL
TGrBKucYXYFkiU0YgcGsY7c7wC2ig4/VAUkQeRbnTae3W2n11V536+EXkUbPZtYSPeE26o90KOyt
Wkblc50l6pLwBWgYRvOC+hdnldEJkafYeh2eTTIcPbUszA0PSrnMcQ8cV7bdb0LVQYSyrF0s0moQ
3w6W4cwJh7KpR0N8pYSh/tjL8dzsYKxq0VguGzDtGzJ7iWzpID/2rfqYisi9H8UocVgcjW2pu4/j
6FjrHqGdb/TZAbvCyjO7Wr+sswwBF2lJQJ1RdJ715EkLK4wuXCV9cdtKYIAG8VWUVnKGWbK7TQul
f20S299JXxgbZhXpG5bIsAQoOd9m37EK55galoQevXWdXq/dIRqfgA6GfBFEpPhWpRMsqyx1nnW9
S9bCjlEIOsVjFmWPlcLSeL5OUPSH/offKgSUGnmxNpPIRqJmZ/nCHvIe9QzicW1hRG52a0+jaS18
NSx38468r/rG2jiaH2HB06WJZ+sdFX5o2y2/viejVyEgAHDHsOSqTMcB89tEC27MREuuST+ervwh
VJch6N55aOgKWJQ6ClYxCjK8bHNrxin8h0wxotvBatJzkZXyPJSWcYE/Qgx92x/+h70zaY4bybb0
X2l760Ya5mHRGwAxk8FJIkVuYBQlYgYckzuAX99fKKuqlVS/kuVb10aZZiIVCAyO6/ee851b1Xf9
thmG+W287IdCPAFjNJWaeA+YVU0obFhwa69QV2RI5PvZaYarMcHkEc6uSr9lZqVFONidfWaQHYYH
RHhogiHFh/no6WfVLGTS9gFp9H1j6k3UucjUU3+YHq15mS5hqYu5La2yw82he3lsphni7sx0Iqyl
WhG2tRmcZF2TNzQKGnERkRMYWtR8lXcclNe5dOTWZficAu6vQ1ma2XtLuBhCeRLjPaQLV72jfXNX
RweClBVFiGzbRYqsKRM7FbRDS1gCXrUePJGYVYYIyU8YufJb0ogzEpQc/Sseimpr5ob7VnbJimWp
lvCGZIaZqCeloDdG9YUNoXWrlYkXMzhPttPYYoFvSrWcWiSoY+QThHf03VKJuIYZtlkmc731HLvd
rB3RAa470w6ZLfMwmGV/X+kOJUelpkcnw4SSE46w4J6GZeQFaX7ShLXghQ38OvJxa4cu9lQdzF0w
RBCMiFnu5bIxVlns5jFZNrny189yRoEtQeptMweDRRZgYupHO7nO/Ka/dV0ilBO//wTI070PrGnf
N9Z6o4g0iNrZOzoTjzVGd3M+5ElN+ohy29uiZsNhKAOjuS/85aFkE3ldDxKep9kVL7ludGBaSRea
FFtrf8GhfWgoYx7mojMjZNKRxVblmmAMMn5adUdIcX+1FKKIWDz18zBxuckhYzhe5xaLQhfEOHb0
w9oZ3wyEKWdBX/tgGtI81MPkhrmBMQH5Ox4ILvKuN5MsTnKBekAsCUg1a3wgBWb5jmVHRKvmLZTt
JH54S1dDcEWZD+rQzCIjd8odYyTSoBMWct1cx1OeTfNnzAv2thNo811futf6jDafeYE6BGmm4qQM
/Ger1ekVCAVkbEZZ1tuggQh0ctxnXoLrHt6K9t0oyPGeVWZRE9vTe5Fo7dl28vYe/7YRCdqvIKr0
13St001nVEhyWyl3vhw0wHew1p7pq49XfV3dXzQ7xywgjt3qe3Eyq3S8XdGYbxU2rFvdyIObIbto
QWCJrhsb99SutlFvmtbsx8AdZDx5mf2djqjcKG9+m8DqRyVrZkXOscoiDLLaVaaBmkG4r57EjOfV
NsR67/oqID+tdZ8nP+PZsFxsCY5fHQDBzuyIJo0FK1WhcnL7pawkjUhw3GcDZd9u1VvjVdWpTRDc
+pl8E7zfajH3jkSWGepa4jzkuTHHQl/BugfV/aobB6oHsG69ZbibUl+4wA3mghgz/Z0SZfqkzRjm
iqkewgXE+i0FMYQkfIHqUU9dAr2tzjumNJd9VtAk2LNuaqA69avB06z7dZ1upzQfw47e+WnihAGe
mCagkmZ9ROAV8khAnQuM5spd0+xAkv19SbxdNKu+JbTVumizm9Tf57M7bVN/rDaDNeET9ZOrgnyb
XesOEyC1ggT1Vc9jtHn2gQcq20418rF0nDAWzlWHdy6pwaX1LN8qUa9ZroudJnX3tMrBezO8qvra
D0I7O0N/N1i187D69md9sYczysaOZBbLO/SjtrJZ8ZCWOp78PODKOjpu/VqsGGizwoM9WebtTl72
IdPKvjKctXQ4YiWeSJ5M7fshbdrbFRxejAPUkWFR3BmpMJ811cA/4a2MrcZI5JOB33dfrdK5qkVe
YNrDk28VXaSbOvFI9uOsKRubd11t8gbIjoff/1PgpwJvot/dCH/ExYsNaat3yXefFMOIiDlC7Qe0
LopopP3QVutVZmMGEk6ZfpFog0NvkG0s1qqLbddZ3x1yE3AYN5FZFt5DmXAIo1GOEce3hG5hXUtW
1Y3IjJdkINekbu3sBiornmnwqeyRrpbEsD9XmF6PHWyTDUh4ics6C7b5XCYv/bTMO3vO+xdiVMjY
CaYA0z+tck8xCSEn/EUZrCtEnBvblCyd8kIaqabsVZscYhUXSw89v8CKFSwhksHqNI8nzO42rrG2
lmcy6dMo8/U2ynCdfS40t3mgqCpPTefzqncMeHa5KqGJte1osKVOxZkc922NjnPnQ4O9VhYGz2Z2
NNAEdr3VMzNFlN2w7JjFtE+JtSFKTBXubeeI+ZDZFblwPrM4UuWdCE7Fy0D8MX753hE7pYz1RhBT
eYnMMI7t2jdbx1fz6+QnfhUO3UqRghMV31uV4p5zCWiMHXgJb02ZiRd3IS+NMve1ToMk5kDeAVt0
2wJfOvKARgNuMOh+VBeltofoWrqR15V1gZ2hbK4BWxEYWdruRskaJ61mp9+SEUoIcZyKV5rbjyFC
KvIly+KGujca88uQy3TXrc5ecLOqxDjCQkgZslFtZnSM9oml6e/sYZ1wRKQWTiO5i4AG0o2Rgxig
9Og3Q1XeOd5aWrTRF7KpEDeQTQqNRedSv7TGkKIKSpKN10yCxsEygNcdYNgQqjjEnaoIyeu8xPsC
zqcPtsbkAf9a9TtP8EJiGJcWZ0ONxtssvOpmnQlm1qVZEU9ZmtukWfFpP/hzMhVJnEg/a9/yqZZY
buumwgDlzVlZ2sfE8fPyNM5+0H5Si+SsteO3WcOpHTRUymHRu8BCyDY1PNpBSAJiB3CCFy9Z2sTa
mGCnhNQ1fxcujEiFIA0MxeB84XfaFy1VyfbitD6AmMExZ0h/jvXBz4+T9LvrTvDT7eC2zxZPHkyA
nkQCgqrLgISliQyrXe45og1TMTdgUHUgPPnsH1zTWHmCSZo5e5P7ac2Iwu16x/1m0x1MwtVbxSlx
ArUhqrC/72tM5IVb98RfivpOV1kWu2RvkhJHm2tvVyOx1Mw2Yqo+M8ZmDZ5DDRdkaH5hklX2xqsc
86Q3g33sdUDmOZrCjQ/1NXbcpQbIqfF5einaz3Mu7ScAQERYDLkgQW8wLlkuekUcCmfuHs4mlPNq
XJ6Vk9ykhc9phQwyP8wqSGNZpHkSjdOqXy8CQ1sxQoxAjT8TBotTaSJaQwBB5i2MvovwxQNmNGrk
QTT1ca6L4lPqV+PzSOnJnmmQ56VZ04faWYetfznZSZ0VO3K+2X05Zp2dtUQyoG8bDNXuJPQDKRjd
Q5LU+ghbgB+d8K0fyqFv7kFs9PjxjO6xz3qg5sLvvjRtCi/H069sE0IPylMdN6x5ge43AW7lSQJV
CGrxILN5aOIkEY13Pc2Zfddk3au39sj06WYTiq5l+hr5Sue1n8PqUReKkHtTVkv1VOjkbPqFSnbA
1sgoWSYcm2yFxs/YPtU3qUFbFVDcTkOdipgjarbo3XkIwTMjdnBHh9DBrqfWgTFkxknmqK8rVR8V
v0abDlvlctt5fkmAe1Dl930aUIl1K8RfWUzmBi6OsTFRRh6I+s0PGebIKyeT+QEno3euHHYO3uxy
M+na18pv189ZiskeU7XLlyO1st3oTrk8kV5DMqYhlU7ohrfeaEtLDOIkkt1oyuq+udRJ1sp9BQkZ
ZzIuzmNilmQFUvmC0Q7afVMkBs4C45JN2lwKWcPpr5wLISBvdOeyghGovHQKd+qQF3X3pWVYUN9g
WhysTYUowrruDN4CIRF/mR8h2iWPDz+tu36D8qirWxzrxd7NyArNARsuT2Mzi/nTqjSSaUNtZMM7
3k76AH16M2H/9RBVMXxWJ05J7/tbzPMZmbiD0RIk+b9rWw6ZTd7peU3nXaJ5SEGqev5Nk9z4MO2B
N4dC2GGeR1VGd+ejal10syoACKpzqg1OjBE0Cw1s0cTsHjSfrN/0xaytnSzMo1U6W83ut05mbHwP
0MAE8rwdN3zVHUb+uITW8FNv6vbPzs6/YVD+eWwo1wwbBx+2qQ9D1NqQXaMndAyF6M+eoFZM9vnv
BkIfGqU/PuSSyOVhTECF+fEEOMU4s+mV6pybOoEKbIG1att47Z/92P+0JH/bkmTm89Nl/7UlSWu9
ARb5167kj1/6R1fShw/LaBVTgEN8Nt1H/r1/QGUD4w9HZ6JgoQKj1Y36+P/1JU3+ilBqH9sCgjSI
A//qS1pQahFe+KS5MQdE1m3+nb4kMjDa9j/1JTEymggYeY4C0mCBcF6GbT8rF9yc9o0xZMe5I/47
VKJ10Gcs7kl0Hq2eZTZskGJF8CDKDs7/mEDQpMLwAWakAxvIfW/UCTzntnKP6+rZyYZxKJiYUdfn
u8mya3tnFN6i3ZVB0T91DRV1hL0caceSVC7BhuYgqZRrnK1Vwm4lnGqQODDSJveKUDOPl5vqGfMZ
6wiZpWiDDbsJq99Ig2FmZKk2OUKMF0RM+hrwDXRLb7yXZTz6QbpJV926EBiqcYhQDppObNBoMq8C
c8ziIajda0WqR1jL6X6oTG3rDQavYwo53eLFbuQPoiiWuznTxzP28vr+EovebLy51bKo8OcU4o6j
p+z2CnFfOYIQ8VR1dETaZY/pIziaos9PLLs7Uk7Be2Rt3m6dhvBwc8hKTia6ICOenaTb2qNnPpEX
ZRJg3FcPhjm7myCzX1K5iBunXYKYPEbrdjKL/iDbxY4zw7zN3BUge+N6G20hnXMWWnVreVp1thp1
7+jUtA6UUdAYqLPe3MQUO9trrYgOVnky6rqKc3fu7mXPoo6NI0c0NA32Gb09nHNqkOkKrGVntu05
EX39XkhABrIEiDQ4uJ5ohA33qJLeHDhMNHWA97la1sEJ44/MWZ8CWzOQG9ZNxHTuKFVLimoeNA8F
jIh7aw7mkyU8dZsPencnyuxrYVrZq9O6uILS+URraokdkI0hYQBkfblCu5PtXD9UfVnT8aqGswnV
CMA+rMskKO/6qhjP2lxOUc4T+5k4yiS0B3M+L/lQx2J2zI3hcKSgQ9JYl0n6afU9rQ4rvzMnEuZa
dtqYNAh2FsI4WVmnHxeA7RU/f5NOdnXnyabK4mVOgnsvd8Sdb9qSFlhS0H5P1/Vsa7Q0C8EbpYTG
tFvRPN3rJne0504jrArbPi2YLURv2VtK9+G6na31mT6gk2/gnGdHu8iMWNjlhV1qSTvuypKMMeaO
W62bTq4VDEc9c6+lHDovBMBfwbHyC+xgM3VXU8HnHbgH41lf6nBKtDEiDOJR441AkPK9ny86JKuT
LQMq064hrnkqbhGQ3Wgk5xjEfcRBZd9Te4AQ88XbIDyPsJr2cbEIAidq4KX2+mpb5ua4RHVunhyb
7hPZ5Kdq+Qb1UIQtQXXhOulPNrzXSC5BgndDatcK4Q8iP5HGhW4/sxgON6ao4XzRFY8qKLyHpRvs
R9vVYC4W8EpQyAIuxXaJVufoUbKFSW4+Sy/pNpNX9zvCKEwK3+M65ldjPQJTG6ECNcTYJ2whiK0M
Sa2tY3q59UYpkW9LVczgWorhHit2dQe2IT3IgtNMroh1gBE839UzirFmLM1Y8MLerThGr+1eHpfe
UgfYakkZ04BUd8oGvmks2l7rFudM0zpreMDawVY6CDViEoK4M9gX3y6Jsuor1Trnuve/wvp3Nq67
Bp8KqsKtbUKNyvw8uUXSnt8QyPva2IJuDYlp4Zobry7DyDHMen18GQDn7vQ6E3EvKvOUVg1bcPxs
NK7SCmqKXVHfZeBkWHaZkrLeVW3ftpHXLC/rFOREx7I+y4l7MF/m5QV3f443ONe7h64n2V0nZCf1
m/qmBQ4YhDKgLr1NnYRweaw3A9MSm2KvciSw+rVoD6KUCV33BvZrK5rgfiy8d9HSv03BRm9V5lc0
FXwDmZ/msq0SLvrjJLJzALJsnCeHZj/UPKR/a7ZufXOst0vWgSGAB6WqeXrMKvip9h5g0HjE3JtN
vFu07q3UinYhK6uYdGbgbMpvyt5vYX22s78vJxogV7Pdu3czL+wHq094RErFrUenSjpfBiPvj9la
L+BWVsv5OnL355ExEXMRGVriAWd1hXffVZrPJsHQ+2Nr6v6xWxJtOwbkHe6TbjwsuZXeZNWFU6MV
mIN7qXm7rERBGsGGyZ6Fbw8badr13sjT7PXiJw3C2iduN0qX0b5Krd6gu4SXzg1XNSUHKdjpKktK
0J7zSoAxS/t7U9qU5pZtqutRDsMtER6dHnvQ43ooJMAViVoE5Rna8zo96YnVvXa9nj/zTk6JT6mn
a/Bl9U0ineBdRy2wkoeRWIQ2lPJJAzV9rnXvQJIMY6racr85cGiJMsisDqySI8lhDtjoOK081Ky2
0UD9sMQEPV3GiwlnkUZd5j8C0HIA3w7VN61AGQHdxTSH0BW5uks6233kPRJsBHOP7cSIU6P5cwEE
GiUhNYc+n+e3kl2NzWKUEsJeNvJ2vqBr0A5l2m1euIMITavunwGblWerIsqGu3i0vciEO3wIYMN8
s4nywLXdPFRDpUz2jU1yYGBVx0aZ8bCKduxu1s7qABgpAJehOTBQ2ICv1K9Ja1HPjlrU98SHson+
gLxFrWCDq6UBKMm5W7QjqT/ytnFYb0Jr6LU3W1+Gm6WHoxZa2kVB5UGU3XuaEi8Iq0l6gaMzHYQx
Wiou8qKjdUKYylPn4y4M/dYa7wub6RusSKs7u6OoDjxzOVtsUxdLtNjs8DnyYGN5vf6cBGNib5pc
L+cY/qmzmyo7v08CHCYMsjzQhVNTEBBrk5puZTR8EcwyYSpN72rBLXNE1OXGrrD1eJGYwCr8HbhD
BZmwCHU3nQ5HyC2w/DtZE9ihMYg7YxrGeGASDkJCEt3skSodz14hDoOHFDSsq6Z/LvtipFmYToNB
PNPQfgFNJZrNCDGkC4l8Wr+7FFDXic70yTLdr3aaBZ/BCtavbTq0WyurZAX+xkuQq8iSPHMVIA8v
GMzq2Hp07zpYbe9FOj2uv0wsaWSmDgSkxVqsr55iTjwmhvUYkAgPlrC2ZhpjPaPPpjXbferP/G8J
ndrfF+Tm3ftl0sloJrPnVQbSJHLTES/szsc7JxgZhRWzqT+DgCRPAWn9xL2kDxOYHM/4FgCXKTbg
FFLtSEh28oVk7OYzChtgVBahNKdpmBb2lZqWxWs/MC4nWvtQpOWtvk75l67xzljUIZCBf5JgEhSq
HqT3Y3Bnj4F+nuDJxmlQM4Z0AmHeuBW1IWRJb0cEjyNCFPT218BbTZcOrkgfG3vxGMvViuaygbR/
iYwh13cBdODzMJrrRpGockCeQ3Ke7YzxKqxqO+n6dIU0h8ZOX3/PCpOg2Hxyve8u/poslAMRNKU7
9p9TVAlfXVJKtrLVSQjnaq5DJHpybjM4haQGXqzSSeLQ0sn7tLDDtLSLb4L8+iZk80nauJZVLC2W
um4ZGz1VyVx9okGW7fTc0dgfJNNVz0yHLmzp+qeyv0SH6tSItUpRwyIu3DZ9R5BODrGcgUtafhl8
z8AnkCimABlQl2QjkI+C+lnXU6nBklTIP674htWViVniLVnzcVvDI9/XopPbNLCaQ1elVmyW65Mg
RW2KDGiWrykDmlvERQzH9Pw/wp3/9b0Z83H5zS4Z/7n9b4U716/D8PqWTcP3cfzLVvkfv/nP/JXg
j8D0XcPAr2zhLAhomfwzf8W67IcR4qB8Jf3C+SlY1Db/QO+LdotfwwSHjPxfW2UkPGy8UZVjtXIv
+QDu39kqf+i18E9f6AjYEZmg+hzdByFiYC1w9IQmuE+r96xN0Tv6RPvkPi/rn3oIv28d/fgkE0cf
5keQTL/YVaoGess6G3ySyUaaKfKLaNo5VAm10N//JD4DmyXmN7Bal+/80+Y/HbVk7UUp4Fexb0om
/WaQTEvcbv1Nq+7/c/Loc8CYuigH9V908BIRXdD2q9gz3Xgvq/KdFK/3gv/+7e/Dxzi0TXDE4Hv7
cI2AuQCFIZ5vT0kWbAK/o20OniAq5/x/cOq4V5ELgsugdfPRxZcKnRF3xjeSkE+vZp22J340/6pv
it98Kfdjh4YEVReLG2YM5s6wz/56kTxJ5N0YKLHPlCLQe1rul3R+BKP7KKT0fyNz/dBSvdx7PtpO
14WrQtvyY0dRM5yWZ7MV+6AbyOEkt25f+F1Ctzx/1f1LaCec75B55N+38/HBZI3TN79ojz9eOrdv
J7PKGrEXXd4+TLD4mMVBxgZoZf3m+bqcsL+0vC7fEeMUqwLicZ7qv57QdSqmBVqNAC1BhEcNWndT
mHry8PfvxZ8/5SJs/unZ8tEQS22q+JRghtjez4+yVs2x6f9np+6n7/PhridWLGvpTXCDVNMSu3Px
urakWvz+8fpVA42BA7sllmzPg2bx8aYXQH6IyZnKfVbXNvO7oX5vLUCYoRrVoDMvswHyVRXawjAr
jPFMWDw3C4PbG2E0FOl9/VrPbXP0zY7sNpMry4ysqaNqmZyTDZD3qsGZc1W6xJWPssvFRVHiMGJG
v2AREIHuzauTB6Bo9qvlIqQOA/7YMaTx7hiy+1aYLDOWxTxHFgREMmrQAfmRWpFr/eYmolX7y22E
Tf/Shw28wAa4dHluf7rAbVI7ft2KGuGwiVxAl0QbL2Kcb1e7XjZBotMVC3pjS0iCs9dJy4sZVlDg
d3ZzlB28ggh55EzoBrCzvm3ATmY5LTJC3w+YHozt5JXvi29bh3QlxFZ4jDV7sRJ5awZth1KGH1ky
9jR6yf5n4u259+auvqOTYyIQNduDQ2vqRdZECKp6dvYJM+iwXSC4q4Jnu2RwlUYkSNIDKxsGULJL
7QN9qGYzlRVVPUkJD4Cu7SMDd/XWJbzxjNHl2EEG3y2F3Z6UP8iC+HbGypvFrvSvBZhxGAIcj4bS
+rVO+NKlHMUWlZq4Sc21jUfHpv8prSShHpwYfCLNG4Md2cBi2+ncPkVHALDWCy2qdb7dWrOI12Ay
I2/kFko8FtoszSFEg4WFQE7PAR9MO0YS7+fRrmW+w6Pengx9xNJCAP3OD2otIjPbfELz55zm1Che
UvrVj64qoSoNlnju3Np8SvjuAjWlIZ5RzkwrxyRRKGUektfIsugEoUW0iQNgkFQ9DoocBp/owzui
AMeXhFMDf7oTN+5UvOsG13SCw/pEksD7PKjkYXTX9qAurwliittLJ7Att31FPhPrXFAhJqIZe1/M
uX3g7TZGiazznUx5fiiJUG4Cym+OeQoRMLRREZ1TSwQ3hZs27y4ZP2eDLJydO1W4IE1N+X74Ywmo
BpJPiNrwrzKXU1bmnATstsS22BldPDJiP/krWGISm/LyJQCSHtYdw1MiRYoaHCstJQj5vVvtclSV
4tqYpAhiBJ3yS5YILdiYhhx8AGplvoau3vRXRGutTz4A0k9zU9bvppcRElmmywbuchISIYXOtjCC
xxae6CeErNw/sFAdwM62QwMTRI0EYT2T095DSsEManIJxmQuHfTRguknZG8Nba4bPA5dz2N3STSN
pM3rfoX+DmRXXDjBlRLZI8iOVOKPborXAM/SNriEQTNRYPqdB7LaDTKZ7xVbmC9rv5Y7mIojcg+t
N/NtISxnvUh4EbX1Q4pOxp1L4yuEnOGbufJs2VpC4HqlnOGz9EbxzL7IOf0IxGaB42D7SbOOrm7n
C2T6XKP1wZVwsrR86VITkXcC47yfBzNiT/1u+llwlRiudeRAjC3JG0usLUOn4qx2szMZEPNmSqsL
EJwrNFmUAeAfK1Q9vR+TpZc8FLKHEp6JOfveiMDZN6Ur0agxILiyjemLGBa5w+xMMyMgBxYli9+A
4M3fBzJPwk6DQj4Y1Q7A//dx6klQHWgMduZ+bOXXiQx6GnEuc99EuCfKAu8um3gojYbD0o1KXsux
DzZpyXMOpSIhbN4rn3z0eycYtNt69aooXWcxRrUqhxKkfYHQY6y4qVkV59usEkvcMGK6sSiwt53G
U19OFWIMKWi2DAQ/EU7s7Gs1MmC51CDC5nubdfGaDxpqCPQor9VMfIQlR+Pcpsr4RK/FOs4TdxQY
wuRlChLYFdXSxhKP/MYZVh4jRk4BWJcL4FXriUlO0bxFGWlTd4bL/N/Wq1fHYaHse9YPgjK8uxW9
FijmfokTr2uS0LEm/44cgP7KUPS8yZDjNpyCvttVej3FxVKwiJlTG7uKj6Yp2+9/vJXAsaq3DBOy
aJBCp0jluYN1c9Pn1Q3wvHaboRLhItTiZuguewwaHKfKENxMqsumPKwNG2c0ZydPAhXX7mRsfqy6
KsufxxLdua5YreTlHnH01TiXyZif6bOkW7ng4vWY6tOeZapPOJWzHQhFiSBXm5FjrayIY0v7fnXb
z/nMGVq9pGGmQBqyTawRrCrkPmGl9z3UJ7f5JEV6SXNtmmOyTvXdMLH2aCmrhwp46EtZc86Ddtpa
BYbtFA/C2UpM/WtgTOOJzha1eTvd+Eh694Ory12RYVusg1S7Hvv8xsot+UUrCjpvczZeJ8X6RMKC
evLLxY/9harAXg2HkFsSchGV1Dek7SW3VfnsIfkgihWNdnpRTY75Z57nx17qaK1oJ5OzVHfRqFtg
AJbBpIG/pDsW96+aQ0vZ9HjpXYx3By3PqkdY+c2xb1hx9No3PiE3FhfKjFqYdlzqLEJTsANyDbbs
Q1VYukSP8d5GQr7Qz97jf7T7XZMFoWlkgsHoQD+ZGWPFYlaw4aV7ZBbMnoxULw+N6mgZ+4JJbEOj
BA2dRIwSVsLC4mWl3agTZaS6S0SNiegS4ajqrPrYeqMuotafuqNVDVOMTWIxqzjpZphCp0WZM21T
8o571j+U28l9Zyoo2npZkD5h57LOjqoILBIwyEyS/tGWU9uEiTtZnoWKN8DsFqKj8t6Hhe5v6Muy
/i4ckCz0uck99tGiRWohX4XqxtE33TCzri/+xUoVjf043jKjJLigYDIE2NVPi80ost6OyWq7NC4H
Y3jxSx1JZTtXD6qwZmaWhktdyUbDzkPhLfLYVEUZ50L/avvTnrksCvvFqkPbwX5mujxfLBzyznEK
7dqwaOfGo1cDa7bNZcdzalphWxCPNFX+uDc7oFhzl7yWmVNuPKawG5PkjJhIH+MLRr75PPGONkKi
ffW4sc1Ji4LKWs88rulbWnkQqEoi48PKmwPKbE075DNi961HBHXJAIrlm9bnFLFzRMykbEzJjJWy
njkFVKPIXxz5G7XJry42TEz0QRjjQzm8OIz+WowOK7qpadCrfccLNHZNJa+B6DLb9nvqBALN8vOC
3TwLzZW6ogz69sQD75ww9KU5WQi/27ReZAN/2WNdjoduCewsiIi/cPW8lBwxCH/Vvq+Nx0lfTn3J
mqq8/LWppvtk4TX377dbv+yS2ZoghuCTDOpxpBMfToAtnTpVotrLjiKsIXKLF1RFtmiT/ciCbv+0
6f23xMxfrf2XD/Sciy8YJNMvhq6mp8Cx3fKCzCTp7JKo0cb50EhyGNnmjNCZNyWZ2Tcu8tbbH68d
RdiQu8tMhTfCwM9CTKTzSnaM3M0D7/V/fz6MX4QdHJ9DFXWx+Fzy1D+ckHQCls+KXe5HeDGhow1t
OM5YxJVlf+lyYPwapVLoF5m5dfrAYZ7/t6F3MNQxqSOZZcvIpflwBCBXGKrlRr4P2G/vHC1tT8JW
v7v1f+lY8Ck0KuCkgj+GSPJhGzblk0xcRDp716ZgdOHfATl0x6gzA2prtyQLaEFVec5KCr1/f47N
X88xr2Xr0v+BV/UrR3oxShtSloLiMKg02Vd2G1xpSRK81BPl4NAqZ7kJNCe4tPAfS6Yk7xoGh824
SHIfx7ZhjsEag+y4q/CcbdJRUELZZb+n5gyuirYZvnUIK8aDlgDA+rP59x9V12/61di3fVok/8qs
/lXV1XxjGXr9IOq6/M4/RV32H3T9fG44rr5teXQG/tGo9n2CwrkdXfjEP8RZ/NU/vabGH6wWrNCQ
bxEF/ujjIU8es//zX5b3B/0U/fJr/5CC/Z1GNfK/j4uvYRkcBUmITNkubJW/roVErGT5msHsJjdu
jq2uopIlEzMlyk03RZituAuIDVvWaJg0qaIyNY0rN+trkPmJPUcGoVabRM/lN49K4mZN5uYlIMcC
FTbPFHEo9AziuU2YuTRrQzQqLQvaReZNnyt3DNmMWNc4QaGalkWNWWEIKvg9rv/ggXe/76nLb3T5
Wrc9Mx6EUI+j1Ptn9pBSi1ZZNSsCGjG/4vLkBU6JD7xUs1IziWEdMfe2Ri8tN8Ltyq8ZU6cUk11N
qbCYfbJpzSU/lHM3M7GqgomYBsDXzMKSFRdBb/pkT7VME6LeCgojLPzC2nVBhudgzpLsyio86W8Y
sOaXDI3KtTAHlu2bGIR4bkd9pSxY9GiixDpRtKs3nCvNM8UlVSzD9+WEjaK7W4gGfjUzEyVXYbbs
p6ctA1UCYydTj+bcV+fVmdtbtLstLC1/7vpwgdS+q+a8PPtWPd/Z1BpbQhjjZWgPnqfIeOtoz8tm
gqFkLztl5t6tQVCcGRZW/TaTR4F8oPZvgXWisofG/mAtauBtNAwbWy3WPlmFUYWNhgOFkGSPnck6
/V/2zmxJbiNNuq8yLwAaAjvMxuYikXtl7cVaeAOjSBH7Gljj6f8T2dTfksa6NX0vXVAmo7KWTCAQ
4Z/78ZtgmbP4pKTozpMq02JjJm7I0djt/EtgVlYd9RAhXu2qHZ9HFqVNPopZbcZiEu+ZX8Tvg0Hc
AxBUt6vr0LjMyiI8WWNEa9TqRMBl1EUlYnwrQbB39BGjk89x390QnJh+hIQ1c9IOg1FsZUliZnLq
ctcSUsy39RwS/WBQNN1iv+rpTvXG4mu35rgT5NK5hyTjLLux8ll+oQAKbMkc89TfFFC3HmpwDOLI
XiV7StvCfrOSKnsMlct3YzLRP4uWTOrYpc6NoFTT3KRjk/IsHBLMjk27tdAdjzMUwKckrdjcV/ny
YdRJf6bQOfyVgKHf7z2TWNlG2FQD7eauC58wKtIlKIekMd7zxPYeUqq2yHgGsVFvQqmKbxDggWyO
KVvNxFTVlnpgQehX1C98jsVnvEXpg7/k8laKNT37vTWFO9HMJG7j2iHduFJ1yuXavAR2p7slhgYE
ecffiyZxbrvJGZsd5u32Lsf+m0l8INzltF1RSsdpLaGGV1PwMb6353DKTP7V1CL5Rz3AmntE/MLF
LC81rs16wCxhDIoDN8FZ2Btm/LTOtNGdU2ShYzd7DyJgL946PthiGzPR6vTh81Jy9+wkzbgfPAHX
jShjpv3+SBI8KlqLvsVKus/j6NKQtWZiiAZn7aIUk8Odgx3sMhCzPjhd7m5kIzkWFiuO9ngq4ECR
z+y5X55iyTl0kxFe/7xc7VUY68z8wc+kwncFGmc0nx0l5wpLlu/V7p0lOuM4j/0rNW/zo1EEYUEw
AEeXjbWLmjnvttFur0r7vkrtAGsB1zziqrNOo/aHNdopFqyyfOQ8TVz2p48s28d2WO78lg+SOdQG
aA576C69q3LuD+1IM7GmTTkY0oyvZBs05Wn3WoiNzdN+Ng4pZ8qqNmPXmBsRCMmX0e437YNLIRyc
Yu2NE9olB+VI3mcY50LtoJsVCnKjXXW5EjHCOKv1OppvtfbexdqFV6zfe0lht+I9jAfzJr8a9kSo
SzBl+nm5uvmw9QX+ir8Po5/LJ7bDn/pkag9gjBkQm9K9N+f5w4BNkDgDp8L1xtf+wcpsnqeMU1e1
IFHO2mhozsW0ta7uQ6KswZFekILAKeZExgPap4hjkWZnee5teTNoMyMy3XSgnRW2gFzR19jVYW8K
i/TcJ76T8eu16oPIiLwNl9nZe7PgRD46N562UZpJbxHe1NbKpWsOhltzgMWZEQ1EKu7WqxuToxsb
W5wUj926hk8EK4h3ELwsHwtt5vTC/rvfpOa5yBJxo6qw2yFsBMhK7iL0MtuhiKMwJC++2Sdb5sGc
LbV9VGkjaeIl612pzaXrJPrPCkZ/ZLhkI60we3R7o+OWwJba49LE+YdVlQBt9TyVcfzoaiOroy2t
9I2uW5uPiSnBvC208bVc4q/UJXSPqGfzg6XtsZk2ynraMjtq8+xge2ep7bTLyKVDee6bq622nH/x
UuRLHMGfbnA8+N9mrDBPgRH6kRqXdW+vKtyPs1/+8GRc36l5J7W5dx5AmCBUYvlljTEu+ZDhA+7S
qntyy7TcdtombGvDsKutw+Ei02/O1U8cNlJGfjE+cRGWd2Fjlg+5rqrztBU506ZkIcwH35HOVttz
T5W2LpeBHW6NUduZ6Wtwpx4/hzCKZ4rbrA1l6dbbQPBqz/AATzTLofZHE0qNhOPX+zWz8Mi4tncQ
2lJtTJirXTmvx5rK1ZM38IikJds7GaXwfpJ//t4n/8U+GRlBg5n/9T757tf5v86/9vLX9fdb5Z8v
+7lV9u1PoQlCFwAePKvw93tl3/2EnwzuPnUuxHesP2yVwXQScuDsqPnKmlv721Y5wCSix7b8jelo
QvF/slVmV/6nrXJIhMjHjsoxni6T/wVmtzpag+3R7Y/hZGR2VPf2sFuThngsQw6GRXTkTM+JS5ds
YxLOP00YXx/T1piqQ0HlZxH1/QTjicMlVcuEzCFscH9bLV7XhNWZncckzYNf0JiThB2DF/LKCPoi
tbdoW/HLYtXuu1dPX0tsXWSXqxcYq+4zXXvqUfbhC/4vMAVQ+51N45WxxOnnE1ujcPx2nB3QjAGY
kSfikzbcisF8DwuRe0i7rOd1PRdn2U/DrtF91vhb2RZ4ZMcotVruGFNwmxpCPMVMgHaVNMIfkppB
c8NOBTViqlR/SqackQGg0farPYmBuQEdJ8oBLn99owrFGFeDyPj8s8hAYjA3M/zkk1v0KjhgHSWV
m1fjSUG3jXx75IXSnaXFA6OF/eJVYRW+TbnqYFiUgfnuV4O6xfscRq4VsgExF12tJok8GCh2SgRQ
63BZk0DIhhBSbGOPm3QIe1cjc0nrz1hfYTsGY7VlWGR8jKPtPgdDXlUbtExxASwdmofZFbSjF6XP
zDMZxXuPwYL0/WLy1coqXe6DtjR+KMhcEWZNWrzTJf1ulHK5a5FZDtefD1Npf+LKBnyCd6A/WeXA
h1FXsL18z69pu+7H+jCO5JWboFV7JHyDNCFF67WaoKT5Q2ZdkkCMHp2aA0b/CzGHND3GpSjU0ZND
bwPQ8BlQ2oRoUYpjBcHHaGj1dprTBPDB2tCZOO6HLLHeW8MExS7aNTAPXCrqOA4V10IAMitHyiTM
aWURoBWSBqSA3OemUuVrT2fUc9r263vXpvIS1DZeTDUF+9S2em+LFd0+1xRM3+DoTd/gs9qkeiHB
GS0fduDldIUWA5M7PMtTlCuX2nJlQTRzcXZtCrcb5o0XDsRScp7nqp7XA/ZogDmlZf+YPSpxKdKt
qoZ9tFp4Plu0j+7D3BxSCrwbndvFPLH3GrRMK3LYLsAanvrGRztOCvkUV+F6m6mZRDcnR8oqzfi2
8qqM0UUyBwd48YLxamq/oqyA0w8Wo0GaT0MMqEDcAuCspnzmifPu0tl6qVz2UMGyolpPHZ2o+agM
tZuK8rZKYnYXEq7lPgsURnbfaqORdsZzEgdk7DP4y/dKlc2D9BTzD8P29vO6Vg8gKcR5TOqQTGKX
7Crfc47K94Ydk3F1ptqCB1xhzXY0l679eQHFDmplDZgi9R43Kp5F4itkzWurzrio5rjY18O07Kxm
oDbZZBYSjbM0Dl1ry9uR8+z9Etik+o3ZfRjcxNpN6TTwP/rSBK9TlUxt2BI4lIJ3VFPO7KTfJ2Vk
t7EQybcVjzpmwIaoAx+9atkn19iEQLEIcsAIaDbwD5PXfAUjw01v5Mifx6SpCBGQ9c1J1It0N1I6
yni8oGtscVeT+Sl74sluIVCbbfNqeO56sDqfSZe9Gs2w6XFRGbsaMZgcWDk4WyutGSGMNSSjmYVC
INfP5nbyvPVmJoH/mC5KvoX8/vbJidWSn6if0gW3ivPZGOdE+ldvVBj/g2Ig4Q6xnjDvOEYqZepL
IqLto7600hemESSOF6JEkdVX+c005MUaTb0eSeaWx3jSayUJ6mk5pCbMCDqDEGrNjgndap1wufp3
DcaJl6Ig1roBsaE0KigHnlXTYRopGK8PfVAUZ7/GodUg/D5aHirAVnpj/HFdWbpiiH+ES1WcS3ZT
dK0rYf7jLmqxcjwv7Kxee2JxtPeaLKtYTPDC+itPmL7x6sMC3UCPDy2H22G2noSrv9GQ9su2tiQ/
CXEgdTubMw3n6WyE9R1P+/VO9kWzbpsGZKMca3Xbk1v8Bw/17+3SX2yX6EEJ/u126dTMf9IUry/4
uVEKzU9gFX3EyT8IiqH3yXNQ8algYK5h0eTwT0HxaooFikl3EV0vxBT+/y7JMT/hbUOipJQFFJ1+
1f/89x9GG/JP//37KDP9I3/cJekBBx5fD7GTzZzPtOOPguJaDcNU+1lwNrtquTFy2W7nwiqeFgj0
36t6Yrh4jWdASdBt79fUxjW/cY1yxL40HrC3E/DA1T89OPYQvxaK09BNp7Mg6QAG7dRcwxoxxeRG
1F2TIyImN7aU/uvqDvPj2LPQbfqVlexM5KH8PukMyoRb6DVdmpxszDWkMlwDK/hl9YFpPqU6zQJf
ptzlqY64eNe4C3s+7zug3fLXmjBMQqfgXR4uE+zYznkiz0NoZsR88GPQSZrEmG4LeCsMbess/1A6
cePEyfS2JF0VWatMfxi2TSwnTFxsEf3iP7TQx1BIV1tyMEqWW+X3YoYr5Kw//MowHps6B+SCszO5
o3cqPjG6IKGRELYhgdvYzsVKKQTA5qIEcRSoql9hnFNA4MVy505x+iEAoS6RHfAgk75LFIksa/m8
ijS9R2AhvjNSRpzNZXIA7RucKRCdDmaDo2arqsp7rtKEQb+q09LfrCs2f8J7FgtnCr4O7h9jjO+r
MIHprUFPuTu5DfKHYT9EVlx0rLRFrluQPUVhfeNFZbeEN73CbKGDw/XGDNvgzkHeRCehhOhp8iuK
Ste0ORaGKRFtY5x5YQbJPHJoa3nuynk4Cz8gJmQtvDlhWQ4bg8XtXsA9MTdBonKqv9ZmjAgrTO8l
80T2c84QkK1tIB6kaqWXN078EJXOi4dtUs35rpQ0KMOIIvewZORxWNMB+swLzDgzk8OZbaGdbrx0
SR6Cof0h+Srj0RxUl21pxGl+zElROht7hvS7yRw1fGPP6xnHGE7Na0z7y2my626nQh6OrMTe9LXl
lPFAYwnJD8Im+9Cwex+FtrP3ognRqZdMzPdqkEn+2plFvEyPygiypiQwTP7z4Ispe5pXP32ARbeK
8jufrjU7UVr1Ge/t4tQAYS6mouMxuzM9jJB3iYRVVokGtoQzTBBFZg+5Slifk4DvEcsOy6F6duSS
7OYagkI0CAGkPq5FuzcwMLKZzjHjcQg7k08DQVsVFbe33UdrAwQsKeaNX5PEcEIActJsq6gbRLzP
02LdGP5g7bIlBIWb2JjFCnFjsem6bUzhb5bGeQJZQHO46V5U68TRavYE98x6PZI55n0fl6WFo+es
8bYOeq5Ap+7MO/wXq7eVcrQjMnwAknI1nK2qp7qTZPeJ1PB8GTGp4IOpikPnkmoE3ae6G0924xkc
UfW0CvzzWGY89+DlNSDMUD6qlBuzaPIf+H4+C4NloAyK70HfONscH+GmyXL5YmBAvitn3BuyJojC
SF88907BqhUAy0HGJR1peiRJIeuwQ5yTICLrB/lmLB4gJL2G2AIxOnFjG419zIfkyQMStqsAc0dx
Bz4qz8wJG5ssg2OvPLhehaff7WZ+oYUn3ZpEZk9+46idVXqYWi2qVj1dNcnyVOCv7N0TIL+Ktp8Q
SS5x5HjrIuvtuiUHMQXk5c0uHYczlJtv0wIJdKEg6eyPg//CSGq8aWevpJg7kawpqDoE+jI3Nr6Z
amnYIxSJujcL7t6sTvIHhXP31wLWzLGhPOQ40spzmQVOZgT4ZNnHlhqjoTariG0aJ92s6O6qEeul
z1mKhI/11aQKnI7YbNov9NBhcewGzpiTCRWFN+VxZt6wixWpZXhcJe+2ZefcqGxQw29ZtvIQCewJ
a1pG43aUoqJfMkKy9/hWYb6YHDWmulDotpa5M4O2hkntj/teBtU74m3wkA4JobqEj/89B19quSM0
s2Kp78U0ZqQZE/MFv32JncUZPnyROM9+t9SPXZcmu5UI9L5siT9NaghOZJbxdJQMgnaU+5Usumk2
PmeODWYxlfZXW3JJ23Y3X4hpQu0XrTwuhivuOW0V0TIw/pHVvD4novICIJkiuxumECETbfsiXagg
Zurm0ZTLAvBQwJJZJvcilPkxIyMB6nH0g00xBT4RUjvZ2vnAZCkeUnU2yzbdV0zYoH+U8ecUiFW6
qVpXfkEty4qNMqbsYk2FPEor7iTZ0eWXahiLSNmterEnm0xcnPu4i0oKlzd+Jz93bCUvitzVhVzc
BO/JM3W7VJc+ufibnoGwWnvV0P+1zh0xcG8d0re2a+WDrTyMfLJhxsjC1B15oi9f0wJwmp066A4j
1Fqy2DYQJMtRtN6Pw9nth8dhXGWuq7LFMLybnae1QGwDojDfV4Oo8xEoZJ+9OUinFAgNjTfyJCpM
YGWqScFf1QDwdqOAKrniXqp2LYrB92CYvF1crEwN+owlmBI3BOG+n+NNkq7jYTarl3lZukNWzAnG
SqZgfJTldqSI4tHWgze3pkY4Mdpt5/U/W/P+3h//xf7YdjyLzeu/lhM/D1/T3wuJP1/wc39M4uoT
Wp3OTHv4Wq6a4M+huxDOJxNQM10uPFP+QUv5behufTJRMdkkoy7+JiH6GvoMjRmpTFs3EB7/tBn+
d5vja/zmd04nGC3sjk2bdBmRbCb4f/KfkOzP0mYN1tuwRjMo4Fi16wo9bw5fCUnYTKNRphElkvZG
Mif4LlbMMAtm74e1q3F64Le+oXBlechHwH8VSMqndF3dh6oV0sS1xlw4Dlg28Y5PSGIUksXzE1DR
pe6iMZyImXxO4wXO1nHESIgBZp5YTyFoGfchHCbMgX3eI9thOm2CHyA31mw8zp5rLtMpYb7P1R/7
i5GfQz9A62wn3uRno24APbVOyvkyyQGw3PBeOjZGzXiJTL5tCpDNZMtaaco0xSTr8NRXToUkUWZ3
cVWlh863FOJG7cUvdcWZWw08Ffmlmm2pRuOXOa2ylyB3+g7KVZo/LpAShqXvTsrNkn3axOPXkJAm
7usK5SIruA9ZjGxwrtgq/ShclI+POk+mTLOzaY9aLBYYGqpuwHVVVA7l6Dl3GK4n47TMzbxui8JI
1meD/khlbs2koMwxdlrX8g9WRk7+MJHYGLqjMBNy7uWmKqauWJ68kqTobUvaueZTqFzLqqa/ie//
p+Co4NCKo+pfrwg3fJnxW/GH8cLPF/3mxIHSTncrcwJ9yNUjhN+MOOEnl8M0xZ0gjQJmdP88N9vh
J8GdijHOJOhmsbD8c2nwoDUFGMpw6CC46Vf9B0uD+F9BM/BfHpFVFogQ+8vVPva7hJDt2WmPZpic
qQ0fgBXhlnycRaL29lwPh6zjvDIRmqE45tR2DlbRvAnCp6mZhiPcnOlgd6I7MEo2zb/KfVp/OtE7
AV2H3OO6V9VijPJni9Ai3dUtSOOe/Am64n3IRvI+wMTMzwAZtyCa0zxnwjGcXdbHmyHBvGC0E5BM
Nvzx94BOr0cp3KDrd+3qV/6bao3kDpDHPEROKsUHrVSD18OCQvtmM2kE29JFKL/HAxBIA67qYATH
uYjV1kFLhcYkytmBdtBAuu8/p+uU8Og3qhyyBrWFcFskgQB2Esye0RfDc9Djecftk+8WpiQdAft+
BGcb2A94LMfPYdOWm7nvKhJiJbzizTjn3S/VWplPJAMa4IkOCMWIlZujZACsUeyn2ErLM7DhsthD
6C5LRGAbVmEnt2wTZjLq8SuxDePQZ6o/E3oTyPu2/JaZac9KCw/Ly+UNgL5zC4j3xa+zBajesh58
idU9jtPpvBiTsc18heWnxDJy1zn2eqmTdG9kAHxxoojmyXDCD9PO5cbIwC7TulOm7xbsRH9jju58
i4nSeARyAGHHT1e5m7NpuSS+ejYJiNz3K+GARYU12MnZE8k+KAznF5bQfBOi8W8WFzp0NNpm5j2Z
QdE+Mc6yoyoOkKsn5UNlhlBS3LItl/bnnDqVzSKMDHm723FQs/ZdWM4vq2kumzolYr94rYueX9X7
1h/SIhI9fWSSIzjl0r44Lnbc7mAnGhtba6cLGvCJc/QciS7xHnnXuxtI5f0+J5x1TmiDPYe0kZ1T
YZbJNq7N8r0dhHxpfA5u3cwDKCpGA7lAZgrClbVc7Mn0vyd+6u3BOnQ7rFY8L6xpIE849Tsra5g+
8L47e9XN8DUIOqdfCy57Gkz7JRq40jaKcM+T6YPQA+E33bizpNfWyUKcKGm5A3JcQwKFCq7qwX5K
h6rHTKasTYJUzCXdV368n9lir5ECe/LO0NKJjKU0NnEQjjv4o+KrlaBLV/m6/soYIL6l2MTZBsvS
H53WwXs3cAL/kNaqoFjhnThZk5f3SMb2mkZqAOJzmBqL57rvShlsrK7yiWmEXYmIYYfrtkzKhOiV
jI0Xd5G4YxyjHE4hpqmbsHWBDi28jyeq83pJaqRMLwlnvBsAOrx7DrTuyJm0ljOBoF8tl7leEDvf
IE3MME7LuQcA2daXsATGCquzK27x18d7uwmBaQeZvrvSoIMIUTrxdNBpTyjiZJUf/Rr2A2PPxjsV
Q/85TGf1iz+pZRfP0jmFXg5ByINtvW0FVHJWwvljShGbNm3gQfKvElWLLcWSBagIgNArhKXe/1LH
fjhuXbBF4DsB9E53mNOc0yI4rWzA1PsEBqYhrS4rgQhrE67TdGoSr3G3HLTQ6nKkG2BqjddvJsZm
9/jO5kevnwSHozol/bDWsrx3uDEOM5ksYq3N1BicKwVYrZYz+53HcnBDNU2ZQdgqq9d4qLunbLSH
Zrcw17qNtSXLIEEjt742amXasuUz+yu3YsycraktXd7V3dVro9ek3P52ttL0IbPm4nOrDWGBtoYl
K9MCWhY5dV6dY64sim85gX0O6FdvGeKS9yCztTTeoenhPlu0Ec26etL8qz8taXuv3zvattYruzuv
lZg/oJNjVtT2NqGNbhz9t8rwDNJP2gZnXh1xtFY6N2k45Xt/nvpn127wzhFPSx/ZmFMESDLxif1n
JY4Sn/IDfMqW+c06FGVE3k9+aVaTigQHVJF76LVpjyBJ8TVlcCQYXy/T7YBxEi+pmN0UuEugB2Gc
JO+NRZsB3QnMFJa1YfrB+o63zkjnfeeDwSboyLdIQpNQG2vzPl/t/NQX1rLrZkyIrA3LKdfGRFBH
gj+46FjnuckLLDmb1Wy0KUmRUAWljbuRQJJ/EVfPo79a2v8osULiOWJHPHFuvxkCz7t+bEcjSG8q
szeQrWx+yUn4O7gC33Ib947uZIuKbrFfMbW1p7z1/YfQTgXftfpm4e7jQnQL+34x2kses/Qrt7wQ
jogxbjYkfYHteK6xRAgExjYwKRdpWye/W126U5zGaHmBWqz7mhsdSpX2j0JJNCPLGqmBTldMZD1/
ZIFpfMm1/7S37OXGcTunjGSb4k91w+nbpD2rVMj42x6s00HvS34ptbeVq9S1IwAzWF6dq/2VTHF6
kVQBpLhT7f7GDrSb1rVTbLNCKt/ZjasBgBCXXWjv197IgO3ivHv18mGod5325TpXi+56tesmjrbu
5lLbeIerpTdI/flrLa8dnVfT76j9vzTQFK8c6/i4QJs7+XRvmE7xtJrec7HE7iG/Woltp8d1WMvU
vpVXszF+H+s+Lmo8c1TQfVm1K3nQ/mQMu3xe4PCxLRt2Xn+xoavxNXE1W9rfjFCMec5PcT0HnRQX
yXLGXaRd0cnVIM2+C7M0eSFEDd+3iq8MaD6kIbytuxIGiEhMtfQKQrflcBYYSMWYjdNoLOO53hlN
Vz1RmzLcNRoh6WiY5HLlSmpEElkojZtkNP+UhDMPayC3tzRwpLiqucUuGRMhd4vjCp8VMU2Ybm7l
YIfUYMsYIfQbRsTulyDsSHD0ygjPeK3oUWCKQ78M0L4QFUvzMnuNzgyuFM1QAzVxBcDWbLMSKuFi
KL/b+Hk+XTqhwA7NrCN51F8JnWxP+jfryu2cbM3wBCcEJO9K9jS5BuJdqIGfU97zJGAyX3dHOkuc
ZbtAKQFgDeOMUF1pB8+LBog2V5aoo7GitBWz0KahhsvjaMlv+3QtKCaO/QrvarC89lbYPeGt9b90
cZAfGg+zK5nRAgSXiDWPiejloZM9Ax4jqTghp0LxyOh8jnAZ58sHC/ZadQ5aWimS0adgpiaGG5Vm
Yp7agN5i4sqTsZH26JnbBSOwPdx4wWoxyLieVf4Wev5C6NF3HPGzf3Os4+b+Kn8v9fx8yW+jUOeT
S3YMnk+gOx4t3ab7m9RjIui4jsVc0wk43uki7d+kHo6Svyk8MHJJgOHmsmyPMZ4j/rNjnJZwfi/x
cCDEGh5AX9FZNu/PxYhdPARlnizeTWW1gYjwp4l56wkIckgw0mgH7iMQXByeispu4rumXpm19K5p
4KhVA/LjM92jplGBqvWgZu8MtfROfAxipEu24xMkcr8rVXtXpJSU+fuqh+s43w1mkaXsSiyfMZAj
DXoF9oMsK+8yOZ38ViTz4+BkPmA9y/A5d3n+vnSogdjLLtm2lkLtCJQSFzWkWRt1NIuA3UL4ztUB
GpY0L/UiSjfKJY+2jd/LTB5LjlLdA2fA4rmn7PtDlsrGzcp0RWirW97eeHWfErRYw3esLk7Dt1g9
tVs4ZmUHnn2UQdtrXe3sJgvui672Pjrfn7dG2MxfQOMzWsDruW/GFQp+n3Jr55NF+w1Ffwblezzv
DoWqylNOR8wXT7rduyVtYhSiycJvTRh8K5f1LjB7IuSEUNcTf8S30+jZ95mbmUdYHWI35LZ2bpm0
7Ux22D2OeZ3Okbmu5naYEYw2TFtDysfHhnOYE3srpjV3OtaGqh5GQHivS1rBU+vX+QDReH0M2Z6f
mYDopEbGhBIYmpEBW8mz71wP7mNe0J+1Y5tu3FMTAuzX9fqjbBZB3GGoX1LlM2sNxuaBWYofTRDv
GXwGg3XruJP1ZjSldDZ0Y9v3jZOM27BlLlr50FenTKgbfGWg5LLRGXfCqsedoWXvmX40RATMbiWd
rjRfxJ36YqxVuwdOhSUo69QJ7U59Y6PjnziPt8/KXOO70eiaS2MkY0Vw2ljvl1F5k6CuY8JP5jFj
/Plv/PDOlN4arqb5R5kJqg5MwBQ6dX/OW45M9RnP+1w2W3+Iuzzc487FcIw/D6fKXMpZ7cwUjOa3
v1fU/wthTed5/61Q9qxzZP8Vfe0beOR/MJn8fOnPldUPPrl8Kd9jDUP/+b1eZn+C6qMha1e7iP6b
n+uq7X6C04aWY9nczxaK+T/XWRZjJDwXy+Bvmvx/IJdxGP7jOgsoHcqO6WjiuWcL6hL/aDMZsXDC
/8ma4zKxwsK/LuwZhA+n8ZQOvL1XWw7IFzozHsPMBv5jZUB/Zw/IzFQSKtr2xMlf8jiz34BQrw9Y
B+vnSXrxl9ARy0Or8Bwe/Vm5x7a3K92og/kpM8hL48+FeTDrgeyW1gLUlxRUun0JSgM3omgg+5Q8
i86j6uhP6sKMM3e/rrNAkcBAsKUCrf4hqxFgkR+uzr4wpHOfQih/AEaKItAsE5UNHUiQPmZxJJzi
EnMy7NRKT9MC7RQPpXdrAS9oo8EiTTdWtn2emVZzlM9oc6a2afowK34ofJnx8CvfRY+0HNqiwLbV
EkoM3CwMYl4Jemh17dMS114fFd7QFLsMT+AxI7jo71Biqh80BbhHDPvLg1e7jMCEyuLvijkfQ3Ix
y7eW0jK+Lj/ZGwK5fKtns3hCIVwe4iVLaWuL65dWBs39gL14vSFul1BBwamE/TY0IF1GWIIDN4WO
tyjqsB4Xyjw4GrS8kbmgYATxgtIzThyLpmqo9otIGNvGJVY59KveFNs49GkdQm9qwCpQuOUqQAMt
RIxCdOEDyYcsveQOqBPJ+we6soNc6mXdgSaY+ZKOobVfUvr8osyFByxEFzwaDlcLhKIqCmHBHysw
K0hfvXiB4OGcspVPxyjB7yyj3wAX7ibjWWmSk+fn4sz+eo66shidbQZHXh6VUQ38zsKGCJp1v8xw
ij76sbHeWnN1GFOoDsyRi3P8Oy3Awa4f0EM3AZCEx6VNOPauTvhs9VnyCAQcewaKDZ2y7mR/sWK2
/RuuPNfaDqkxfw1UEUQFU/tL29oUa40r9SDOktcZSCfQ1ydcxkAOsng0Llas85yz5fMANpegpg0E
ZyiNXG7hzpQstuMTPjO3uKRYKR5almz4XD0dkbVYndtUGuacRNgIDFw3eU7zaOQJxINDAqI1jDeg
OJhu0XhWklFe6ZILPjrkavpBQrZCaevZMZ+PgQWCodnYzXRt0A2S9EJZ4zFuegPXDZYG81R23Zq9
Wa0MmQPzT7+puXzeffTV53XuJVVb8a1fVdNNNg3yLe2quxgLzaUcK/YBOb0rPAVBBDeOceYQ4Ndb
3yrNzy7K5j6jTXRjUoe8i/u12Jse/znYqGCdoqgtGyz8PWHa3Mo87XayHZ7INabbrGwtILm5JRi3
cw29eh4tOkdub+OlTuz4wMkUEsfoIjlF7D1p7cutbusVQFWMwZIJJGV+huNqZsuIJ8Qat+uwYJaj
a+bUjHS0cBx+alRwGXIZn3JEpygMmuU8Z/m485es3DmAbUG6LweaHI3vLqJrV8Z9BPX0sAQC1G9m
CU0Y8+/kujyT8Eq2fjIf8Le7r6LXTvRxHDe4mJr7OTA5Q9kWjmmSSoYMMVg7HRTlkohY0HqMvmoZ
ydytb1Ac5K+cKe/QNeOPri/m40Il7DOOpuA+py4mWnGUb5xSTg9iJE3bAT1BiEjXA+0xaHfBeigd
c4hSZuh7IvFwMwxeJQrSEVnfozAVgfpoYvRbJnf3qu1vwU3GUWvpFkC76Q9dXKMCY3S97fuYgBYO
GXK/zS/InN2hzkSwy+iO2jf9kHNQdGWEW62ji56KwXKaiNIxNYWotdK/5SdfmsyS20SkGYicFRxW
ODabcmj6N0YA8xFpbPiM12TgwpiNQ9IvP0YNuIKLs+6GHnbQJKz4i124pMA4zzsnL3fQzwGDm6fR
a+bi/7F3Zs1xI2cW/UVwJNYEXmuvIoubSIrUSwZJidiXxA78+jlgt8ctyqMevztiYiIctlgbkMi8
373nHuzcoeUbOt0uCJA/VmCp2Pp29GghBmRrerPkbVdFwT7GWrNJ8ibeQz3LuSq8WV7BdSoKNq9z
nGx9Hbd3QaOBYGuXW9bNFbU0XXSFaU+/gtUqsXGQC36i2yvfmV1fLyh8f5c3INPKuYdUNijxFW6T
AS9vqbEcivmq8MEFTXqAbWjnCxWpK86NNxrXkFceJaZFsTYDfClhg6JJe6U54sZqU/Pkwoe4DNLc
pzq1gBGdtXEn18TTKCfUXsysZsgpBG2dEueTaUPyUdFqJjEBObsqcP+Uyt9L6E8now6zTV2FHXCp
znhsK9F85YorNDvZoboQhCk9lZS3I779KztJi43f8k13GZeBQ3hitJr1aEbOwSLVDayYyuRayeSH
3Tj5jw4/GBAyO2es3qoB2JbjTadC8sReJ5N2N54bmw9l1PV3UZD63ymjC7cVtvVLraxvRtC9I1iE
T9gV4MNQfrRuHPehACRz5p7CEW6n/aonTMGtpBWFr85+tJNviJhvcAvd/Vxi+poVSQ87np4mXFub
NqM2TMr6hRpfYr+2OJIZSbe1aVU/QiXp7EsMonm+nRx6OG7lmrOZsyVsb95kDWOytBnS28L0roqw
LS5J3nTbxdsEtZzjCkHLqB6qbWPmM1zpBYacN9+7JLoHesNWiv1FPNs45u0+O0gzmTeuEpbGsMbi
ypBl2cxoyuwcRgAjT7ltVKj4xUrTe8Pyyo0NcuhbZMn4wIlN/qjN+q7rzXdFE4Ffx3odGPK5yEyx
0W6LcSEV8hRMRLsrQTEd8uFzGc7wj4LuNBR0sAJ7rHBnaXodwx4b3DjlR5vyN/IAhBY98yEepvQy
45pfERUHdoY3YW8ljEcrkewJU5FMbkdivFGzVATQZtC71FUl83fO0Q6eXgaTCtY3mMGZ71rlNkOQ
pVjU9UgUIODnu7EjHF4b/psiGsOsST0LRM5ryKPZOue8pk0QQJb7Bj7JPMZz19DdGFcXVdGXF522
fsh8IJpifm/8VEcYgbNqbRYNZbTYpVYNY5ttrBkO9D6BZXYs8s40phDK/pDsBLvHa6uQ6qamh7fm
Ry+zek8j9RXDOmftyopLFIYZzXmjtYExb17ZFJyNaeXdqcWEQGLY7VATqK/uSKZzNudkjp0J2FIJ
kmz0mS40OCS9+bFN4v2y2dRmcc28A8zVECxOkncMFAdt5aALDUF3c3M9M67IIjpw6gZDapV/q7Og
YPQ13jPuuoFZf81c4cxuLV7zhyfue1we04RVTPUdnWsJtzmtq4iPro1ncDUC/bksEt+/9HJdrCPm
KdbEgIrRbD7fWDW50f8e/P4/Bz8TIDYK1/8tpV2WXdz8Aiv541/90yLh/wMJzCLhb/8RBeDU9aea
FuCbcuRygPM9MNNYof516rP/gSnAomveJ3oQWEsv1J/qmsUfDFhXiCPQlsCU8T9S1+xPJgnTRCvH
zkX4AdOFxIn+86EvnuqhK2OzPrpowP4mSQzzTkR6Pvs9T9hSJz6tnJUUr40h1b2MAjo+80LxiImp
fmKUBttTmpelIBXDRqVfxjOEcnxG3/c+K+VGRhW5t1KQGDTJSV+bhdH9SGqQJ2MUZo+OhTW1WhKS
yMYK+7LDga6wZL+pNUZosGz1sG9zYz4g6XtfuqIbr/7yk938IST+NV/xSV7kG3DwxjnImixB4IQ+
OcgS5p5soqvqyNSWI5liQWT8h2OrbZfPxfv+/etxlv+rnPnxegiaLJfIqIDWP+FhLANrf5im1XEw
oASOYfa6uJbX2Mz+9Dr+lCT56yf7lK5dXklCMMdkhwnGRIz9+bedsX0C5PYy4iHYKCwmIQxl6ZH1
bRV/oaXUWbZd6u4//ngSKQHrDReTT1L45xdNhAUBgkEuuzVGCyujI5DbEGtxN93oskv+z18NTQU9
2vQdj+PMz68WBv4QF3lCJbUY3PRc1Pm8Gz3iHtfAbe9//1qL6PP5l0Mj4UWkTYiSrNDPLzbS7hvl
qYiPOhozLPIRtpiN1jAWfc5Yq4inynWHM+ZyaNL+QFFaWwGGJE74+/fx6wXkCuHD6RaYqySC0c9v
IzMbOeUdw1fdwZ7eMDMjgxeSZg68ihP/71/s12vIxcLJ1AuuOxmnzyaqGs+J3dYeWT9znm9Lv26Q
aLiDaQhJI+p+Y+zusmCf9zev++8+pIRxjefEw10mPq1LKbbHOPSqZGEyEqLr+TUHu1sCyDFF2r//
jJ9eC5mCvx8sljR+XvyVn17LQaAx+yiIjzHbFWATk6QaVdTTRTgN9sPvX2v5W38ZZny8Fgxvvkpw
gY77mZeW5C3jfsagx3maB3PDuSw/ZTHx7s3vX+ezw2z5TAAZiKaxyHC5Wj9fJJ2XNbVXjjGN5G6f
MBhkNL9ypgL3em+7X6I4ztvVCMiG5li8WGrLySw6//49fLp2ls9K5oaFjhpFC4fwJ0ERn0MaL9vW
o+o5LFdmr7HuzEZ4VvaEMTb0cYZ49vQ36/nHV/jpKwYmwAeHxswz9DOxvw89BqVK0hdL39jXOvHy
E7rrdFUxiNjXdlXQQoUmSFvTNIZyrQZi4sfBK8bvRNJ0/UYAPj+lqgDwsgyNFM1F0FUT4/b3386/
e5+EsdkaAEwk2fd5rpW6thpmaRgHYUvvlQ2fU697neFYoJpx8JiI4GYg/GtIGgY5+Z5Fb9E4axdK
Hbu0dC6CNlBHmFb2VWB4jdx5fVQm9N4E8u8of79etb7g20RYoTFzka9/vppEQDiZoqf4mAcCXSGl
7ifFBtC0299/J7/eiRyY+MkY6Pv8/8/Pxtiw+FKMJibMSWgXrizn+yIt3QuGNO6X37/W5+Wcy9MX
C+WCpyMcSZzrP3+oyW/cBiGP5RzgxCb0Vb8h1NGtISmlZGyqcF2Nw3RhdqN8NvICRG3ptvu/exPu
cif+fLn6NvPNBR3KD/3RoPJXkH1WV4bFnaEOshvq6Sgzi8W0DUa7OoZdNd8y5xOvbqRoZ6Y8nCFY
FcGRjPFk03yZC0CHYa9OATLkDdEWq1s1OiFprbOWjjWLI8E5iwBoRBQw382Zrd57kEOP/pTNZzKb
sCYCXXtLAicl6gVVva8FCy6pGevO7VLvixdV4tCCSbqM4Ch2G1HFxr2BkH87hWphNuDdus5r0b5k
ahKvKLPqzFQWv0kwFuoduoNbnYpck0MCz6kOIM+cBtdhBIfBlmiEBLboXFtBvHZeoGmbbwX6+8NA
qFMjAfXgnxsK6t6zvnWgLbcwlEA5JNEZ0ld+clyWFrPuY0jZLN5lE7rvYYlcBPCKbSOClfChbsZB
2O2ob3T2gyPYDBVybL77ko7pItHyGYZo7d8RFeN64+4P011aBrw8eCqDpsmGtVM0nXye4TFtRuDE
Z7n82wbPCJA716bVKx4a4nrM/+6D0p7OPGdgF+tpuP74epU3gB4oInFb2TpKTyVY7uiozBDquCXy
6JzSSNVt9RwlmDY/Vit6Di/qdmaF8s3R+IYcxRVZipGgepaZQCbiiu9uojuek6UQ0b0Dvf5rVwvY
plYoihs7pUOAbBZ/BzJ1dPZaEFZAoeLXWgQDgGFEy5D+5SBDX3R5KMBOsx/8oq+tFdpEfsptK37N
CBkgE5TOC44tpEduGmjdKs7nW3fAM7Zu03q8Eb0er+OJseUGzkv8LfNalqYlRW9Ogo5Ee7kO86Uu
1u/I7q2nyG/BRowmGxgzL+dd0WdcSx8EknCYMgXJJQYY3Db9fJu7Bh7spT5w00UN0bKED4ChMhkg
QjRcYFvYWtVLNIQC27LP1eumzogGQDL5wDl+vALNZNx75CYXzJ4znUMjS06pn22DGc8bboDxGllV
72hTNOmOncutbhSCqVHWtyHj+6Pw6+ICH7KzJjgbQ/htxBnO8XzqtPAOtnTVfdjKbUk7x4v2ivQM
/Z3zu3LldT7LPYB+HACFGinlSuxn3+e2q5ycUPBE1jbt7I0wxhn/nmWtTUb8u2AEOUXzG731fKvW
YxD313FYTKfEDHZRRKiVWHJ5wvqOcdmA6ZbmQ7BC/0pOWerX6wg2AvTqFpx24+Agd53nGvv2GRrf
dT22/oqZ+bjpgQSveeDYO1fHD57yqOhrKusiA6lIV4K7rtpiAFeMZJnO5pL0FR4TcvToOIjuGPK9
UqD2UnVGs02M3N5MHtlPa+6tI0SUJ73wrpDjqmw9jT5Pta6yvuU2lQi2b4JUAArrgcFOHe++79VF
WcjwqcU3sY2caTxFWc4C7Cx7pNyarrzYtheBUN+SDmlORu+mm3n2LlOpJ79aoRFLSH7LIhI2P8j3
0nVEKUO3KmiRoGk0tJOTWTpQpZURysvOzXhDZUYJ1KqfrPnBnR17Nw6Z6lByreCCpK6+ZqPkRJvB
WzzoUmQPNaV4DwxKhi9T6bJ/KJvKD1dVP0/nVM72Ulknd07a+t+RxOvjmHnjMdJBzouyiz7Xobjz
3WG4kxBKGAV23XZ5/pBJLas+WseVzm+aFn+d5E7L6DjAnLOyUuo764m9SAqcpEgLryGJI2OWooKR
kkP90UqGgYTJzdEHn0K6ydnm7YJZYBsbetyRdWXl141oH2U2642JZ/3K0TPVtSE0TkDdHoVyO+IB
pGGrBsxJkro3goLBnSe78GubhMOF3Y2bNlbDKRk6AaDQH4JvdjLSieLCuwBCwzp5LII6OhHFBElo
0U1ymHvKfVYJeweOCJlxm0213OZT/VQA9tuJnMh05xT+ewvhiER5YVr3Vu7Kr+MwB/NeuPQ2TN1A
srzs2I8Voz5U8xxcjYb2qBvG9A2Zp1obrZYHTtDBIRhNq4Vc3tU/Ksv3t9WQTCfd2kyyHHEOVE1j
rhOYl1gyC7YwhQQLmAW3mdIIbMpWNof/JHKQKZhKGrGB+tBmwYkfNfgyukAJeAgTjS+M3nkbZ9Hc
ShCcx1EXzcYvtbWh2QmvbVIAWFShux+ogt55pCEpIIydhxSc6E3YMivOlZkcVaKtM99gvLGpKdS9
Mvc9fQcYXYqzh3ywhrBj3YQ6Y1SspX0ZhCH4hWp2vyhXm5vcH0pqDpB+s7nxX7qlUpGFRq/7Br/8
2mfgAlNJuf4+6gsI+8WAyzpsVPhYiNG+6gTjYzErtv2BXXqrqjGSYjulRunATaWcI0sL+eymHiJO
qcMLIrU+vSTKyY6TEUw/Wo7jl609dDigjNFf2RWgrTXREJ7pTjDUi8nPveLEjp8IMw0HALM8wdhq
ubva6jwkeXZTeW577TfjeLB1EwXrOPAPOdPnI+0YBhMA5V+UNNOekw5TjxP2+WtaYETepswSvjrA
HnYeFKT3wM2pRK8k6Qa4hGhJSVY/yqb6lvOnt7UuceIGoJHw4zI0eBG4e8FqGo1xDKuOvaxvMjzT
UcEIPQHLaiqg+aIk2OJ28TbNrTfwLUwbu0oBWAjsZluE4XTGCV++SrPoT3BwMA4HPAPxMs77ySVS
j4e9vTFF37wmdcqarTOeGiwCdRrSlONInboPregK2bzh+fCdlXCKMXqPDJCcbdxkxPuctuCY1Brv
2ouK8+hW1lU8uN0DXc/9q1PH/nNI1QXMK9ivQJXE7OMhdcFzSIbuRV4cDM+ZTkQX6GHPvf7r1BJ9
FmmuoSv0EGsTvYQAhtRcs4siO4SCzBxFo2pYWkGwyEabd9WOB6dIxJkSlQzGwMAzA1f4RGVU19Gg
xOIUdSsz0ePBVAtFooZWu2kdq2Q5m+bwCyMXa1pDbwSKAW2HyRfqENclBtc18y/jPs4CsQvSkt+N
h8LeFlV7qua4e6s4Gy1G42xTGDnfQu3H35S1XMooSuIcycoqEOrr8eAJWz1OZFZfDKsy3i1SVJfK
hx/pFnOyJnVp7kdnDB5MQE4rq3Prb6qiewU3cLAmzPLAxlhtWwUAisT0nWc/hsQf6KZmeVWZ4qLK
H4VbiJXwjTvZj1goZDGvMSzuMHF5q7ogig2ngHElmxPGUEyRzaImQs8Zm4Q00zpMJK8p4KNibXBO
BkNLN9Lk0YUxGtau84YflCJTH4Tsu9b4b3cpgdp1mnsnq8ndtRn3JsnHbudTj7vGKGRspOJyFsnI
2NXN991sAijhD0dl5++tSROUzKdsDxp5/KI9K1pbnR+ek6KHf45jVxPQXHl9b51ihN1tg5p1iusp
OwQCecAae2AdVc0wJGrFa9rCK+CMz1OHjdAJ0K0DUDrWu3xowWG0Y3KZmuM+9XBV2Gy4gDWNHka/
8XrABEVj9Ogd3FpHa5H3PkeTagMRDOAAW8Gb0WwEpvQE31xLeyXzmm1llPPe9OKF3Bx8qycj39UT
vTdthXYw4yEGOnwLo+Yl9pxdqahRIg57Bdv2lBv6ecjn6y5VJ5LqD1Wtziy5CEbk6y+8en5PdPho
BsEd4519xW6avvnsJRAxPkNqgGDCBa+mK5r1XC8+QLr4HvB7UUhfWq9jYLKxMkIW+cg6Zl7dbgAk
7pKuIswjKQUKvbe8D+hNzlG1V67BiYDaou7rbM9vYx8zxe7Ib8ksHtZTMIVfBTY+TExQqk5E4cCB
TxPQjNjem3DPdPw04v454Dq7dPWD8PuOjJ0OtlETf5F2GGGjCmAf6r57Mqza344DmcWeM8xl19V0
vo7JcptP4sTASD55jVPgzdaev2mioT7G2kMeHZLlOCGDaNyXsCW25GyhHBLfmy+p7DbqXZSPd3D/
g+/ATmhkNqoMQWeVBg2UO6u3BvuCIEkDU5DOi/Ems5g3Q5DRafICkwd22YTVqD2GTFIDkiwpSQpU
TSdpYXxlDB4bfJirlP3QATKhNK5aSBnxpjHKhG6cANHUawaOnAvZse6wRvhhqihM8rgBeVVGDC5x
IiZfPgcpZrslx6KQy77blCwv6EzLTGMq4X11IQcEZWjOGCWVGwm2gCvNM+7R12o6Gw4MPYjeTPAn
7YmrxHDjftsGE8eOTrIsDQvOqzCX04kZj/2PZLYGmr8mCnBhBdIWVaenKB3Uc5gbiNyhI807s3Hb
refWnEQIM4jXsiTxfW6jfjnyBm05rSO3ar7qomfrkBke2EDTro/s7fnThlfQkFNyQCfpQFpVmpLz
FWT3b16WW5u4Zvu3cqLqxq0hvAOUOVJKDtqSR/7RSomax42tTnbkIgrgHz77nUQjWCY1H6/XV46x
nQhhHZVnM7NJ6S0W0smfPv4ngZ+DIvY49oP6C/ZYD+cDE/nqpclbzmBjbaES0LNzPcxsewwOm8x6
5sL7EqR8mViK3ZWIWr37EIqrjIIWa6TapUvRjbM8rsQqjrFmGAFvMY8gZHpzW+y9HJtbGbd8gDjh
L7KOzARcuxGMX0YnTCf41YsU0KMaxvpYuwXWPkp1drMRicOcdvN5JPbfrkfB53JytPDK5dine7rp
1u6U6D1bNc72XZfJetOnig6veEYVQbxkMehMTicCt3hJj4k+pkrkOde/mI3LoAyrF8S/eE9dD4qi
P18Edd2A/MmCFkkGdzqtyeFc7tp0GOD7aSwVLtmqizKZmZDNLuKVmiFBLtedERfzrk/4BewZ1HNW
Z/Mtk2G4Lz2+Fd5fBPbKIIeBKMIx6zbrlu8k65iymfxHfqvxqpQ9Xxsi5dqh5OtsFWaxLxcp7gMp
JycsPDCTwNHRBbfzHK6A1hH87aBf/mCWeF9CKzCwd4Ksw+yMni8rfzMWUjzlgn9CmAe25kLOq8qW
b8vE4UnntS2nMzVZXDszfSUbSlfEU2S6TrJJ2xSzTcN1Hxlsr02JzgoImQO/CV3rfTbx6/QJVxOm
USaM2JNekBIL6qELq3+g78e8DMxBnfpIlS8qwuc4ERutVkbELezYHbPJoVUnBbzgJZUN+Uo9GtSK
NH0mcGFmyrzjcMAnLEhbd4CowpQdMDGgfVCA+eTcUn9tg+XrzUWWnuhWms99U1p3Q9rCwF9uWKtJ
o+/5nFcvNMbz0mPX9KesndSxRXKFMUjV4MtMJXooUORazb8L6jilV9R/7dymX0dmzNGjrd4K4QfQ
tXDiNH2tTqLl12lbxc0+cgeqbgpQLCiBbBcybFh609lGAj9Xea+e64FY+Hr2ZvMiCy3zurA9dXIz
m3fecvJxNwXL4V7YLuIHY1HK55arYCAUcelWLpICeQ48XT452dUQdFwlchavoUgqgEC+URK3qrin
y9pVG6qePMK0rI+BwzcFV9u4nzkQvEtV8YGDdrkGawFbVLqVovqQair2AdN8MCQNkdKXHPuwYPQ/
fI9z8poDxvjUlPH4bex9plANG/IaKbUKtxHbCp6MNNRfmk1fXEVD293HYvC/V72j3uNyJIjvRtmE
Q5InkxMPeje5cgLpBv3q2AdaPSeeC+C1qcFSbWSJwL3Jqric/pCf/5sZ+pvMkMW+Bln6/zY6nCmr
WP6vquK/Bof+/Hf/sjowPMMszxDdxrLu8Sf/aXUw4SiiIS60l3852//X02BDX2SWyebLQtPwIEL/
J4mhZQz7s6AurQBLgwQ88zFK+FnXR6Dwo7aPwiNQqfks8nra28nATeQA0DVhj0T129j1+q0yuUP/
8rXc/PEqfx25Mw355dUpDCX9zG1rBzRufxq8xWQ13BQd5UgQcD7TlTLvDKuxoKDmLLNuywOr1S4l
mJbZLhVrGn8nBnSruESemh7IMeEDL8PGCldl6sERC8yFBpcqC0UzdtINm7Hqea5gPFurJom7+ULF
kEm3BcrdFpLTfA7gqx6WWlMo+WzA06s+KvofMvHtbq1jlvg6sllCEpiTd9qY5LpOUCahO1OeK3m/
lY27VHJvnpC5+N4YjRWXvE3uQFZVYNSwdnY4VKDU0rN5nDq2epD8HIP+6GzCdlh/MakjJC1I0h3P
LGKg/N6HdgibN5CG9Sh6FcbbvAtH9t2U1rrPkQjg6q2CIWiji7K1U9+mRENXw42mfQBnfegPIb5M
I/J3ZTqZ4R1ir7djPc8JwMeYkP2d1fSt2LAjsN0j7Az+l9hQA/k01mnFHgOhdhUaaQwof4pAzyrm
6IwOBh85ErssvIYFO+Mp8hvUiYWvOev9dS+nEvPKYuFi6q6rlRlq/wmufws51xygaqFJ7Dtv3rT8
p1Up+vrNTXR/Jf2EowT4OvtAk42JzZ6W4kFR3Vpnt0yjsj02SjRkcrhU5O6qukeQ6zNPX9Q5gWtH
V+gJ9GK4LWc0epjjcm1MgbrtvWl8SCs3fRKLvUIyfVnbLla1Nk7dH0YxJnd+01LrG4x6gzaAWlyY
8bEFu/KcEGNfDVFEU5qsiyPVBu3JUVSomWZ2R6Aqve3HFnesRCJlQdd7wxwoPShBTQQTSI0aAyyI
uObVLU11l6eR3Iy2TeNPiHAshja/QCVtMHVDIormOHsoe3Y22jAjHOxl8OaFIMlWtaqTm97w9EvY
m665ZucmrsgEUAPUJqZxKiLAfeTFC3FbI/bvB63nR9vK7hOjosDDCzlnWE76tqR0Hz2fm8oZbAdw
m3KOYQoUwdNjfqzt4YdSSGPzmJrbAGPEtGJNaF/qGbF6juuDGQ2Asqvhonci9zqjA3Nn9zOEE7wU
5aEOnfRY4k44q1KazyNH6CsTsjj9qgM7kCTNjkzDgnXnlM19A+/z2h5cEJt2bjNtmcarjID1IQ8r
95buQfOq66vkSRdR8swvmu3HsbMvunLODmDPCB7OTvZW0eipsD6GkuO4Pd8wOu8v8xbeMxtn8iaq
8uXdlLRISYZBR5Fhj/HZn2qbfh3IiKthmX9kY62MVeXH8anwQvu687vmsq/t+Ct8irEnHTiIc5X2
MceRVN93aTd8iWOvOtkooltjjIPn0pmSx7r32ovWLdkpkshITmKWM3OgPIJVQhbhWNFWvG9nEW5E
Evg7zqLuO60Seo9fZfo6JhYT1QBNOK3yY+uqc0b+f0P5MYh6+IlbswiPVlChX4hpTbYAOojTfe+K
ATpIWmQHEYIULYAvbEz2DEBfCrmz2BoyMvL0a6Xc7kKgNBO4RK7zCme4TUpX0zLnT4ey7uxbNQ3T
E862+c1VZn/LF6Ku0dk5kcvJRIMb8g33SctwYUwOAzm+PcKgR9d1V6YPVVxne3527haDzUgg0+q7
Tf5zP/s5afxRCXs7eqPDwKVubyCHUo3d55O3Tixy+8yVrffZiiCvkHLvuJRxCpOzva/GtD/TGX5T
9W1wZZVW+IROne1niCK7ESh3vxJTLM5enKJXs6u+Mph93E5jj+XFbKbgsiyXnuBsvM50R8Tb5EY9
dV1IlacTkLZBgxuPcWqGQHCSgpG2txye7eLc6XZFXSRLDZW3F5DAk5OlycV6E0itNbZZ5mjam96i
hPMVHxrr8Yq6gOSAt0i/pvSKjCJBqmD0uVW6tL4l4CaPGVyPvSZ/fm/WCVl6STbCaids3Z2egT1Q
L/PQFOgzoyuXLXdlvFRkMXiimcNdFiMsr7h75GUxDNN3Zm3JhCyvqU8mFnUiXd7vVWP2Vz00/pOV
WQXxSq0fB2TyGwDnasO4cd7b0MNuebJVz96iyfptId+nOIW97sF6XQVB+H1Ix2TrxHMAubHaDRS1
XkwgmDaY81rSYYsKHCyCsG+maMOiyYDJ0jULqQOVA0TmDJ4tixwNdxaBuVykZv9DdXYXAbpwTHpT
gl5/9cPC87ZOGeavdhj6+2KRr7tFyO4XSZvamhoisn9ga46OOVk83wi2tdkVBzTaxFFTzumikXd+
U57IeVC52xoeE9zUvRoyfOwGJWRffcelhP5DcMeYj/jeLDp8FTb+5bxo88Lusm4pmuZxHSziPXxf
4z6KXLLA4G7xkC8qf/mh+LNoV3TLLoOAdhkJLE0ZV7FQBcsSxfVMSJF8kmWMID8mCt3HdIHjI7W5
wH/XYyn9l3QZQ4jYfqECtQSRVLhf/GVagc/RpuYmcFgGJ+tm0jMSjSrOyw940plt7ueWwh+wzhvS
vdaZbuPkGFp0adRRQVw3tOwHucxPxmWSonXp7o2P8QoYwC3oIkqj0hgRosQpMX3MY9zQeQPCzpAG
FggQ6aEPvpgu+iLcGIvxP3Md92PEk3O6vkk/Bj9WPzIDWqZBDMlLWpXIHX6MirxlaqSFyfHZG09B
a/lbMzb0DxqgGTMZExMnsEfyILHprJtlHlWoqSHnmFU3S+XagW5PCwqTW6yB6hnr4WOspcxafmUv
YN2PRMOmFYkm+e7nRvecL1MxlVZPDP8w/CTBLZykhpwiHlT2HctEzfoYriVtEp2GZeLmfQzfpOOR
0pAoXG9xVRMcaJZJncXIzi15vE2pH3Jp4rnIl8meWmZ8nFbzi+5j8DfAmE429sdAcGQRvrLDTmMT
qJkU1fl1/zFCVMs0keddsaPqLN1kLSUgRmzKg1Vm/vWHQkXRC0PJxYi0NhJGlZqZZYexDF9vyhxT
mqCtjm4W0rvGqP1m+Jh5Mnhn/ilFyfa1b6YtnNfhzqshXw3ERY+emIrrNtUD94mNsoNwIb+z8Y22
jpNa9BSyrPjSYjONNYeBbLvMZnv4VQ8iLbMHx2IP6DBnwPpPQ911lbbBxZx67FZCVx2FrKC/cDxm
CJyWPMFoVlZHCk3reTMuA+OkXcBLyO9xxxYzKA/5x3TZ/nPWnLaTyeiZdMclZTXYCFq/5rge6VvP
YNTuOPV0hfnD3ARUXa3bUDPULshmh2z8n2bPv0iYfIfLCLxjFl7ErsmndE55Ks1vsXSsFZp8Rv7M
Iy0gc+/JXAbrkyERiwYKbPQydq/s+QWExysC5q2/DOaRdTwQjwzrGx2LdbkM8IVtUFjOTJ+spnWB
opZvASo88LNQzrhYAMiqdBs7Y3NDBJMqwNg+A8t8NhfrwLiYCPArZxAcMRZUi8UgWcwGWU4FN9am
alWSFT2Fiymh6OgvWWwKqCjX0WJcsD88DP5iZ8AiXu9MicVhXswOarE9zIsBosQJIRdLBKEs+3ky
rHGPWlatYUrtg8VCMS5mimqxVRRcfi9GI7cYitV9jnR2qAw1gVjHkEFjYEynDCaNebFrGKRUj4w4
/N3UtPO6+nB0OGAi0LXCq2LxewRpMl27gg8H0n4bz23OOaGCtO5VYHN/fzT89VhK4tu2aQrAzudz
Pvz5WEoSecqoK4mPRNI41hmjVCd6elilP2xWjig4kbKXgptLwcnf2EF/NdZ5Fg5MCxcfrlAz+PTi
c1zU3jRX8dEcy/ptTuriEg5NBFE0SO9+/zl/9QpynmHWbS6nX19+9tPHOk48EA68VAWSGRQOSvaq
oNXpx+9f55fSbeylxOWBn5s4BrEJf7JjU6UBlTuV4ZHZ7LSL/HqJsMEhzYq4vSFJmQaXfRCJeD05
+Uu1dGKzqoSArlS0HK5VxLv7eEv/1Y/+Tj+CQ4D59zf60Qtr1Uvx/Sfx6I9/9E82gruEYaTAW+oI
Ui2CK/RP8UgGYEExMwcuzxD/Jwkp+AfLhe8zGYUNY3N1/0tSkv9YfPomWX7pSCH5r/4DOMIvoo5A
IGU8JQJqgi2krJ/v3UJ0SZ1HVEPJ0HRnLNROcRmO4fSQA1Sjasx1/yYk8stNRFExZlDkI945PolP
1za+kwj6oTcdxjGpb4XR92vPG+K/cZ/+YhLnIy2ZF6Q5KD2/EFJbt8G350bjYWp1vB+sUd/yICSL
Ip1qK4yBE0ZTDxtqQY27ZpDjw1+ugX8jlhFC+SyWEROBHM38mJJ6vttPYhmeVR4Uk2wpjIWOjwGL
Kp9MIpH1juuDdI/qE3j9utlP+OTNVYVLZ3HBxAZROWSeL2yZePiTe53OELjgP4Qm7Uw+vVS7iQw7
KIRy4lxkZwa8irFKEBZc1SCyt/40vet2Su/sxMdJNvrzIXJcFHrpaSw/kG8UrRX7xX66RIxNujZL
bSPNkdeaD0KP5r1nW9VVjYXinpn5eEM2Up0Gr6le/Dzn0QvEbXqP6LXY9fRzPmYdMMkmQUlTJjHl
Wv0Pe2eyHLcRpetXudHrCwemxLDoTU2siVOJpERuENSEGUjMiXz6/kC3b1iUWwrfdYc3smWyCkAi
85z//EOKl9G04H4JzscvSTrLZ9RO/OBEE37umBds2fSiSzjCitzQPZn1gVtVlXjVsR+uyb9ynSsk
qlym6Xf21gdjQpQ6g86rOrkVjV4wxZCzhmlCsZJ+2t7XxYj92ehjFJv1WNt3XgINGCBhz8xr2iAM
ao/5YDf3zPuiox58xYFoId7vNV/H6cenjEH+U5Np7wNPh1ROtD3byqa4GEiW+DKTjrqO6YjX6VTN
j0kf1c9YdvJkGlmZe28iV86fgF2dvgrPHvame2z/5+/TIOdHs+VHSKroPnrECJwjFbuHJu6thwGS
08esn6qzquvwXJYBd4SegXBdt5xQihM7RQ1XFMh0ZUQecTXaWyhZ+UWSObYaoNnSmnPwuRH/GueI
4ognsHW8p3/qVhQVDXaAvM6B0c9XXjoUB0Jo5c3sywmTsowJc+dUbYVrHcImvDcgaGsqPp/+C5As
yi8xpvmQvZLmBtWOgFMZj99yE2O0qu/zXVmYJpuGVb+kqhmfohBkOGxGftWCtEocYFeW4orDyZA3
EX5Ga89oxK0RmyOMNa7Fc7MQTjjmGSPJvAR3LIAu6op5cSVwb2OXJxGNYUCMh5w3JfQDIkGgN32f
SJF4heUm1ljDZZD9wHMrJAJRdPHMqPkisHO8rgCsHu2pTK9g5lHdt02+g8vVfzVRDD9geDltkOox
6za4t13Mc8Qfilu9LNGiYiY+U9vvdD5zrDaaJ+F6NfYEFusfuzn5XMSUOkWXP09GN0BEp62Ig+8Q
NxjfpUbpUatGpY1Rkngxoa8shrvDU2yzNlc2gO2VbTJCdt3ixUXMDffMl2g5BItyGamphAdFrmK/
IyhP3koIprdhP4nbYY6shyrt5POAOPnFgJa0fYO30dzXL04p5lPmGOKDChYCKT1LuA6qqX6NGW1V
6xQ4hhkfGPfbxQUJL0FH03xRs6z6jSIa5XoK5u4j1Ln8MtcQ5FdjzP2xiGg5qiIr195kpvu+Jlpq
rXBuuRIqRVxCqAOPqSRYYiFBN5+slDolM2ff2ZIA1dz0nh0H9kcKMzDp57Gupv5L2g7uc2pVZR7v
R0dX7j7ttVFhMmJOwzVeA5E4TrEzuBcnh0jSuGp+pOzq1yQ2oOG2hGrRqWlvxzoUoMm2TUtRq56t
aahuhpr+rGeFHV0jv+vNjhAgs7gYYrhxS1nuMIwU95qh+0r4cAdbEcNBjG4g3EBb9nmJYlsnh9LO
H2karC0OjMN2cOlJAhjt7jh8zRO7PJDi/QWJS3JItBevKmuQ5xrLx20hRgU1L+6/WmnXbOO0O6m+
iXbY31pHpfNwY8EbXRe+iDdAv+mNqyFww8kb5zXuGkcvC45GTrZQWjSVXskwag5ITHDCNRR8KlLV
V2WaY3haFsX3WBIqsqIlB7Pv3HmNpdZlJlpra5dGeMqSWGLVkE07L+GFbbLSOqVzpLZDGMQItniQ
tjWaBxMK6L70mYrL3glITDbI8lgSXUYCv4ms8+XaNkrzNIk03A+x9QG7o5BRvN+drSp0CkIEVf+l
k9OER00TGnpFhs4Sj1H0496WKUoea4LwH8Hn6WB6VbY5HOIptGDohfiEiWhJ3Ii6L049DVcxqAdh
vU0a7EZSx1fkSfXbrPKaC1pXCyQk73YxzBNsH3ODuXWgXgIkYSviQNSpUjFtb5Hnz6EB0L32lDdf
QTaHp+R7QOtoaJI1oyCHCtFp7qnO6KgXzOIg2V/NzcwmgmtKLu1uJXmvrjEqkSd4+Xpb26Z9sJUk
XTtJeKu6LYP5ZlXVrEDYiOIovVY96snB9TKDAxt0FUDsxhmNGiKhp19lYYqDPZf6QWayjrE/DfcK
rPRQDtF8l+aO3oxMy455Kd21Zxclyx3viILkqG3nOu6937k5xQGRAzhGT7geyWDXkB27NRbJw0Sm
+QajnOyT78XpKjDnCSPrxcWEMNod/tM1tK7yvrAMznLG1Yc0dSBFuuO4iY04fCqC2LrCscjaek6d
HIJRYcs5Re51HdYu5NvJuCBWYWrQ6Pm4iIwLVBZhglTEa8tvbgxaHWn/HCq83zAPmFoCX4QtoG8n
+bXstHWQSQmjN0XgfyrIPXseMn/G9EFMOC3b+LydkhlWOI4GmflNlmVZYNFeeQpE3hwPumlCunWj
vRpwGXyeiiFFcJGn2dnt4+5L6WTeMn4CQo3hK2LE+xyOprmfkpw0dcB6iF2GqvKdn4jxc00Q5bov
pqUukM29Un2x8ZqxqrcBdsQnPLcXM4jZz4h7scuE6cvYnsOmq911i58ShjW1SPcKe+uOHKZa3M52
lO7xl5CfbQm3Ao46XkE8G4gDS4mUZQ7n0KJyYWaFA7aNGCOoZP8VGJ/k0niya6yF8mVIKtmFv1dF
AV1lNqKLhInPO4B85+xHpow2sVjoCklKeBZK9FudpsbFIHeey02dZDfgbRpsYrwwQTRn1CiAffKz
koOW20TwkCzN6TwPVIV/Fl9NCpJP9nD3VWaMVDc2yUjUySXzJ/w9ZntLGep9UPixdqulYKy2Ni7I
G8DA4gAwUJ2LVuu9a3ZomeqJzbjNGAOX9MrRJhEdh3tY1salisPhKbWd+DYuqTQq4cmbWL99i7D5
xDCCshRMa9mUEcZ877GDQJThU56ETWPdsQ1WXx3p1ePGQA/JqY1GjHkQJI6SVK0NMo/5KiGL6ylJ
GaIyhjYAHt5m5XHpzScTr8ktFi7TJo45y2uKrWcoi+W6m5fyN/TqZ79XxQE6r7lyYtd6YDIyfw9m
iUmJjmpkVSnRq4iiZiRKGKKsaukUhxx32d/IKIX1cxOByj2gaaSZIXfxvWiQdCkkJthW7VXDXoKX
MoGoDfm0uxrZyUam1bQJMZT7jnpy3KOWxDHKsl+DTH6csJbapoJjysCIbTPIsr4eW9t9HqWsiLcl
0NXE9u2FcWOirmWMR8mpTZIA6pyVb/C1JVmY8eVVySPcx2Eqbk0rkVvMcakTijI8c3BDO2S0c3IT
qqi2GaZNvTxZrPSMyxgjvDNguiCSi02xsivXxa2/Y217LrL9bqqR0ZOLdoAZRa1Ek0I9GOf8T1hZ
8uhbtFkQCZYaCapDc18VWIOtrHApl3IKqRBeHbYlqffBhcO3tVXEqBHw5pwxoNmNyOYIvU7Gp0WU
m+CTbRcvrYPm79gX2seYOJpiblKKoMNQDJW3Is4Tcz1IJyqMvUNmGA4Nwu6x29twQZX9VEeuBfDo
yPzge7qIDxhMpxuSxvgPEYVUtDE7oJx1hPdMMK4Elc4pNInl8QuHvEN3opZqzYTZFd5GXDH5vVi7
s/gTpieUUD7qN6B3iivaGHNP18PSJtf4o5lR4kOFE+tOINoCOpRwAlsK5iBx5ec5G/Jdm+Kgwxw2
2Jj5pPcEC1PIJZU3PPVp8eK31O0I0uRzMBVOumnnRSez3LswR8Bx1HoxtxCJcWkz23kDt+5zUtKu
Iubg1Rrb+IJBZ1C/YvJTv7qzxZnM0IqQLMXzdMCG7+gAgvPcmIzGJpotr6gw90PV9hGXZudgqr5+
6ZeaukrCgtzBHi85VxcMbediGrDjiRlrdxnVYuU7TKlT/7502uHJtJAiwqWrX0XXwlN0qWylRdey
aSvNm9fXVvfRzmjkm6aQN9BsffQurqpf+6gKNk7QU5FGrtv761po3pEOaQI2YhZ/2Zu6+VJXirtC
aPWqoypfEa2s90zpm2MjG9AQG3XlSoXL1pWUmd6JGewUqmrziTjF4GxNtLd4oYfn2CKLOJ396uxh
rHTVsnFdVaYtyOiuxqeAbJhVPxHPxJiPIiSgzC/xLtv7mJ09BlhrfYctHOstQdDyGa/Iu1H58jO8
YdocUxDbVrmIAqfEW1sYaa4rYylYlm+tGI5aK7IeWRh1sTwDZ8IxYnlVFZ0sB0k+bVAdyBfRqGGn
yCT2Vpk52VumnHSkCycmVSaNU6Lc5t6ECDGtmVaybJc9UFZxFS099ozHO5S4pdign3bgMANocXWF
P590DNVPjaAab8vQXpI9WN6NuVeDMV+7MZ2m083N/VunTVokXJQJxyQPCgtjZrqPAh4HhrMcZEXg
Bech8sT6rS0ziEr73LsNHQVAD7d+AVB0Gsy7XNKIQ/j4Tg7OfK153aq1mmMOgUmBQQSwjLYmU+lL
I11FZgCTGupDjsKhhnPcLIlXSdXziOMJAz+luSKSBW2aZ80rWJOv8WBH6INpqU3EggMEfpzLaSMB
TKbtWxx7rEpxa+feYjlgmi2Aw9ihKWtBYrSbN580lvIFpmZT8yXO6HTRqc2PFR4pq8hui4OxNLXI
8NjW6KRgNC8d8kJtZ8oOIWVd6ZTfVNo02Y1mi3MsPv6tb/aR81yrHMysqrGRM0zjmwmPhzLFX0wa
i5JDqulMUjffliZSmJ10acmrhdtiWgUAeQ2JoRFucEae0HyqLbALaOtgGcNSo0zklzIrocKFFdqz
uUPz+loXYf2i4hY3VBNPzMlnn62nhFuYCKwFzMrhgeQ56TkdZeu2wyttTwZJeF7Wc9Mu23AX1R16
9wIkKEx9ao285cfDvplPKay3h2RBG6cmW04BCuMXK2BJuHrAlKyBQJtYUXzrIxxHtLusn9yl8GIn
Ik2Qy4kW1OGtrAhCkKk4r/JLSYTKbpETbjwfDd7b2WAxRj2iGkkYCbOa0GCRhGII99aPDcFRMYXB
uQm5w9DX7Ad06+N6iTtbe9gE4H3MVpl4GYwHz+nIaOdBhgBzh7kwq7N2huosbF6ccnkGCfXSc9dN
rdy1uqYomix2M/ReT/NEeSJzcBGzLuwHJPhstuxjn+oukM/42kCvxiRy/QbFjD1gUWBDVY2xm4Zl
DJDRsZvINeVlvlsMC7BOVMime4rMt7TMHu7SvmGAWRGPOtYvZAIADE5gdU4aUaL1FCyO10wbG1Bv
4Q+weN62WeVzN+jY0WfjGf2RbopJGOP8pY5Dqn5UrQNXj2b5EUduCLPkoxBv3o3cTPgdKPJ4j3Kk
ZB9Nb5TU1g5rzTCji5rAKQi5ZHaCH17DjLcAvFm2SsfkprS5k9/qwMYN14PFNsbM/xx4XpS7tKq8
ky2oYNXD0/ZhWDw4jT988xfNcc9XRxmb8+KmIcUfrG/5uStbSo4GG7dDVvGSpRJvWQTjL+MouGsY
UzgHUlh4VUYGsHSezKSqcWo+UZVk7mpQkLRXsHpC6pZBYARsmGyyE2KQp7qOsGDFmm8zDjzwOSAL
PbeBMt/+9e3FnMuMI8ZAq/lFTJypeES5h0r36k7ZzJaJpEuRpdS80KnbHGNfsMmMgpXtSl8LQjxS
fS09TSU8+fNOdfn3wdW1h0KGxuENoFskgK5NRzAtVcCsGkphxMXDFQ0cVzxhtJBN+yFwn9H7JPjE
g4D3NLLbQUCTZiA8BMc+6uvfTAGtn8aAQN6+7TtowuHM++8ncUPt1CVU6H7vpoDDkEsGcet7vb2N
ezjws8vWloQU330MEd6P65J8IOHskXe8QJ6gd6kIk+mccT5Vk2w+DYPr3o6prR7ZEvTu1wC9xfxE
/kCl5csGeJNhJCNCL3z/ZfGPzf3RcLq9kTIkHzuEHjPkK7yFM+ZoA40JaAWFqIUh5UPed5RWQBmL
WLd+zSTQ6tvD/vWXerON+fFLOcLHW2r5Uj7eXe9mI9ATaCPSuNuXpYNgMURLsumCoSE11YAq1g7J
hu5db2fHAZuIBkC2TPJ0/WTp5Nwxv2QTi8opPHaDSNRfmYT69wHEwi27LIWh0db4rffC2Pz6m/9D
p0LUwtvT98kzACz5cYzU2igd49jo97FhN8coBLcBuad6bHC3v0eNzSQCOsFmZE986WZOkQp+abQZ
evHfs5f/HVX+blSJpRTTvV+MKtMvSRq/Vj+MKv/8ob947vYfDMv+Hnz4/0aVofmHy+wlFC7DaZIy
PCZufwVkBH9YQciwC/U2ktQ356f/tvRzYceHwmTeB2kdyz/SUv/FrNJ6Z7tkB5i3OwvJYHEfdc33
RAPEMQCoRWedKgqaHkk4pg9q34qlV0GL4THJSuayPmeLV/RjqgjvoYlNEOh1oRSvfgqd0QLZy5xR
kSnv6Rl/aBeK5Cm2FwcQoIUcoL/qmMv97U7f/fkO/8Ce/3G7QenMFw64tWZgCxS7yxj2y+sFO9ju
P//D+r9BR35phM/zieZOXaykMtZiojiaR9/kgJmj4je7sRMsr9zfNpPFiMu0LBwzqeMWo7F3k10j
LRxpQN89YUN2Ru9kZOtitCzvKnOB6BgqNUazt1oTvGgiQktB+B19dx96wxjtRJxYNfmtzCNXevS5
K+StDsR79J66C6oUTL/GsPAuWeq2AsK/vnKjqj5lnRW1QN0VUJWVRy2E8xZ/nLVQA4gb+Q7ca8Mb
1QXDBhAm8oFe+0rWUPabgI8Kk2iMt60fZeVmgt5KIgWMo2Dt8UQg5vXdMOwiEp8wIWEi2DK2a9YQ
GcVr6zDjmV0jbLe6l9ZNG9R5uvZjIr+JMgwXL/rlm5uJWzAwSGL7waJNwe3D77i2rgUEMuA238V4
N5N0aKeBwjXZls/2OJGy6yH/TG7hfvCN3lzwZ3hI6rFlxKyxMDY4I+wssbqTXbu+fUNqrG9gMjF7
8pNNUZgc+7Zj/cWoFtcGBJ/xotuKws8pbPVRvrngOHbPnUs7vPgAkWtVH1rJuHU9tjk/FHkgO6tC
jvwtjtB8OxLVGJgq3QAmGGaWJUsT3nmruq0WrA8MPF3jfyxeMaWJnobZC5/GAZk+FS5i9k2TevcJ
vsjovbuGm4QXC0/Bc/u++5QwZZR7V6MV3HIf0VaIdJFqpRCLmBoKjpIPs64Xm2Rb2NYpxmgnOerl
kfgzEQFhk+Y8P+nUpxAVhsUAoydHRo/jdJ3gQXOPdzmgfaZ4eReELaB9J+Ns26GKpppnPESOledP
/qbGy3HLbCwm5bOxFmxYzQ+UFP2NgereJ/4wojPWqARe46wX1/Mce0/G6Fs30yiLO+LZ4leboKs9
xDw3WKc46L5WRPd+lA4ic4AHlmwyUY5ABuyDNSRh7nhZkPF9tJUHm1ugI36C0d/19zaeXUR0jT7L
Zmx9bu+Ull57i1JcODvi6g1C58uhcTBMnN0g0c4mY0Vis1Aqnl3qYPnyfc5m+Lz8scy+SzWpS1qa
NEIeUelrpDHitaMOH9YJ/PwH5vw8HhLiG29lYLfrgbzromTUV8tn7gwvF4JEXspc1lO060xMTj5B
BVMXqBG8CORwcYNTGwH9VU49exJMs+SKGIB2H48Z2E22SG9cRzR4CelZnZ1q4Nb79cCnIEfO9Mri
bQu3UDW4L9hg018Poq1PyPXs9iHX2jCejIHg0XNPUkt7NyvmBCQ+Omy/mnT68DElJzC/RAR67cEO
CWXGpM85aBSb40rPJfeyZY6com+daD/hNHMjJGjtPkJmoHYuu0pylA1Uj/XbQs5JlFa7mjlHu/HG
5aXoWxqYlZqA7tjMoZ+mg8EUHOvQxPukimCwb7OI8gdQwHoLppss7HmCDB+DRbeLSVGcqT0JAW32
gkk1wCC0NYZ2ThT0+ceWHcJKGHMSqHhbl1XlBSsVG1G49YvYIAw0t/hNILjZEQMqnnlftNZNhu+B
+hgMUZN/E35l45rtzhhGb0uc7uzbkvNHk5g0gO0dospGmrwiPdI0D4ntEAZAwLhGJ5vGJmN1TZ+Z
xsFNhRfiJzEO0brW1gd/jBWBp2U9PEKMMLaUqAn6QdmtnSFODk4RRnAeohRNeTpOK8uxZrFJ/FLs
jW7yJugTWWOkH+MEavPOlcKriL6UM7ZGBSRwKQPzqcOaY+2U5otRkW3U49i0yueqX6XJpIK9ldvx
56KL/G8wSvHctloIrYV3xuqtge6K/9q9V+OaL5yx2pYcUhsmL84FaXr1YrlJubMrArHXvi4RVqPG
vQtj2Oq+zBsHo6W8uE5lXDzaGc7Sodn1O22g/TFGRaRbC1Q2lpO8HQtdngWD2O0AonTPti5fsnBI
PowuPFzfVBh/Nx1O1nOjEOfX1dWIFcGHuPOKx6l0u3jXogoihpSqoMgbjRFCmO/g9OCV1ky4KRa+
z7Y3OvUDh478VIlSJptMdwth36w/oudZbi3REavAE9jk4yukbqTHMC1Ox3KDRXv3PW2RGhc0M3tb
Ew0+gZzeiLjz3U2C+8bMaIVyYLNo1E9NV9ZXQdHMxTornPrgJ8rexcK6z6JaXpkqGTYt1/gJ4ERO
nFKjd6jgAozbufSHm6Z3ow/E8XpXRqfzncBrAMKyoWGJzp53YyR9c2LDnvdmVc2HybDCg0bajTFW
2657YO51g94NXKzzHsZ01F9Ns8hOKLr0qa3asPhNz/BTMQcpzuEf0g1pZADffiyJmrp0SM0D1lC9
bPd5BcPAnBwOIdegPWDQV58wl2r3vy7E3tHPqIp8n9wP0taodKFYvmtU3EgnfjKJEJo+uygMEDYG
ScxG8Bua2zta6tvnLN6glMs29L33Lq/4VXpDF8bR0c2XCsM3W/bsBW0WKmLD+PVF/dOH+aZJ102B
DGXw3a20eIcNJDHhMSimcFsvqODijrw20iH8kwj6Pzovv+MLcl1QBQGsqcVNzFrec2CbOPSloUzv
6GAUcVMBI1+JCVC/w5jp1PnMZ359af/weYve1mKZmB7UuHdWllZQ89oWpThqlURPfx5BmA1yYoiq
oxrp0pnb++vPXG7Xj5UzF7cIbOEP8vDeF+tziUdR2PbuESyX6soHYcXnPow4gSu1qMVdCHLO2ihH
/mySXaP+9SINBJlZGHdiF2rjifzjq1FXbmOqgmnVMCDnmyYAK2VN9Z/m9//jo/z5VeBTfAv4w8MG
+afpYhHZE4ENnXfE/qbdz2RewVWfp9/czH/6FFC5QAhQFl68d2vT6x2yLQyuhaF5sPFSkFuA5f+P
ZSIwoodRSrez0Et/vGN5UxKbwvj9aEfA5Lh1sCjGGWLndo5666aXCkHVr1fJz/sXezq7CZeFnJiP
/fEj8VxCiVd47tGoIyQMQMpHbY6UIkNBTmoFkm+vvE6zRH79uT+/7AHWug5MPtMJ7Z/eiJChFLIk
YcNm5O2OSJI+9R72EzpjdvLrj/qHS2Rx+JDRedVp+e0fL9GHqcRHlTa474I0llZ90l0P7c1lweRL
B6eWVfPrD/2n68P1nBROU3iQn9996Mg0yklCzzoiGW73Vek6h8IMkisand++6e+ditnOQtAJ4bqu
H/rBz28a3PrAZD856rYDKs6skjgrgdj3gvlhS8ZuAcssmimT1URdN1FrdTdjAyNm5zIcprmoxSsD
MtK4AGipOnVVJHdB7qGE/fVt+XkjZFzs+KRoOraH5/3ynv0NQUBEM6XQQFjhRLgBd0cMFxbHkW6F
68oSgRJS1v/6I62f390QgxzqSieEyRy892OPC/CSiDPuaAQGta4KHPoHwqdgq7Touwnmipb1nqXW
TTMUzTMAu7Y2ThqqC7K0BgllTLIdbnbMqpAUQTb99Rf8p3vCHsZasRye3XsbbhN3PY0nhziWOqDo
NkVG3htxa11BdhqIvfk7GOentek5SPAWg3ybJQrZ7seH0OBgR9E/6yMWAu5rx2w+W81NxTJVkm78
11f3Tx8GbuSYADRsNe9PgUCTkhE34XxUsVJ3WQWbEo4BXY4wJV3Srz/sp0fNlQX44FsmagO2s3dv
XZkbFjIicz56kaCxjNOelcWLSJf46w+y35Fa7MBju1yKB8HFeeBiP97DwklShQhpooJok+7OpIcb
1gaS5fwxwiOtO8lsBAlxY8aTyZSUio7Ed9pVUyzHYN2oS5Lm4ATGRLO07ixG5tpv271peEBZoF4O
5gkL+jE12CddTXY83/UV1LXy327EHsEiIZb3nGsO4+5ldf7tjUwr2LU+jl1HW8NMn6qhPjGjT69i
c/7XVRcfxRpAE4Rjge+8P96YmNj9qBhctqbnMAzMuP6GaMItirL6hMXib/HD5fT6Ww2Elp390ObV
R5dCdOb7p1Tp0rGaVrhHPAfcb55nj0eShcOnN0DE8ztQHZTQGMkpZf9mp7PfLxGXT/YcXO4X8xao
nGIZ3vztzrpF1KcYM2JsC4e41ND+EMUilWCk5NioCKLgMzSl3N2QImd1N2Fc8wY6bZzuEWnDWMAc
cr6YQwmKqPMFr2laf2kshpY/v83/2tLrMviDVnrn97NR8ZsISNqHRpwjSMejo74XWaefSL/guDM4
DK7mvrXkccS0r1sxN1V3YlJAY12Ug/vlAEfRKm3G2CefarLza0Ka83aDk1p5P4E23LReb2DXmHp3
9WwZGhF+RWzB2MPsNX0Ip2dgabNad74YQswFW3nucwycCKGRGmoVGmMaaJ0eYexYa8b5YoBsY2HC
W62GJhU92Lc5QvJ2dEbm6KqwMsCjQVqF9RUH8BxQ3IDdg2OjXMBQ6JXJ3Tgr/rzIa+sDIVeA3tDC
o2TvjTldUdVo/lZj0fpn8Ym3GMhLWCx1TSN515KqEEhNqg5KLcp8Um1Wc6vC/IAtnbpIRYDbHUmK
RX1G+z72953T8UBs6fN211Ypc1ILTc6LdujRmVumpy65aQfn2PPq/OJLq/uKswNXAZFW6G+OVw3u
ddtYCxQ1FTxmiCv8IJcuXgXTJP1BotwLt7mduedxoYqCaMDo3aGZz9XOk7CrNuAgIFe9TgDCA4wN
yFd2In4jmS6R9RnObnVoVDYYH1Sd8tFNrjm1QrNygXCSwuns22oaRX9BMI0nZs5ySe7oV+HfWLMP
gRMzLvcwji3G6gy3RmOtZQUBxrPZwoWGJ3Ss0AMjc/en1D+7uONOhwTKCk7WyhrTm7otwLQCOXSE
Mxb0sITRhqCMMU5x7YNVCfwbglSwwKok8Gx811rOhrc6AMye1QcdB6gh8WpwMyZ2EPQigJCgAW2r
1few19EdZDv8cN4gOFEMfBknQfTjZrZ4TaOEEO4ONbzc//laeTZ7i7nMzCcfRdFrhXFdCzg/Ww+W
IgxxD9oLNm/3Ltt46wlWURMs3IKkENxXu1swcyfrhs9zioRmp1Jw+D9HMwTfvEbCWQoJPEnA45Db
vpZWtiCxLfD8Sma0PxDjQODfjj/fGwAZE7Ar/yx85hGrnFTMDE++3OxOJdIUfVVKg0lDMbvcWBc5
m7PLQjtO78kI5ItYmD20O1nY3aXSVqNeBuU7uFNAws/zS1CHargWqkAClWWVux4QM83fAoNJxjYL
Gtu9ny0JCpzM1MYO79/kl5zHjAGwfEyAK1grLtOcnDe4d/yPFOZ5j2smaSTSWRUYsMFTjyJdgs0b
BV4VRduB1s+FMy2JdZUOgCQy7IlK01RAbSDkfQBApocxm/488f93TvrbOSlvzd9qls1r//p/vr2l
pt28lt/+8z+u06r61tX964+D0ref+mtQinAzWIgOjEMdiyKGs/8vQzD/DxsMBlXl2yz0zSvsr0Fp
+AeKR0b8LpgQrdvfEq9dByVoiL8dXR2EBH7zvxqUonD88fw2Q8KxTNsHw+ALmvZbRMjfjlAHwlvZ
u5V5qkyjTpoB5qBnbGA+RihsLCW3uetAAZmJUGx3mA5aiHRk73xTqoDjWCKrZs40d9eQYdywhu+d
6Y9KF66L0SzV1WbqrM9wXOPHEhOdNYFG4uMI0RJbibi/w7PciHZpnQkkjInhX8cTf7kePRXKKyNL
8j2Jq9XJz2AtlUrcF23vfDYmNAonplEYf7ie3Z/HDBHLo5NHg3/u9OKxMZAeg7GBWzrD1+xteGt3
itkYrnwQS3Z6hnqu827eOK3prBPfGZ6nDBYOOaSoHa9zQgaXWqD05S7n2X5A1VR6a4dQxHwriyh9
tJK5WcXMv/S6TTPgVdS5cCFhTXzw3ME+dH6fXNkq+1pQl29xRFvUmsjCCR2w7avMTh9mqEx3XsYE
c8//4lyjHIjI/lYQsvrK6VsyRYWz7S3jFUsKtSLEt5zgvvocFAhotg2tv1qPsJM2AJWN2GrazItl
FuJ6DBd3oX7wrcOAewNdvw6jJ10G/ge5WAa0/WwHpJn2jrHJOimKJVqGndlvo+zTCFdoazg27sue
73MP5LhqBlUdvbAu8CD2l6DkckqXyiZiNkwG+akf+jhYG7FMtn7q6QvWYW5qXkUx05ncQq3Tt6BF
dj/tZ/IqSEoOZsz+3ajJdsEcRXsXi59PUjuwZ3Vn6Iew8At31ceTn+4Jgg6Kp7QNhuoRWRry6e3A
GauM7YQSqOuumI3MZneAEkisOTFoJK++4nfRxjw5TL6FKMJtSfKlDcHzRoto2irMXbY4ShC9OepL
kEQeTqBYpOd5PWXrVKBCcesG/y4v7FfUHF2wKrThYH8mbMRaOhpRdAQSF3z/IVeoVYR9iIf2WsxB
ttKTJgKlXuIFmjXsoCtYpdERU5ldRWX6aBjJvUKyvWr5mF2sVb8qx/mZ6DZcbv002kXj/AE0vTs0
sOwJaG2yc1Ma5kEKN9/1UWMfQ4P9Pqec3XYGIaClq1I8qYt6NwU1OpRi1gez4dW0vcJ+DGf7perx
t2ismOTNpDfWbp+NO5Im+v6IoDw7UJV9bqkmjljrxaeGyQSpEqW5RY9yxfiMbFo57Fy8KHIGjJu0
NKp13Bg4O0kYUFibJN8EJDRo6QirmD7gPWbC1cSWIFgjf0d4MMzxuVq8SYBg5RUUrQ99auCNQ+bi
ijFDRMhHZt3x7bNTJmaDZBWA/gMEDyLWCrScAabyO5+Xbd/IkRgKDkjcZhFMNw3RaOJD4xSXPEjP
2oqoSwcTnat+SLGqqs0uPBJQfcGtG2YdzsEonLYxCp029pJ1MLqPXdNcBbO6zpDKwf4f1K6VRb8d
I01WQOQ+eQ5j+wlz7Y1VFt9ImW7hP04YEhXJ8CElszRoLGsd9tAZYUuxCabBtSsxH81KxSQpCC3s
makGTESI21K1FcPRcWJtyc6qeB7eFXUPdjFJOOyDtvii/RmagG2GR4/t8ji0TMxU5GQ3SdhnUPUc
wjj81LrHauR+zLotKT+bQNfVjcJX+rVYdrN8iHxcSchtPUlpu5fUbrxjLZd8WyujpFEyfP4v9s5s
N3IkzdKvUi/ABI07gcFcOH2V5NqXkG4ISRHBfTEjjdvTz8fIzKrMqJ6sLqD7YgZ9GQht7k4a/+Wc
7/gy/WIaHeWMNX1P+4rEF7+jRcmA02FLmCOXxeWFnjN713Gs3/X2uHKcvfBU5P597Kk71uDmnmOC
hILcGP2oK7z+hXNFb63Bj4dNa/f5dW5pkMt90R9MPqi92UjNRstN7+1pCs9qMlE3GITY59Ursnor
YiV3M08VrCJUa1Pe+hsQy/edV3O6wJSPtZnvsUXZ/HmE8aROhpUj5ekg42gqBATevH8s68LbW9US
P4zFeG4NqaJJ9PkTspYnF4PKpjSG924Jv3gJ3jx8sVzHusWfXOIOtMY9MtxT4+WH0MqhvWKwvgau
Iw8wgj5r2LQ7kNPd0eytxzb2SRofCjYZVVoOl64cCdkV9r0OW+KF02fwTDgDUOGZjUM0OgJazwjf
yIZg9eq4UbGepa0R3AadfeiyfLqf+OiqTTskON68JXgr4kR8Kd3A2yrb51YzYNEQC3r252E3yOKC
7rjfu4O0LkknDDaEBJKWjLM6jYq5DA7lpJdT2vTHvs0vhiwuDihYCRkNjZZVpQELvCijJQ79TTBi
D4BBo51Px+DzQmhuBNcApZy7tFpF1r6SZ9xzpJGMA4T63E0/2slzotHSV1MmeSaM5ZNwhmON/zEc
Fh6seRjuLNU/DMxBZeZXn8NUH8Ng/pL7RbkbeD0IB5oiclw/uxxm7CSqEnsHgaIVJTC3IaY5Jf6Y
GF6+pgu7dDM32ZMePW86ndivRKK090yPinpjsJxtd0HByTRUdn2bGAOUx0Zhg0C1HrX48I9zQ0qj
EAIQlm71lYVfAZWHRfOiTWxktvGUGuP6eMYE1XghaesAx0zfekasUd+YSTtMW2cuHWyS85Lr+zo3
glPYFcvFNNhPzmS2H4YajOQYV2gj9q4/Ivu2SzGqjeM0OEp4zlo7oHeflTHcitTPyMMe+/vOrW/H
2jBoII27ak71TTFlLyvld68nDwba4r0EnVM+EsJ+YRmIXxhcDnCjS/nG8eocRzHH7/ki1A4dlDrZ
BCrs8mZIDx4S6U0QtEVUFQ4vthte1wSVHXhm45ygVnpuMYnDxO6C757GWqxZ42/c1C7fm8CfH/yR
aIdCB68k0QMiCir/GSl3tjXIiYgsP80fMX2Y6CkYnoY+wGTbJmx+ctabiA8s32AVRXDO/pv7mj8v
oYPZVfnXVhUfs2n492FYDy92NxDAQuA84mqXuCYe2X7eCkxLmXJSmmLlbAiiLC+7ZWkQ4RP5zVY9
OQurPPZFXESYxxAs67C5RxwBTg/Btr7Dlx0cF9+TL8YSHhuAfI/kLzp7EWbA9EM8oFdQCb7KIvjk
dIashmRxSw+nn7JcXHq1HR7aUM1b4r2yXcye/oyXj0wHC+9C6lqMX0D1WSgtbNQ4liuvctEtm7Lv
5qvKgYo2NmLCcSk/iQ4TkZ7KDD9iO4gHDsgOwZi2S5Lr+jElogLl396pnIKHV2fUr5LV5SVOGXdP
/kj2bI7KnnEHlQGiBme2H6rUFh8MVLwPJ6vxHS99AtQvJTGAsfmOuVext0IOy4UNGwXwcOHrxcCA
YG5r27qJaVRs7ttaQerAY7WtqDyiFARJkkak8jCXvFRoJPZQRJOH0KAQhf5WhlGFPUmFy8mzxq+s
sbyDRIW+rdiX7TQOBMQpDekUkwsUy4Hlr5wLNyelHh81cRdNk+NA0m9D7/Qkz7dkUsEx2bplE8NC
lWtsTgN75EdsUAtEHPDg0UZosElVPlzU5riLlX2dp7mNTMhTh7IFHZalFTLCnn1TQTrRvKT7cpDq
XqWDczDFhy5TCib0ELu8ip+YOlWbkoSi2HDsLX6ddtu5CtpZDoHKm+udL8vjUnPdVbh1NyzWRNQA
840yZyCfYJIcJ5m7QUA5YO7DL74U6Ruk3iviMsO9GfAW47d7mhr8wOQcogzKqsvRy+ZtLgJEdBOl
Ido21M6J3/JMLJtT0zj3IeKSA57Uz7LWT6hqAF54wNUr+hSrd1H1o4PEGNxvW2cmN6F11dlQ04BN
BIQwSzdiPMuqepr6jgEKvhCsTYbDckrhoWzQhqQsVDdW3jBZq5YnYIsootBpRVkTZ1DkxFZM/gKY
l6t8Kj0wnQ4gkSmIn3xRXslUO9fKCftIy/o7xS+WjbTbiXxpotQoLD7SAaljl+6XUldPysmzbeno
BHRvHe4cotsougMX+HFeEu7H4TKPRbWHcySvvSD+MDuVAIabvEMKnvJOzkghw84T0Vz6VD2iDW/M
Nr+up1lfW2YTVY0co6VT68zEnK/J9bkwwF9Di29sDPoDC/jQH6/Y+n5t6Ddwrb9awfKetN7BF52G
I8tj2MoLlDXLKQ6KYYcq7VCm341AkmzhdSZw9rw9ykLdyswGDJByPKYyiBAvmPu2pb1FTGcfYMAc
rAZWnZ3nl3gHeIDm5oVZBE/4JuyNnS3vk68/Y50Qe1Fw/TT2ne7PfhODA156jCN18mYQeYmSFsdk
tixRYvtXSxh8CcC9qjBsDgUPxw0YDGAoGH42Rm2S2uW0d/lIdWZ0uRn1esGmDtnQvC5iQl5wsN7i
0R6CTUGGFI+EPObl8iSQSA/adD8HQXdSXMFvs0q/2ZjzSasZ501qWx3AUwfyAg6t6rVs8qrZZZmo
rnlkwdObGrukwGuUv4V3U9+NyCqPgzFJ8ne8Ak6dkQDFszCtRk3B0tcaBTI9hp80Oa18GnVQMuhM
hxNVdXEK/bQ+OGHt7MnHTC5HU3t7VevHWeHCl014ExKPeFtnhvjuZp2+XNLMuwAtoY5WOa/RBYDO
3NFRj04NUzZQ1js9fH4msoEGPzFvliUZcBo1yZXNxC7SwLTOjIxhDizTdLAJR9ySfNLsB8g1+56t
xlZh7o3tGs0XUUXbBN3gppLs67KuJ7JXA0FBUQdgRiMvbnN7Z6VlfOMhEz765fwB4SPcVJaPaLfk
HaOoPde6rI8qn0/EnyBbHIdr5HeUFV2KELUI38i0z7Yy8NF9Vimi3BY+pkNduR0LfnwXjowTabK8
iXKPrn/vWLiB+8mK2KHk+xQyyYm68eRXNUrtshr2HFfujtN85qN36x1M0EOetjc0U8G9zg3nQCvM
xMWe8tehCMPV+moWZx7VPIVGuoXruQsv664OYBDnGJlj393ooooMRt6bRljy0p87E79tmR27whGR
Ii95g5LQvARN2cPHtr/LBQwLMqzN2ltYS3YtON13E47d21zxMUJyZ/VcgFAqyzEyUJVtPPJOtgV6
7svRyW8zC3Fj0VTnxPOfmyDsDtTXMppaLn9yzPa1MA/JyLyj7F16GTedV3IBPwrhJsLH/tvStCgJ
+/PM/B5wZMyE20YTLOmzLJtsONxzm7FPeXn483DlRWiLOZVdMz6mTYkevGhdipb5YuROjfRKMzB1
zxnpCgV3ZfgY/PwDr88pcOQtTmU4w91sbWkhLzmin9t4qAGDTDtaLa5kpvxRPxD1xd1gXi9CWwf4
joxRFh66zHxRbQtQ1iB3c71bBq+IgBbUIY3OUr9Ix2BsMo4jSHdmzJyd99aczLwiIjMKb6TzCsYo
UbSDvWFCr8WQyURgK+JsvEhx3ZCDUX+QWBze5YnBBxm4BznKdIvicHlCUXHrLyEIn1ZYWG7Nfd+5
BOoogqIjCmUDX7Y/gxrz88cqTr8FQl53i3VZBN47+QZMxd97QehWH3xXA74/M8hmUPBEjXVVuJV5
HYm8zbeLHL63PZj50ijeUmmkO7mO/mEgR4XVNAxVAmYlSx4m27pmFpAK+OecWm95k9+qlAM66rTy
JmS+DhmimrQug5qeaJKEdKNxoCkf5Kz4Ip7kCN7BRpitJARgqtU27X32+t5lC8AGl1/k5RO7m6ko
9Z4pDgqcUrsbEj19yRN6lvqKjbI6OLBmwg0WCSKiSskChFMNOGcnlEvaUipTNL1U5P2j4XgVNNkA
tedeQWxVkc2KrbkkcY67EEiqzva5EwqJ+Z33yI1bZg64nM0rjQXmoysmv+jBoIUdE4tf183/1fP6
w7dmHWN3/2v9wZ8UF5xzaf+///zP7td/J9+adfr9p3/sfkzC7/Q3Nd9/63TJt/6qKFu/8j/7n7/N
0//lJJ7l+V9P4juMROrnZI71m/4xiCdeOsRU4TFpR0Hx+xTe/QUHIpak1XL0d6OS+YtHL+itc/EV
qbj+nN+MSrb3CxpNy/T5AjNACuH8O/N31/5JOcXaHDgvAiaqcUSZ7s/kDiW8XGqZ4IpwTarMsgRV
0m8cBPfcgJ4zvJpJ5WNicJv7rJ3r63VivpEBZoCoDnW+E35mPuR9scw7ZU3FDaHCebHxDFTaoa8O
U5jZF32tic8bMghRboA2ByBQ6PAQwHyyn1M3vRzKsbkyE1YFm8Yqr1qyIW79xg4OlRmmh9iP/YNT
lNTuBHxhNASPcViyVJ1YDXhn3a1H7dKlBopydt+Y9kFawN8b3wjwm4ECI5mPbEgqh9xYKweoTveN
dJwRn8g4nTQJe8XSvDMWCM5LQQjphvFqTwHJVnlkFbAv4sm7GeMpYB/thaUZrSyQE32vcyyUZXyO
jZLf/TYLb+y8Dk5NXKlvyWTFEoJEK26ztNUHnM7q3ukc8lsL32QBDfYWKmJufcvNhg7VxcPAtNGm
j8Iacp2YdXLZtYvxSYSAAqbdNqxQF1mf5kx+GUiWwEG52iXSYHhK275/CMMefgCURfWx+lC+cCoU
ZCO41JwENuSaUVaIBCqoEakhNdhYpM2dUjcsfCp3od4lO3ZNqsP4AsaWp4quyw9i+/pjuGT9XoCY
/1xMXV5lproxlsS9KFTfXqh4WS7h/Q1R7frd3oflZ20VfUcKR19bis8zKb7Q9TJQ413S/LTK6PZW
Z5eXs/DJ1W0qjxc6hTxkRayvROYaEIfM9DDJuHxEYZq+FH0GfJjYE5sSHvzgDjhkLhgEoC9iZmYX
GA+49hhZO/qsnXDpoCeYNsncAodYuqyi2IQhfTR2xGKViw2wElfO+D1jQEjpOK0irLpkkd3maX2b
4afZOLQDV4lqiJxdZiKcVVCd297IryxWUEDyq5G5FHM1nlNu0ybPMdkMHsj3xPmQ0+jgXsaqcPBL
OqEGm8hxaYkR31L0UYcFtbjGTRDeJfGcRiPZeGCmaOznYesp9zorw+ETvkhxMhXjozFnaL8dOg3P
r06ny2Vh2suuuK+fwiaPv0DvS4wLJvMy34W1L74yB+z0JoVLdz/ge493w1yI154sGoq6Wuo7oWv5
ppBHRGE7iveCYQ8l69zPK2G0DI6QakYYnwG47cyaO2hINkELpKylRBLEwn62BzO9lHjUPij4TbzH
rJKTyFdkabRJHbzl0GDPhTvNJrElRfi4MKVkdseyaSVclEO5hZXfQLWrq3fEAOETo/8Pwxzbrdcq
+yy0N39zW8WKqxOiqXdxENdf8oQSIyoV0Ew+rFq99j4t3oa9VXsK4qaHuTiwc+tdN7xaAWxbnv13
iP9CMiIy7meewjICAubsApQqESUz2P1Bd4yM2mzrMAHfLWOPc7oR/oVrdvjA7JSxpmKyfWi05kRj
FOJHcO/MwwAF5N4aDPfQZGYxbY2wj52d4yvz1SrSkG0Yh+lgmSSlh3WV5QefyJFTMkMXZBiGIoaE
+v6eRFWHN9av8heoYBJsoGDSzWEW61OcwOqCnDC2b4M/YzxwkJ4dpYlUH13d3N04nTI+G9dn2N+J
fADuT0RkXizAShrQ9YodiDPsDYCYb944j99kmY6vs1OLsw2dvtr1YxcQM+rOKo7C2JbAwsO42AJw
qBhQjDEWH2MkC91sH5Kia7fgEEcGvSrDd1bIrVf7F047g0Wta+J0IHDB/c7iU15wbDbCkYfJrB5J
ItCHTkHWW8EZzC4ULhOcTHPN0mLwdsjHl68LLqNqNwiQeo2tybFp0gEPoRnkN5MpykFfOqX06p5F
zdhmL5CS6G9miOeF+SWYC+bcDGps0fdY8ecuv4kn8lesMPduRI7LaxGluvcAgN57wk9uORYn9OPF
coJT/kydWt9LFIf3WnSxtSEcPn4e0dMD+GLpt6kJnLlYIW/PQe2tncDIbRVkbX1r6qm6xUdL8kRC
RizhPw4CL5Yp9NiMQNmvcWzztIumas6utRVqhpG+BPTfVdV1Hpr8uV5h7AVhw7wxaLe41UOGTkJ1
3hUmQu+G9Zx1JnUtpotb+vjBCZR3yrNifKSWC9D5DFTH9mLMN7WR6IqERdkgz5rj6xC82gMbJ/+U
8MI/Gcwvp3FW7gFfMnidWC5vRI5PTbRIYzkmopwpF2dGKuxtd7IHH1kw/xm2OhPLpdUv/inNCJuo
xvxWlhrjl7Tsm7hhccshW0B4WOJ1a2GxVGmSBiaMA1sz0MRt4+07rO/no2rWlMF8IfbHMfxDDmrl
piiGgYbWGlmth0v6Ne6xQGYT3dlGyQk7tAuL5mJmK3VnFWo8hHMYngahu2cVN9CHhDscuZ+8maVw
oxhQ+ewRuhFeByqi2dyyvE/pZu1Q3o22WbFCzW0Yo+SgQZbLgKrI0iGutorPix9Op44HI2Iea7wG
x/FpNln4KTrbajZu58ovMGnTN3OMCyikRntAc2rA7Bg4arj8Uh7STkkKH0BQf58NeXHLJmR8Az8y
boteeK9WkwU31lxz56XroYkZxcoOyzi6y04py2oe6jn8gvMT992QBmmLy0pqEZl1QH4wNrLwNTPi
4gEBZidvPdVl3dH28a1uFs8rYOflQppXlsc8h+GxqE2JPReKwbqv551vrGV+UDLZTqENl8hOPX/f
hp4fpVgF44iI+btFWOxAe1V2FYwWI/3itrabvVset3iEydN0d2pks81YHtDw4p2FmMgmODRJkZn6
gkvWIonVH2qs0O8yXl4pe6cX1rb1Zz5M1nOIJuBRyKS9wEb7KGt/3oGPqE6+7NrI1wNyuWa698rl
lQPwO3CO97z3Xn096g/sVlQQDuDTTefqVz808qPnB+UtZOTd6FTGFR8OcjQF5axGFPjdXtyBNIpW
FvSxTONxx+msPCrCDu5sdyzmiFE+o6lWsZR4DDytdtViEQVK8D0ewmZ0K+O/py86Z5+q6Zrv/Z87
oR/dzT/apP+XuqdVnPtX3dP1t/Fvx/eqJQxCffuTlunX7/ythfJ/dEWw6VAx/aGD8q1fXBf3ET6o
1VDzA1v/u47J/QVROsYhgpUE4C0bifdvfZRjrcAHvhxxlMBl9+/B6X8SpYPeZysCDAXPGX8Fkqqf
dMCGNxFKB2gIHzthcIvH5MxLnv/wpvwHaIafZPa//hLE1ZiTeJ3/ZHLpm8FosT9ATCnQeE5+t+CT
HfyI3K5+99e/6mcq/fp6HN4W34WVDfef/vOPuuamiqGyJfZyJDgbH2255qxazOJE09JjoLk/Vsz4
wUy6DrQy8vn++tf/09vJhAifEsewEHxoPwvW2VkH7uhZ5PfU46NV+S8BIUN//StWzfsfZePB+ivc
0PKx1XiouH8ySChlzNqMhTy6YnzEF//chfBVNf6+Dbw9rtK/40v+g08OB8o//zqadjxfSONXK8/q
Nfijyi2RDpqyrjs6I+wgMvJEC7zNqC4KN64uSpQgTjxKquOE8OKNazMDx0cQYrGuClWpbcfCZONb
CUnw1KTFiRVZCHKhIZk1gvyaNJuuC/N6Y0mB4baiBlTUEifGt/aHlY+HZOh6YrJWdIXqTeuZgSsS
4DnU1Zbj2b5GeBcCCS7srTbn6XnOAR9nXjImGzQWCkyDDKtHj+ygF+CBDR0BkXdxAkXW7cGXeS4z
68FhxYUfPSFoD7BUUmHsJudL8gx3JZTrZTmxLDgzDx72dlV9d/zyvsmcT5QGdz1tYDQ6QXXRmtNb
MtCbhxAAd4bLz4STu2yLdpGHQpIUrmqxdbt8/KbSUJ58KEjtjGIwCxu8GBYg0ZGo7+uJ5S+RYqT3
Won97EOIv8jTrI9khzglGwZU2kb4OKEJ384iz8m1lMlj7yHD0kERmeGQYFKn1IbZPkDyK+Ndjq35
XHeQ+VIGszEGxEs3Iad7N6IhmQHizklIyGOOhicDxvAofbxuKekIkRWgoG5BXyBybEUswJEq5T05
tW+8pMWgbgDe8XMCHAqPjSiGy1Jl+mjagAQzpRDMY0xML+NKqnMDkBnQJHR46gEukUpSkDWwzfKx
FjR6RNwPWWk+Ow1I3XmQE/PczNKvOjNRYEUmmenQFpLHLJXLrs4asYm9CoO39FAsjNnqtDZUfAX6
U921S61uK9VdxegDX0mn6h8d1rtHJqniLCbbO1Y11wKFQLbXfT0d6sp+TQvlsgbIWMPlvj0dnS4L
70wGEAcQseq8JEZzq8t5a9HPnhPiACVNaGnu1QjZpPHcJNlkXgsPeXLBU4aOvgQ3DDFwSb1bCAf7
OLbxx8S9L8iwSwjBK1IKT/dlGpILUsclM+XxDpLxExtxmKlDbhwcdseXxBSRN54OuNA0pQ6YCnGw
bEpA+pvyOLObO7ltJy/nxlxl5Inb3FQzzw2uaBxWYC0S886O5fzeEQa2si7qqyHJjcs+8ayDPYWM
tkvDrdmoIOom1szfSlPy2wjCZtRM9LXNoh4zXtym+KSMIH4Nir4mQSIJD0kcj5dTnufUP3qMPCJW
D91gwgkuKEIsx0QQGOspgkIcbmyvHC8WKxVXayG3j3N4KQ0LbjY70DE9P31ngvUSCgZySd+b9xld
+NEa7DfklVdGUCYPRWPSZPi802wKL3qnIQEuLhQwSLRQMSRCdkOQJLwlPxudZOXHIGaLa+ErcAe0
iHia500QJ8MppunYCcO8Y0O67yn8j7lBTGLDVOGwQG8jas6TTwjkfYrybjS2rVTNXhMv905wOAqZ
tPV23bSXbWI/um4bRrUoSEWt/aG71UZrU3qawSmrRpuNekp41pACd05ZjbBfaJfruCx6NPtxOz81
IiivOJAW4pVC8qUs91U1TDFIPjE2I/OBCAc/Yy0zvQLBeUh5ADCSNJl1JiuMs6xEfd1VwakcrKei
IiPTigXjEuLEHBUYtOQMHuPCCM5JXHyLGVfROXU7X1vOuzbB2+baHm5ahwXExi259zgSvJtszqcr
HKLlyassdaQKLbbNuIxfGiggG6qh1ZZNBN0clR43EFvWKf8eIrh/EXgCH5kpOXfYZDyCwUIRibLK
u01DGjlzpbTfefgzuE+86WtVzfRSsoYOS25CQZrcs5u69MghaYORVOWqqgbFj//S3ZUBfke9+M4V
jN1R0jQtw03VBcaRZbbHFsj/9IVN8zqEfO4ydnNWRIH/WHaTOGCqqBj0wu33hxkXU0GiAzPR9Eg6
bnPZTNo9ukxgbrxMFMfUSBJA97sKutGhnFPe/iGdngQn19YCNbvnTSofbXAnkWsKwjSNvrAeHOnt
PFxKL0TDOG/T4KXXHiz6l464elhJSH/zVqlrLdoelUjOlccI6Mh8WAFl5CLj4fm9hksOm1tBcU7i
7sTzcTwNuc2ZIclL9C5ZH80W+QRlp3+tK/6rlx//Pxb5NgXr36uifzIrXH8b3r/+2amAL5xv+a26
F8L5xbQdh9wpaltWEv9wKojVvvp7SW+x/wDG4XuWA4fcF5Suv69GXP7L/RES5dAOuHiof18J/Vaj
sU36v0IHhLWa9/5QItI4IOf2LHwJeGlhXa0l5B9qtrR3pqFWrX32484Hheq4p9kWBkOJpSR2Ia3k
+rRpLjwRSsGaWqIkWxC44aLjBrM6eQV1XVtfQG8V1w2jYGamiPWQgrcS2bZWzswk1Rm+9AUVXp/M
EGpbHNxROAQD9Kw+Z0PqETNz0OMs7jVU8td6iIebBfPbxGiwHjUrROVjFSAuc58h4jr6Cg4p+KxB
b3ymcwcPH12zadN8KgjJwpC0NWbQqM48+94+nYIxOdIJLHoLRcnkFCNEc4POofgqfUPeZIk7VOyB
q+kmhonLWhkngrklkoTga7BYhX9qZuUszNj01B5YR/O/9srjWcm1M/nZrpxPAKcQP3JITeSR8wdi
BI0XIoMQuVf2nYXm5C508uR+yYvhRpac3jl6ge2YwmSPYkKcDvmo/GMVlrXkDGvIO8FuBN810EW9
NRyFXvtsF9ZT37a9v7SEfJtNL4+xcDN9qGIqQP9Ayl+R7H0Fk8DcgolStRkVdTBd25B9ahH182Cc
nE40uiBsSqLdzPFz13UB7Lo0yumla0sHLtAAr5dBsCfQOLtZPEzXhRycEGJSmamQYEOUXvuWTOxk
o232Uwli4TSPb2IxG/shBgQ+Rm4HbII3Uw9+fwUOa0i3iTQ9vzma3SjiS0sh8dhKpxvWC4e2cpkw
Fu6NKacUYqkFIPei77VuzWsCE/Lexq3RdcO4VJC3LBwvXxIC9qzldcrKuVZfQTv3FQtkOFhlfPfj
Lv6fA+9f7YRxGtEW/9WBN/7t/G3KPps/jzR+fNvvh55pr+tcjMPh6p7/06Fnhr/QeZPFR6MKFXE9
fn47A22fb2JuEQa0o7CJHPrn389A8YttEYkekP3o46YC9vHTmfdXZ6D7UyNO0h6/3qVtdTlNQWr+
1CVDuC7x1tb5lUJQML87zQo3rx2/d3ZmihGEcnSkcp+PGQO6yjg1VopGMGLwUh/xKZsHJoHzV0We
LRoQsyUCK5+H5XKqPf8bZYm/zYB6qEUea+roomOwWI6z80Bs6BJowCgahXT3tQQzTk0+479xd1zD
eYoyLzN6/25o9IAhrPV63CIP5IPF5IaOWANeMSqW2bzWtKvbE81SXV1kbFOiKfCpqQeypyCXJUSI
TekVA07ZBg+p5YO/ziP27iSqCVQy9N953VbdYxdwx++C3LFL8yWTfg/FuG6HwCKOw6xwr2UYwFkg
mfIzNTq192U73xLmULNFmsecb/VmY3lra9PPzv9zA/6QdvzLG5AS4C9vwEb16d+278XPDkn7xzf+
dguG3i8Y9yHFCm81PFprQfGbNkOYlCSOtyJjGYX9ebLIzUkgJbcHIg0Cu/7okHR/WZ2M3J4m7KlV
vfHv3ILgXf5UhqxTMGgqHmMWizvR+XF6/LEMoU5uO2/yravFdJ1kOWSk5PWMViwY6vgejR4neVvx
wNwMgZvLDcbO5dWwSoSsViaOHVbeKx6iejdLo9ons2xoM5fu3CT1kbWZvggkAEuHWKvLRtfGAz55
ZlN1Qm9LPuKmdSrvYQja6Yl4th4PP36bg2glaV5dLiOvo2Dg54m9xVCfuPMhttnthOwU+R4Encmx
yNKzZ1fqwgrZi6cyvhsXeTN1zZapLUl1aCSObADsTeAxevFL70I4NFua3LE0kV81E7qtztsuqgZF
UJVdz+dYJWgzeh7kg8kNh9EA2q6xI15P7GdzWQ7ummxfJ9aB0qN+AYSeE0tYkL5UOrtyUjeqmJ0d
DIX+XVm9TeBlFSDpY8tqVx6/vxJ07rN0tn0dhMe509k9BrBmWwnykNrCCiN48kQ4oKk/Jn1+o+bQ
ZLRULDvwTmLDss8j9KW1d5Dz7G2SGe5mrPS0GdiYXRSZf05FyDTVru5DMh93PQKXsNLH1llHHaXF
VptpVuTA4EUtaB4MXAERgsNntydybejXF0GS9rbXcLfLWSeRcg2Pzk5/VB1zvGlikEZWxWWrshnb
6LRrFn8PaLfd45WrtwhokOS7q7/S9Y4hVqueuUcUFBazsSU2nmc7aza2qd1d17SkP2j0j5aD0J/o
rvlkNZgvWLsvp44ImS0bLnagk3CRdRjztptMZ1sDZ964QXKYtMf+3Ub/Gor8rZ1a51KiHQV+gWLc
teVWsx3GqJIcUltDUCTPhNQpMJG5fGw67zmYlqvcGv1NMnjO3qgzcyfMJT34bfW+gNHJZe8ccnLa
WJ6OpEPSPV9IK/zmLAZRi1hRt1wTa++68UYuiUAld6gmmEIkrICsNS2wSHp8rGKJnK40yWpzT9LK
xdvsLIJWmig8o/hYZmfaTWnQ7vKMp51bE8O0LOhVjZJrIatzufWTFprB4pC3B583wkMpt4VQX4yu
Z8bqTzEb8w5FIYCMA7MKZ9fYobP3KET3sZ0/KfYF59oEN2kHH0nYmcB0SB5zW894hK7AWhnwg7P1
yyy7rwa8jcAPzU1erOGVWagezRphsfDD4n5hAL3tuuXcscnbB+zjd1aceoRDMuzFO+Lv6gkBTG8Z
JlIXhT1sKaodQol09YtaKBdtZjh+7p2EhTSAoQ+JeFZCss5gXXaGqbcGT/kneBW8iwE2CgvKQeQl
4YhdpZIb020wG7u5+YRAinAtQ3jcuYRw9GnrR6FeBMvson4osFLdxq02L0Tfje4GwFcKC8coUgze
+DanHsszSuZiZ8/ER/Cn6iufWTVfaFzVQC8OSHqvDaf4yJgRwF1YZd7Sp+wOBmPrE3F4bpfOPfpp
iZbaNr9PcQoHbITCBCUFDpXXP6AcPel68C4C1tTrevHe+z/sndd228i2RX/l/gA8EArpFQSDKJHK
suwXDFm2kFMhFICvvxMO99rudPr99MOxx2mxIZJA1a6915orytqt0i1SMRBZYactnFAIRrxm678O
fXGXAl+OjOGGMNkeVGdqkP+pfSnFMu+IFbuUvXuVKn4epvxeOURBVigMsI9qJCJJZBRzRNcGxzd5
oyJ9aesY5by33Hd0Bw/uCg4rcgoU5Q39BgHgvDXTGkVVRSdXjx15mk13N5Tmi0/CU+AR1s5kuLPv
IzOJN6Xrb1e5uM6jBsGl/TJ2HKbcBT2ALTN6aIVhHCOiBndZYY7bfAXEzH3OeckvvUOCyJyQj4+O
011lscCYa09PngJriqm638DKddDKpdWD74/vYYST19O4X1CKEE8R0VlXcfFgGsOlK3p5bjzzmNY0
7+26Lk4FUptKlzdFEhErZSXeJmrbN2ICdNr2mArtZaj3QgzkVNkzyWFYq68IXEIPO0mPaUjkHwqG
G52VfPRnz3+YxXyoCeO5XBz6P4SKtbveK8Zw8rhitSwPnMjSGyyh+KLYhCYtmjgY0UKD/lLs5GBD
ci3t+4ZGX+iQOnE5t91FLFsCLkZLC+IeRTcdNj3kjO98KPLpWUXDcHBnnB2DiU0hLoitM3tF5tek
7fDy2Ru3HH24suONHpPthLxw/cUxgLZdtOltEwcbqkOsK7QH0t3UpipgQSMCKdHeY9jMglabPlsp
JhWrGAaiDBdAHmkqwQJGzoH1Nz1iLGKQo7HKIRljDIEkDTKwae1JSbN3MY4/xNoNehPRGPvYzd6r
MbXp53sPc99ddnm72j3jN0tr3GNRFdFOc8lgFI1j7IAleVtDlPrRa3QQv1i7UELX0Q69Tx1i+Vis
6lPhdFX/CIg0YlYAOgeiz2HCoCaaDaoSr1ZPPVnNGCszpgkZ3CfuvtLD8iV93LtuYubrQ8Zky+6s
Q4scYgQa1IBtebQGVVn05+dZdogs7a5m9c6ZLDQKLjBoN/uOOF1OCtCkSVmrjoQbdq6/ycgoxipQ
ZQWQG6DKjVyk/G95/eU/Kq8hinLc++vz7XWS/nqy/faC72W1p7+zgY7pVMekrMAdY+L5vaz2xDuP
xp3B9N360en70d0z3vmubZLPQGo8f9j05H6cbL13FkdaUDtgBXk5fM5/cbI1aDT+3NyjzAb1yQSY
VjaTYIyqvzb3IqXFJDjb9sWIdTYKzWzJ75IV8mujmttYs929J5d02VFBEeMEyQtkLd4iNubp0a4I
PxJORnqQRX5cPHFa/OmT/JOB8R+gZkTcc7ogaxQAC9TT3+bv/uBJeEu+uMhGQaZcIogC05NqxRgw
wW3p6uxRIVJNNHUuvslU/rLxCUXvt88GYIyNB2M9FaEzENZvagZaRxgch7RFgxg9l22Ei0kNqX/K
fVk7SDRt94pZdwWQZHbcy0n48EjIHPs4LdXy2R3wJxLlNlvHuKAbmsPux/gth3wr29q5dami5g1w
AfsiUmV/ZTRWs6NWxleLJ5SmYsk6LcauvE7MWUcXZLBM6F6LOlLRDQmHgcy6wBsSjdFF71BTZ475
gZkO86Quw8DRefWl2wlEVXUx3AGJrkihFBU+p97yiHZoMSAheEyyDcFG+nuNSRDebfdhmBZZkOLV
sgcTvFthPZzirZZoagxkbY2HWSujTa4tVpAt/UBvwVUjEBbS1zZNUmFfNaf5ucpWDJKGmuCK3AyK
Pjn37z1MTsxy9YKkTgZZxEXxBTgHz8rnHR5cB5m8mW40QesuQPvS3vmDlt3qHSa4MKMziCdOd6Cq
ubqERjH5WzVYMt2NFsHZQcqjdAdpLp7WNFKnoOeR9A/GUCeYJFw1XADGLrC4mFV/N6UDZZ5hqQ5B
pmPouxLxnhdUUZ9TTthOY2jwDJfVeyh1CpM4NRWmS38IMrngRG0wcx2oA00Nm62Da8+2n91s9lDT
OdVNXskJMWSL7Hug6U09hf4uiPXJ2DH8ljDMlX0zk/G1X0wv/twm5riDi7VDCTqGPKk+7l63vFsI
CbWQYA3Zccm8LPTs3n1JENAewIIsW79oeiDASLN3GAFjLDyZOTO3GqnSNiOn1z0WBOMy0rzp6HtG
9ITIHriFStiEoGclX4TSx2sDh7QdpJVbfoG+vXodF7Bw6AuguDBYbrHZj4tNxqML2yDk2btPYi2z
zli+8KkHsHIcdQ8yIJ2aoHWretxEjIfjTTZFiB+8ps8/V1kSpeQpymyNT1efETsSzzXmaL2TANja
qJ+61pfpCxP7AhBARZLdddfJ6LgMy8qStbLx2ZnSmPQVm2hJGDD9AF9hmCRPRav1r1X0NWKSzADG
tT279rbHuadta9QJp3E2qpnulNsTCD5qS3o/W/U8H1AF0BLToorhY13JMoZrR+r2Coagy8ZgmzAp
okNI9otVTooh5hC2gr66kgnJB4y1rfqlq4HtGXIuuNUnvb6YYYffGS6LZjwlvP8cLNN1tgzu2Ryg
PxIl4nM1ub63OYnse2wDpBO2dhdRC4+ie9+nTiYCSe6NtuXgsxAKB3IJDhvBdORDfVCj6SNEt0cI
LIniQd526G+1ANjc8EnH4KfjkJe2fvYjBeuwMZv6RXYFx79GK5bd16WcLgCfk8iI6iSrl3U01/rx
PKXm8lR0xIbUm1xZUJn2U4RFD+G/EMb8Yg+D1JujhwWXP/IYyDL30WxQITPzWdT4XMX467tAY/z/
ggEFlSle0u6ylotzbjuD3xidTq3t1NADYAIaD4TGM4vruUpI98GEiLEZBfd0O6SxeS3IV5BBSpl+
Le0CDFAVO7UdgiwagYq6zLsZWiflFRkVLgni/Abcu8RvX1QGh3G4PxJTIQVhNITEA7kftbHCZMuH
gxukiLGYI8pxSDgbErTwdGNc9aE2tJqkiZmxrOdkdRARanQRm8Sg5qqrP3VG/2gRjHcx+n5m743e
V7eDU1hFqKG9Hfde4rUICshAHPH70vkRdhbtjAGLZ2KNEY4Wba6uEur5BzMHKkEpONivyDMdREPY
1na1yreZWWtkiBj2dCUKJkRRMiZ41aAdk6vOyW5qvcZGIiONS0sr+guf8YaLLjfSHnL2GWiZlr9m
ieNsJ0m5dM0NQCzUCkNtotqe+zUvsFIWfgtjdDKJ6mlhMhPbAjE0C35XWt37//Zl/7PCkUz7n8qd
P0yCr3E/1b+Ge4mvL/kxFDGcdzC8cXsRQ2XR+aT++NGRNQXdWgv+r03fk+YrzdIfpaPzznToq6H1
RLKIZY6K73vpSLiXz2PJpIRqBjy47v+b0pFy89f6iDarBY+e4kwH+gq87repSN4N5CYNfnqT5Sws
PtbL1Ton49y59qNGiFvhtNAl0WpVNHcin/IYu2jqbPIIeut0ph3G9NDN2zzosA301l3ybcRo07nI
dQJDOcY2Y5UfeF51ddMXrf651BvFlux2VeptpJF4SFQGoyattOZk5Y0EhIt4W5JDeVyDHd8sQjgR
HnWt90kz19waB+67m4uWAJd44cSG/M6mMNnHCyYnC1sbavyUfYyT2DAEbOJlHixFI4E6WkJ7dHXt
k8c4OixXsR+EEvfsJGN6AT0gu5qIOL1wR3v4qNbllXKOBqisnORO4rRIkC9O8w0SwMgPUdeXcms1
vGOquKVnJScSOfT1hPF4RH02pvEG9przKWWQ89jR28nOZJVqJCg07nUqdcSBczrRKyqglGx6N1nR
TP7kY6LQ+xRwjN33Vcg3MT9Hcw2eBzXfgHEsiu9ptUd+QA8OcMvMr3+ROlFyuahpesbgZth7B5LO
RUxE7NZnHkUcu5FBBXJ7B0u1m1rNe8CxbIxxm3Ubzx3Lo9ZVeh1oNiBUTviLd+3hahw4xK8GoGxJ
WXxcGBVLmLEckQSEsfkDxWOLmk1yZ21MioIphMc5hWjocd/r0glK0INvrqRJmMRpfuhSMexUbBHq
1KZDSGXn3rY4jOhwEx8QmqRw3RJeK49zTTNFL1vjVrN90n/H0jlGwqUlJKXtfFbYAkL67sOZWQOW
7WSuy4Sj/EyZtGsrrbkSsZ7NJ70adLc5Iu5RXsMwr+o8ugNZyUGf0qVqbkgNTuqLBdO0CHSL6LIq
AOHCtjVAurvCIUHvOaAO8Dxm6QbAl7Dk6G/dDh24tmAxRve+bCrS2F0N0OJTIUcXmWjdraoKH+00
KAf0oLSx3S50zLirj2uH179CGJh8LlvsUMTOuLkbFN6M9H+0iaJESjfV504DxDZWfXLpRJV6McvV
r513iukH3PP5YooxnNKENStJ79bRE5CAhVkfGPRA/umNuTc2CpFif9Bl6e6qOE1hwM50h5N2hClU
y6jkyY48CCFWM8MPQM6AZq+JmnG8WpZ0aEMTxMumTvg2w2Ys19NLpcklyBiXxjcEdaTdRpZD6Z4A
D6tz0dn6XuZQ75LYimfuOKGNm8wleaLQ3PSs0UAbEQ5ERULcku7IsCw89WymXb3vaVEie9S7O5xC
2XLLseEV4FDFM6U5NRIRO5vtc19bHbVyS5z5Lh7m+nnCvioCbx6Sh2XxTFpvUSMrcHWIMJAqQiY6
sBLN94h+SXczbVpkG0pU7KaFDl0JzW1kXVh1I9+UJh7twfGuAFZ2y/2Ym+SxqXyN5JPRPIVeo7Ff
d51+WqLMvBWV4nkE6JYRqRqzmtmE08JwbLP9MlneEaYVfl1PadN0Na05Iq7VVeCkQTbtPS/qtoUR
RxpMnMKod3GzZKG5COtWawgP3llDUoSOn5mXtQP/hcweAsG0tFlD5lZscLOINNQJsuN7zkWcfZKt
m71keq89WrIYP3CyHyWHRiF41pD+hFq2WNvScLT+gnGT2BTWAPHOSbpYXvIDAmaLRnUZ0M9o5jhw
PDjSR9FpNkPhWbh2Q38eYhdtSVr3G5N+PbZTR8bgAyljD5Dh6DJHfanQ2tV2OYhTXTWDF3gkDD0A
vraeUHS8F9zCSPC/xu35RLUfHE+5tw6YyTDuoxkmVIIKGuOnviW819yiQsXujMBwuquiTpxJgR/G
oJRuaZyUrOvT0tM13XttbT23/fQcT9PoB72TArg2UsLMNuOo9x0g0mwaTih98KrORndXQkUgu539
K741JsD3dNAFsMf5UFpu79rZRiCSjY7EWCnvLLzc2P23nvqP6il4AXRo/roRd/Olqrq5GF+q9Fd9
3bcXfq+qXIHhxaTxBmkAOyN/+7+q6muvjjxqnwJq7bmt7aYfVZVJVQWcgD4eihL6Qj/J7fx3OGdM
gnlADPloof4ViQDl7q9VFfYWxH+YcXRT0BzES/NrR66gAl/KRme6BnB+DqltuMVt6NVnM5oIqvGZ
ylmbskQ1u1O90/qB2Ul5IbyaPsbSIkPZJIUOXIoMxIIIOSaQWkCkFVFk/msz9tG1cpz5spwNPRTp
MBkBSFobMIHWdVsYHCJcIJYSs2d1dEGYmkACM2Gtk/qdJctewxz3JEkEPs5Zm5zpU+pbV1uWxwhH
OLOjwk22EgBItmXvarHMSniDBNCTPWNMuvuyZHDhGUAwOw1qQgVUQJGUh0yFCRdOqkMK2+6LZhjx
q8Kwfpp4zbM919kQ+povrhLCHgH+uxx7A9fyO5j6dmxua42Wiu/FxeVo+dl1Wif9aVQdE/ooI4xT
jyB+1f04ban0GPu4cTaiPsvjzYTbH3ChQ3RcWfqwRxtoumNhW48eaaUbNNs5lzAJnAFAMGwrmCRM
Adt4a/p88iIVxlEtfnnTa5az652lvNWXor7J6Fxew1AUZjDqeXXEuMVe7S00zlTi7giN0fvN6qXH
qB7rW0SIKgkk5o4MgID+ngZffzXU4pmUyv7eQM3s7WmFwokztSxughJzxh52nPVE6pS5Q3QNI6KJ
M0jESxSdcD1g57B0kINEEOCcHbs716m9bOuQFnIk7FF/Y2estqI07tzxZlUUhp3Cq0zhcyMIsarX
2sA6G1o3fDDmJn6UeN+vxy6zN36JH4X0sI1NBgln2L7cW9VUHGEORVdMcKpbzKrihCL6faqEEyKz
z8PZGWZwonF0Pw92C4DTLg9KLzd6bfQAbbPsLhpa/XrQOjeMJqEuOOzvoTB5Wzh+apMMeh1GJJiS
ODvW0SHzI3s3OGX+5iv1akS+tmO/ikC694Vxx03OSXaa2otuMWAZF3CaSTfBf2qZgvGzfVtzt22Y
El/ickiC0mudkHSAZzDvVPkT/LOE3nsASJjfsqNQigcsMMZgpFiUEu2ZI1Z80RRJe2cXTXOaBfF0
rteBsCGTdivZFjaFkMnZGlvuG25bsv+c2dwTbUweZ5WkpOUJSm+6y5zlOevfzaq3A3zjoo6pvcs5
Nh4JjpnSHQ1UtbYkjUU4Q5ipJE68O+VAiWs2swaj6940c1vd22yrmNDslqLjyRDcC1vSddJLR+ru
bQ9cOXk/iaUEekbOhLWr/JrGD2TKmeuTYoB5zaTR3wC8K8DWQVZmPImPyKg1+xmDRZVdqFXUFhT1
kvFuMn0R1V7WsDbvxzQV6p5M0LUhSKY43cHc0sfsQ573Esw01IMKbW5id+ZmbgAvhWNHizjkNovj
D6WRxishz6AMzrWa4DgLTYm+nebF4FBnpNM64FXzGinLbNvbtqXV5/Fh7j3xYagr1b+6OQm0zgc+
I58tvhj6+kifzoJeUUWcKvnDwawMX8TWKNBhSUUPVT441Jgth96N2UuTyYdmTN+mF/+VhP6TIs1F
wvl3O/VdUn/+8j8XXfFSff5FFPrthT92auMdincTPRo7r/lNdva9/+Ea7zywDQzwv4eU/7RP8wrk
ns7/+2P/v/thCPwTXzf2f0Xrx6r++x5N58Ui3Yvfgd+LkK9f9+gWhpQsfbggGn0Iqtukvgep1qfb
2PPLbWraz6ocxxMsA1waQ/NcxLZ2oSvawET1siovSR42nShv/bGskFDoT0jkYyz3BSz2msIxXAYC
PKRB+J6YNXeXQaUJvM49N8UISXIyiBBR8oWA3xMq6BMr+j7qmd/10gZ2oxi9gIvwglGmb4M+pGck
EYwG3AbdWlW3gAhBfk0AuBjGLJe1r984GPwDX6qXtWJGIc3AXaBtl3361hUZ+zNnsi1pkWfXmvYk
oTQbCCdvfl6dlDHeRZONKz2FT27mp2FebkRGMgCIzY3MtIAexQtVRB3W7fJq9zmLqPGK/eS5nbtd
XaA9ktBU30etOACYdwK4LYRidtAeKvDHRm8952Px4hI9s9NjdafL/LR+Aj27YIjf5S1rSGfv0J/t
rAIWoVWiHhtW9QEh0Q+xpe68anI2HsqiC1n4r1QA/t5IxCGO58scG9bFsqY5a6rjg9F12rbp0UwG
E5b19OAk851qxHNi5Uf62y+yzV7qxT4DmKRB4YhuK3hDSqRv0G1vBEfV3Wz1gGwb+r0iPyKEwjxJ
o5rxPSxDs+aDMhMZBcgBwLKaerJN8xXtqa2xgA3rcaytn2VSvgwG9Ex9lef2rIib9VqN4AeI/7lR
nX7Tm2pPDPSl4aHC0kb9snGhyzBXebOQ/G5tIz3l+XRJ1WgfvJpGVEbuy8rqeVqiHqtX7xTITggf
IIABFUbKiCnxxXIliTmp5+VJijZi1Z4eSt0Op7lSmyqROOPq9KUaiS0tzOnVq5fLkbQWFnAJBbx1
n9NJ/+S11rWPixINMjpEWFMEfssDpo+HpbUPaQpItZfWAaJWQlfKQ3vWY0Bjonnp1HOyVYCYN4zG
raPvcidMS9/ThyutoOn0pyo2Xn1LweuH4k44QXE03PGhlcODmIq3kr7NRneg4Azl9GBFRoIHs292
9DaA0TgabW+DDIivn7tROWfapc91W2U7okzPjS3cXb++jvcZJBNqHWU5z6kr5wMQyCVgizg3pkZm
cUR9jeV2DqUWjbdEq9ZhMZGOjFbS3swM8g50Z8ZjW9vjRVc63sU0aljTkrmAf9mUcEqaeacn+Bfo
VHYbUyus197oPs6jdK4ML29Wy22doryUeQLDzy9bK3TzRb1Ebo1lDxIh49JMtNUTQbxP5aRRHSwC
wD4MTJqcSXQGC/MRUM+4yacCzR7b3WKlYdPPEv7flBDj5DhMHtJJxkev7jNGfO250JKbqhaoczTx
VGtYZaH62dtxsF+maga9Ttg5T2WWbAl7DMBTZ0Gz+M6uTEuI83Md3SAcxEtYcfsvmfla45QPurak
yTbS0J1MY2e59D74LaiEYLlg2eEcMqFMuMaCP+wnk5tuzt1nV3OAxbTqIhrlm6bkpXDy40+bzp+o
C37rXwsPHidnQI5snN6Yq67//idjU4qxZcBJUh8E7WbEnW2/Ns/Oqd3SpjGcf9AT/K60WK9GDCRe
L8LZDMJmfr0aReBQOTOGALjhdYjD82gSrRc4Fgv637+v31UTXGlVLrhcTGd08HX3+ul9KdedrCxq
6oPZ5y8MAoktYznODIUGlhFbfcHf9G9dib9US/yqzgZSsF7TgxWFjAQ/hvvbZxlblZ94XYTXEioo
yqXxAcIrgcYWZHTNLlZH67Eo0AV2rG5//3atP+g01mv7BC66HMQN9/dg1yaP1cLwvTp02PHDrC69
mxk1wrpcXNKtyQ+6P72qDl5zrsbxmI0EzkgfBaVM5teEPmtcLZdDvEayWvbB90ttk8FBAe15qRyW
b2K7SN2gpdzW2aly5K60x7upjJ90O4ERNYnzQBd/A5HN3wMIbD7Etu1shMfy8Pfv9E9uIehQqPAN
NAm2+fvAxSxSv6xNgV7dhFVe6ze6v9yUi2z/4RNd5UW/qILWbxOJPS0SpPbcSr8pX3xlMOLw1nvV
L4imJgptNlK8LjQnKKb9LOy8/NTHRnlbjPON2+slWe7soWKJ39qRdXktVbKcAsIwp8tYQ2bhq+GB
gPOzJcc9sL4+sJu0ZIJA9EY7mfTfbHPel7HZbKd0Ti8HXZL4lU9Pk2TbH8xUHJHhl6gG+zU/MX2L
UpTVVV58pRTWe2jBb1G9PHnxsFt6ThpTYx2S2T4kSUXWAjkU9KmnSzSlxBkPy407I3NgdmrsMEZ/
lDYqaNegxvr7L+xPVhgL0AUAD91zTWZkvz7zi6sBWNSs6rAo42s5MbGy4Qp0Ak1Zh7+/1toX+smm
+fUJtAEo821BLbFXT8jPq5k0Z6KaxVwd7HyEsJgey/qfFsyvT9Jv13BRYRG+y//SRfvtGtAScrIr
dExN/tjsuhQWMhbG13WlR3w573uEDbkpiGU0zyryySGqiqM2Re+7LPsEsx0wB+YF1JqZdSAgjU3W
Z3Vq5vJEw+dtcZS1dSMmPYXlMChAN4qwYemuitTZYr149GiwBA7SyAsxI+gnzVAFJM1Cs/DbZmdK
Eza735p7PJhoks30za64Bds0P41TDmKEsQKDfQpUgyOsDXqk4iy+oc17V1dmssUw8k+J3X/yxPJd
EPAO+keHvGP++qVUZgMPYC6rg1FwUBgTcuTSHmelqeW8ZxQckC3whBazdy6RHeHylGCEjfKaMcaT
xwBpS5uGoVe0KHrTRk2LTH9WWWOFns6ZOh+dM2lb6MMjm2gaMwuJG9Q2Ta0wlWTzk26q16XTA4Kv
7ieL6hD+JOQQbQKYqT/NFGLQhZNmbxUwxRp1F9vOKnHi/hQNC1/njABINMyyZVT4e9NenvxGjt+U
pX+5dfzJQ8Kesf5D/5TT22+fkYpbTDtqrA7Kq0JKnClwFb+OoMMXNfE/fCOQc/74nKyYI5Y1w8Ad
/fsz2Qprpg00QAY3u2prOPhvvCg7RuxUvsH3g/WNge/MAWk0WaayjAowLk5OTgEI9dxBLAQzBpFH
y2wUp2ladH1AtCwwYaAio3dd+LgUEp9qf6pqK7Sa7rXMlrupoOnqrpsxt1ls5S+RWqtU0ILZop/a
AWbGVJsbytXtiC6HkCn7/PV4yYTTCkmTBlMJVowxDK9oCGZsoqEH3twnF5NHpOR6CIoqoj9Un9fH
alAPac9B0qPzC6OBo569KDLHYj2YhR/41ogKxbhptfRoWVRrBpO3dG04r3/RSv6faFxvyGYYoZ7K
brs+Rt1kY8RVDw4jF4jducbzBEa6aKmW9Cg7TSR5hG7DT0v6Rm1GYElFWNYVSWivssfKPKxBikV6
Si3OLP5EKS4K8Zwl452yBELK2oZLyzR5RPOGrxwxAQ9w3xdHDsU4mNlZ0njkxuTpcFR/QifzMelU
dcwN+zx2Y2iZct6sByNEjPD24GxcelT2RS+eTTxA/7AfO3/yeFPrwE/Cb88d9Ts1GC9ARsYkvczO
nV+xtdwhMztTX/Dh2TzWa/319ahd974B5J5K7+szXyX9blYwyduMl9HQgoxXQS3F6eWNZAyBVid7
CG9/tSXfcj4URqdxQMtxlcSI2wBcxK+tVvinRgJcWWL2RQJSfdwgBVW+y6RAY43J+vlptCi3dGk1
G0dPh80UEypUeFTWMQdD9sPEwqSCtHIdZg4P/cgKihEMICdHUn8oTuMw3Al7SBFxONMW8ZQVtmq5
LBP1gPSPxCWScZlYz69OtzRkdvV3LqcDrG7OeWQT4ZA5PFjkh67VfO/+2F//22H7hw6bhfGWe/Gv
Z2EPzMK+dN2XLz+3176/6ocy3XjnYG2jV4avkv/Y99aar7+DNIbTcp2RUdGv87EffmvnHW01qG7C
5ASjG6sV+3tzzRLvCJxfRUc+S+q/xXEL9w8FKBnd8CKEThGK+/r3AtSdpaUlyq4utDFHOrgny4yR
zTbSlDKDvtQxZJKVa6qr3pznTdm1rFvdBBAmjtxDWwqipOyInCMyPY1z1wrnYcr1fOukehXGsQO9
ijwfgCzO9FwyKGiZltjWix8TRmg2OvAr31ablpRb6hH381A1/cVodfEeXWwcYs9sN0aUE4uEAHo/
j7oewMUTdbD4U7eDT19uispjcJShMhBNSwiv7MqLYYqXnZ46u6FDwK33nIjHLI2vDRl5h2pO8Q0h
FEyDsRMMMGhN18+JMbR7E9XqEVIQzzoQJucTqouGXLaSbiED7Tg+1YirH/Os964m9pK7QUkzrAps
4YPhn/QMd6FXgqApyIhh4c8BebkDCX4pR+0o0+VeuhzcVCrw+Vnzbd3U7oVEJ71zANQGRNka15Xr
H+MqD+16ym+gNjH4iUxWs1l5W9TtNTEVLXJWfABb1Qp9w3hAADmdugtykbVDpC3GUeSJdqQMIsrU
bBGSoCsICVCpT62TMDQkfwJBleKYYKSN2OICBjwdlfYeG0+JqxamKLXgctuMZndyQYASimU+OFM5
vc5087edQvVOFlx3uxB8HajZKXbOUMMkbqb5TqSZ+2kAF9JU80cIqN0ewT1JfiPeWEgC0dPopfUu
yyLnMwqefKZINLNTzIyL9bKZEgaFfbn1StxVaeJ5h86Rctc6JnM2ndGoh4EBL1BfEHgh/U+erNQb
JDR/t6yGxE1LGtmW5wZJHOs+pq6seUyYxDyi1ZlfNE57nKsWWz9p5NRcetrqPULolgSpnzTbBt5U
gD8IjNqSe8dId6pryxjrU6GMx2TSqOI4Z7cHOLP57VS30EVQbl2bpfQvRUt8M31lgWghNbTSPQwa
CIOdxKQ7Bv4g8nyzDGsgBv6OrDLRQCyTtHaJaLyNCaQUD1dtlod58BhNLj7gUYongrcKExulpZbR
DLM2dsOO2imYzKW8QQB88BlEBQl87ZN0zJe6aN3oinzIKbkk4Py9A/z4rqztPeJ0QyP5chCRuS8w
XKJlGn1V+a+LmFva6dG8XC/j1N10g+mVrxzao+VKVPSgvH54tJvJWukniRwIW3EfRNSxi8rB2EJG
9o+qdk1U7FEHZ61BAHXXTFpJLHM6j/GhEW4uH81CCbDVNjNaEknAMdTuEbad12no+zJTv2ah5HMv
x2bZRU7G4X8LDU//sCSY8zY6PrIzgPTSfa/DSGvltrNn47aa/CH6nK2BWna6+AErHKEaQuMAPdSk
VUZ2HjAnGKitpTDyzTQWKekdvZ99crVo1g5eNSImt+sC/i/owCEPR1A2pONMCeoYBVLwqZwb+yXH
H8SdoqPCxkDX62NQtWq6we4gPs+CMdme5i9KJA67bhWOWupTTBkoMbeVnXPJpYglKjvg0g8W8kcS
vLqCslVXTbr/lvBNtBuQMTTnqIfAV2UWZYhf1dcu88KakJKhTaz+ElqFrYc1YM4gdic3BopROdcg
q6advaYH6HoxQg23+Yw3jhHND8UaTSCBYkiSZmRLdlTpK9qZxBhUvmgv8tTnuZ/sKLS/5h2YA+Sa
wTCTPUw0b1+vwQgVCQlLzIQokIZdX01rgEKEFRMZdU+qQoHQYlUYpRiphzV4occfs2J39kwBs/VZ
xVlnxE66lXFtaTuAFPq9W6BbcEzGxhtL2dqa31DR6h8ItRtdKhinHT8g6iYTwrT8y9nyyAhvie/K
JxFz+O2XjgyYAft02S3zazu3n9ij5Jna0dkpd5VsIZ/3AlNv9fuYnNTdpGfeIziD7lYgG2JzqAoo
XW53XfeetisIKjmOlR69AtW3aWoZYecyxWDpjA4ESejPuWukIbA178NogPQK+ogoxcxup0t3cZcT
B1IviNuJaZOas48J4paj3dbI4+Np12uVYDShoznorQQlbgaUaZvN0XJDiwf9BmOSrqiax8Wt+4vZ
GYf9mni+B4Vko+k0mMsTEzxuVFEn167wKXjlZBIIZ7HE+0iGQyD28J25/v3kCzswjTQJYkzYN+jE
cMsyBdsKYmf2Dm9g13RMeQJDiYSlcRHPltVK9kLbb17gi/Qnw12MLyPjmp3dI0jLAUgenK613msT
1zN9kp0aWIe7LG2araz64pzrqn0aeA5P/8vemS23jWzb9lfuD6ACiR6v7ClSsqjOll8QKstG3yXa
xNefkXTVvWVXHVfs+7xjR9SuxhJJEMhcudacYw6yl/cu/rwzXdNqvSSgXPJkTvetnYx3Obi8NZAS
71As4+c2cNKzcpLkY1QPJrFfIuSXdB6VQLmgBQkgBNSlbd51M0rCdcqTf+9m/kxSqSffaJohvPFy
4ANLf6HbSRiFUwbesSRiBnWqntdkef37hD9o1czk++YgB46JGX/kdOOtRVWCVaxAEuAWsBkl5jh/
TWF8mqvI3Doybm7dNDUR/3dpoXd/2FsQJTcOAy0OnFgUAL30ATiBuOtWjj9vQwNnRDfOHoogWqhr
4s3ItoUJQduk1J3clZl7Iua3mVOw2AEPtRz7DaBV982aA2oKJyGUwzczVgKJfYJR1uipxH+0ZRbE
bHlxSaLNU+epJr1ci9b/1vf/Vt8DPKK39r/X9y+pjNOfdG5UqPqH/pyeu79ZGqgEIprWIGU8bZU/
SvzA/s3zfRwAeEyBGoXa2PhniR/+5rguxT1gJc+zBBaB/1viA4jBhUBfySPQ1qLQ/E/cA774W4nP
y8Ov41fyLsBF/9RLDEYPXCdCl0MQqAp//lij5yc7CE67amEH2Ftu+c+qClz90MXJszk08drBdkXk
ZDzc2TW4k1CONiGvkYi2kl72PQkFDRtLpRNTYGvAFgiObdQ/RSOxNXq7ejPtJpcpYXMyfiY5onqx
ME/eN+XE3T1ahnx3idA81QluM0fN7hv8+AKbgNW5b3bj6c3Qc8KX3quNr4RHzc9wTcv5K+ei0M9u
UkSfd0ntbyUtIJyI2cnM8ibYe2NUPdHhYEa9ig3iHIceFQMxfrXxZDguBRxL0rhtAoTHPrhGfDh6
9udb9nwn5FzoKWDwuSCZB/REPwZcFvw8BxrW8TlrxLCGZAIXHvEiStoAlP5OtEibMaj/7pRLdYpx
rK3cYHHoDzr5J5nR+XJF5GwMgFvrIrKnF+xBStdklBIOnJc9hOsGdP9i+vjAEueIKth47bsiZWmZ
5+fE7BJOEBkB8e0CbuKl6dKxX/vejNp4kQtSoTmLCIWIQj0YgODZWx9Ic1zanYEJ5kmyzL4NjYM9
EpArNuLYCc64pMUTSFB9lXPBtUjqUDyFOQaUlbIm8QRxu0ap17j8+t4uKHhk3XPAs22sfH7fAXKw
m6qgUHdHKqMgIXRkbcgWFu1EMsJJSDgBJOjwtwU6KJSBjUcFRPONPwfJkJ9xbaaP56aaCVAkpKdc
u30ZvWQIedP1VeLdj46WTiXs35t4dsOXoM6x2tHnCl/EYHBykwFGt2ttBwjC5WOUBFfuSbMblv3c
h2jGk959a+ai7fZOH7DLkXW6nMJK8fqqFPUJwHW+gPhb+EC+vijUlg6RBPlSJDeIw3kDE/t9vEXI
yNUtx6h5BTKAtzCOCGDbEGZiYxidGQhsAr/2rLuIbKlo1/XITI59M6bLKq6z/j3LaAqn2BRxqZJZ
iluhhke2L7IMrTvBq/TUKIJM/gMMQH797OkPHyy0p1eLlXMF5aSt2EuLEZIsNuc4zwlfy9JhEkcw
Scy90fAhosEy70m3hUShX9Hzh3zejYZnH6eC496qHbU3J5vi6GWSeR/oZG4OFc5kjcteSuG8mUp1
wZq6hXA3UzavLdaNEaPqLA/Upa5zIdsp3Oa2dmSkdkoLMvIG2163FnqDVWwXfCxVsp0lUeF9dPpM
GS/XdxkUyxAfCgXrAQcT8GMmUx53mUGxdBdKwCugSDoKmY7xxEDiEQyXx56xcY52RX+lTGH1NclI
VrrrARadQnrKJyVr/jlUKQV1EMYw3Ui2S/cEAGlzAXikvT8VrFA+ASAHpzSF2qVtU3xbFpc7MvMM
fU+RrlyvYtcIyn09jNoIIMp5ILU+n9c6uW7a9KG1HDomJw/s3vP9mKnmlQn7YCOtHETAfVphtg0d
stD7YFjXjYtV2rWMFpeQhbhiKKvYXsObwMZk+tEpI1rkhS8Tg5MWKT+gcehJVIbY8to7QxftcBnP
jyN3MTDKoNwtqKjX5hi7uDb77ktGKhQ1MZvOSxEW82PgGaRZWJIb25KT5MNwAc6e6Rh8ujKv7dVS
46tZ93huCSIOK4KeuGQjxH3geYcJut+XFgwmAs6qDnSM5ITTwCL88hjHmXMksYrrq9A7vEjfZwUZ
qG55wXL6MAmXJCLO95jXeyZJCAsECaHSaQjnTm06mkGSgMRT8aUSTfVQjPglsCXjusSTllikSmlY
1CTVV8cv7ZsILdQhGwPxXrj+ddA4+zuTJfDcEvT11Sbu6gmthDo2Jdkm2GmidZ0azwig5EtiOd0G
Wnlfr4owSPdK0OrAy1WcxVwRkRvO1c4MStIbY3P5ipEIsBHgvu6EatXHHZr5ylkxw7RfyUvrTj0+
enjhli+Ow4IaqnQtF+jQJPURsUfSmEaLf3bj9k56svxK/zpxtksgqa9n4pFuqn4O7jhcPojSAIoF
E86Wa7xznTgXtAXaC26S5Dia4b7XZ7hltMdN1+bNLRKGGrvwEN1Xo2Q1UURQpUYzPIiKoKB4Qi/S
h90S78chtc9Njk/jOWrs+gV3v3zkrH2fuGP7QIZKzLmgEw8RaNvHyu85rw1zH3xomaQhAS+arRkz
6YqtaT45UfC00Pj6OMBV3dezW3OGm6paY7KJijuMEhJAbk+HuSELYGis+66L65VXNgmUZzMxz1O9
FGsVESlw6RJy02YLl0iRScEgwZbQ2XASN1uoBBWomyiZPkdU5gWs6MHNdmY5DPQ/2gJ6tCGcYjva
oOOC2eyfrCoPXlMrNDu2QrBBQ4YZpiTl9zh6EDHWk519ntneTxMsm7veMj9PMmhvGw6HZCJNc+Ot
fZgD5w7G+GZ0QutRMW07qTkTl1x4/Te8/PKzCuO6feOgVowXzGVRfEJWmx/jIq/WkMQ/WWqJLkki
og0RUARuBGI+jz3i9QJ1PMdWeTN0tvEBgj5NMgsdH1lh5VdGbvO5XdJsC2vIumRpP77S+Yo2MUab
+7AJ3Q/zMMX+Kq+g/0CzIp6W7kR+axKxVm1QZBsXeAHuxneGacvlonPjePNN05XV53TonTVKiOdo
aMyb3JQvPVviNsm4T2n5vQo4WtmUdWdDuc6naYrtkmeODFERdYIuLx5IYuLjD3ZQk2TnS1pbjEpz
32JibAomk37dzDjskt7hEwYQ/hKIlITDcvZh8zPuyP+09maanMspQAdTiI9R5gBPK7ySAUftrNEN
50g3imIjmpH7wKLlmHBGYqcIo2UTOy3qAo/2zC5k7jMjFWjsSxA73n0Qyv6xlgRs4+xEyQNsAwn7
MoMR6kdasbm7aob42TNbcaqkkW6EPTcEzpEkH0KffUyzmjl4Rvmxs/AHon0qsFM1pnbx9x4na9Ul
yT3qNnuHjFo9mVKOJ9XZGtHBD45eTOPP9UfYv0QfbfoyvNi0fvZNNST8o+U0J7tc2gcypIkjVFU3
bZFJc/JOplrcDPj+L2nqmRsZeUeaIMG5zmP1bHYFo03cVy/JkHxithOtOS8HFBQkCjyPTdiu/G4m
mrrt7BuvKefDbMbWykH1Q5fV43uA7zDRTCrRpGAJHZDJqDyBK+OVPUr3mewLBKLsjgWjUVARZbFv
Jid4aUI++NjM8jHKah9+XhtlW7bD6RBkhFIQ/kGzLMLOieX9IYmAxxHpAQFuUTFsAYc218pM1HCa
pVPvJsua7R0/M9/6JZy6tc968561g/ctIPYNqaXnLock7IsvBFK1h1ACLC50aQXcFG76SNTeAmUO
Sr6O3UiNFtIdPaR1MATD7dQQ0xupol9DUKB/TqToKc/K8W7pgsZ+Zn9DFFMh6hrXWEnIW+5Te93l
RIYiRoy9hyI0bBoNBpl0THgpC6rJ+T1HxRXvQq+qeIBMakEO4/kHqAOP8VjMZwju3VbBgJzXWRdE
l44y4BYuTcPKq+z4E7itqka3lFFjOeFrjF3oYYlQCKzKONm1+aDOhHa5d22VwL0K29bAN+sON8TS
96dZtGofVOl8L9y+e0qm8qad2lMTLPOmDa0WHH7dfQFGQtBf38obMbrRXsbBC4XatPPx8Y6+dC7Z
qArsf2OeY61BF1XcwK1F+ZmGywKtxiGkeg2mrCbP2/KWh8E2m9/nvCyIcwitYoQBUhYrm6YubWva
u/kgjfKL0l1fI6T/SxKzpBXcpO7we9A3T82gKvrEZIPorjG2Jds4kky6pxXpP9S0l5tro7m6Np3t
ynzrp7C5neFer9C4tsMxn1JoDEjGyBrJs8R/IG0O001a8ndywoZTRfd107U7l6aIRDDkNtPHJXHq
tWPLIPbvUSm19+x+x75kB53+Rcjzsx4CQbkeoQmbhCfhOD+HKAEQZPYQU9f6UjrHyeYk6qaJ9bQo
v3sPpUj3f+kc/IMM0v15io2p18b/YjEHNOkI/ixSIXZPIa7r6kPFxODcJ5TuACxpLxs9bV8k618w
lDnOHQq5AVG69OwIoIowkvKWvNaClY8He+u1lSM/lHIUd6XhLWSiwph9GZM+3BJ7SQHoLFVE2VZ6
3bsZm3bIgR6y8KPlGRGS1DmXhxSU92vfZO4butmpf+wQ83fIuYSYunXl0Ub9DMi4ybVMkwNbHLk2
tX7MWSRnxXgqfbt5nQrVvevw7m/BMlaPdhhT0fdtx5/3LLN5NUsHV23M2cjQa6fJAUsY0WXB6dTt
Qvgg3T6Ia3lQ/EEJhaQR3l4mgul3J4L69XoWLr1W3P36S9Ddjr8qq0LwYJ5DpwaiAzrGnzWMORVy
5HVmfXCVPi+7acbZYBAFx7Vfv5CW7v3thbApUgY4YHl/vrtITnSMtuCFiqTgK26CEvFA1fL98Ow5
b11K4h5nw5lDCH3f5vU/ffXAtANmu9gCQzvUE+S/itQaQwmfYKX6ILOG4d2EQCVtU0X9WMhDPWPE
W3m9zyHAmEqObb9+cfGz9Cc0YWWA5AotgTfwb599ylwjwkBfHxgp89vHKWacAn/CeqqyjmOzIzw+
/OgopPgxslKUE9XAwa+K/eKA1Vk8Xd/Qf9ub/9reDBy+m/+9vfnxjQy8Ku5/xKOwLOof+6PBiTf2
NxZJ1/Nc1Ko0Lcka+6PBiULxN91Y1F1PFrs/PbyaVY12Ua+vPGpXFN+f3iD3N9juwsZUAOWKVfc/
YlX/uJ46HG6RSYQCij1iCYvH7MebHI5Ii5Fx8C7lWJTLmv11uBAm2XureWq7z3+5MP+wev/4PF9f
DOGcVnmHDqLMnxfv2J215bZ3LonB0b9yagvM5Ri+oCPTD5Ne8mLTd97CMZP/slH940tjjjKDADw9
F/XHz5kauZh7Im4vyB546VDS+hvVxMyB8o+RYjCzqgDyoOWGmYceya8/+Y/7pP7kvuXQog4At/HF
/fzypFbFVYiZ8VKUBs2jwKBGWZv9wNaTAs5kGq3bPb9+TevHJeSPF+VWcRitgl/8ORGwamCNxU1o
XVyrYtlgAni0So+uJhCf8KXp3eDspEC0WLsHtpKkH/p3j97ovjCwt69bMFf7hq7dfOgMScLpsrDo
egEpKevIHU1xGptIiU261PQ5OpQPyWYuKvpYv/4cP+bwff8Y18Y74wHEBT8HGgRTAMsaFOmFjiX3
yoDKey50Ty4AYP2Efag+zbnbvf/6VX80CfzxqshhGSDwYPD/P94wNBL9bHaluGRiFE8VLLY9g+nk
m5nN7QW4yPzgOo24c/2QtrBK6EL/+vX//mD6FDp24DNx5775+VkZw7ACNjSLi0dQ5UOqHxii/+b7
ePzX/fynveb6WSEF8GTpDY/Rw0+LQKT8vjLNQVycNJwfDMiIOZF0gtZ2ZNvdO6Qg5200Pf10mnSZ
G3/iYTGYI0JTSox/+br/6YPjV2S1BD5n/+2utRyjDlszMi9D3/KQOH5U1GerL80R9F8e/n88JFpX
xnPJ//y/SdFFkxFLYY8W809GkZVK6BNfO7eDb9anUurG3UiPFFI+d3lYLJSMYzjHRKMLA0k3eOCT
4Y3zQ0x/N97mphWc+3wMt6JnVpMkYzvxWzOeMhdr33QTYuotdr++V67un/9XKF2/QB9oKxI0toqQ
O/bHmzUr4mgIVCguERqpdrdQjR+u9w1CoOZVSlwiAGhY9xQXsAwwxMXpQunWqbA9IGmnfCAKm4yx
ZVoKuRGR2b0H0pwffv0+/2EV9Ek+oZ6ibuSY8tPbNGawJl7kiIuL24A2vW6Qi4YGuSDW86kt5L9V
qnoH/UsFibWWXs/VbYACEKHdz69Y9rGVkX3XXSY6eyfGI+4b2Cn9F5vW9mASq0QuEA3vKI2o7HGC
J6gAEEM9plAjG056qn+3IRjf4yJP96bBQ0AqOgunvieulwhSDpsXcoHw3I0+zXTotWcDxPLR8vlA
i2KA8+vL+L3C/uv3zWbNoYORpHAgb/yNu7GQ6+5TisYXQEOk1TdqkZvMN7IP6JZUf6jGZJzgEY2k
UVkuzCS0HGWU7ELQVBkh7aZtrhUdyLWVwRQ3y97fjVeAUuJ1g6BVSeg98YkuzSXTXmiBmMlkPDdG
Gfcb069J7Z6uTCamprRxQGLxZGQa2MQWoNlNGZMAJ2iqy6CpTkFXZmerDOq7MaMXvAlqiVweU6Dx
SSg/B+upii8m0slNQR2A5VQtC8AAggPfFXJdj6CDpNqkPfv3DTNXbD2tnTX3wHVRAc1X+JSjOVSu
D9SQFptvNC9DVWTTxo58/zHER2CiXgb1RjuNZsiqdGPYTqEX0sTzeiv4HX2yhM5fdn1ObBNEHqZs
gyOPVgsn/hhxOjlb8UC53YzRjYmy9FFNI5NMn5a9vGCPgamVkarqIqewkFqWsDmbe58Yd7lGTZJE
myCbwpc4Gdh2c+4Rny4J9KFahSACElRHlAbh1hc9YyLmmu5bFzqUCVXAakMJqMe9DbtAlyp+jKN1
kYBkR0OPi42h5kx/zj/Dw80HdmaRCAhgy3ceGGkUwME8u27PYLtAhsXf+WFNOgdHJ06TuxFH75eg
yj3mHVZi0oiEtIhXO76TlgP/FZdm3XK2mkxz+UTiAH7jMYASRR3wOxCzmuMfo0E/tKKdtdj1Z7Qj
7idESu6q9ZrknRtl/hoPUabHxnG1MQe+nnUS9RAZ4sZFlO2Pa26s0rQZCFTzHKwUapIVLs93pyXb
kEzRuHkC1kae8VgFTFNuqgrbwpNPMJcZcgPgo/Y3pV8GGCN7IE6Bh2/BDSOL/xfWZCHsB3VnYK9N
laE8gJm5CJtPRkLjm7ebZ5XcMGkog50BvndfLDAuavpDoNq00dmMA4ohVnDnrQXjBO6NGbCiZRUV
z7PR8Y2piLluqRRTsNEP9chMT89SxV0JY02wmTpVy+9A/wWNGjVjirJs4UulvWqsTVMGmymcuL2q
mMk90iKW7NSJL4PP8HK9KM95i5iYrOLUpF7tC+2gKCdcrtESvtBG7N47Oj5HWpssPA7rkO+U4baU
uHVpXiaMIsls49erVg94OXHUJ8q66GXwsBHmqqxP5KNZTy0WQf5QXdBX6RHgIcTxaWYWTghvVoie
fxMvM58JnZq4+z5JXHw9WwxcLo602KlXfUGqFGZFkd2hqGSJ4VwdnOO2DM+hT1L8H2QygxX1ukZS
wwXnyGUTvQ4Xozro3luyawcMJI546rqBv72+W0YbjM9s/MD3NWUnKa9uqu5hofK3eeHRAGFIx4A1
pqmDW1cg6qcyVHoUP0Lb2F5FA0PKccMuMgtLgMX23BM9u1G6elQW156IST4ljySvlCdj957W3AxY
Prr3UeroBUbYyAvy0X0LCnZRvJ7de1Ow27Zh3L5meUn1O6edergWCgv5nupmzgrvuzop6wq+2pY3
g/Yse2cMwGgs9W37iBDWvEOJyLi5jpBrySKvz9xGfHe03Cne65aNp6PXA1p3fjAzkyK8BtOLNCJv
XqNBUwFUjiZkGxHZ84bFgQk4U0JVH9tO8s5HfmaEIzkpRimGpMV0LXAGXarkC+P174cfW+/JKoP2
tsGyRrSyY+QtPETwL6g5ocxANXId0M7w1/ZsO7zBxkLJvdLRhtkW9Fj0O8ZsXry6PkKCLFKm57PU
ZRA7D/C96RI4EwlhYcd31EQBxR3/GMaCDbhyXNa2Wh9VYC6ne6EQFLAM2EePb/qu6mz/yMepTzYD
+YdUDYR1ECPAu2WKJw+MFcVdr29PtyrEnUnaL3hksAYEM4yUqw6T7+G2mWIjOZQJxng8VZDbVqAJ
GNjS8OLNgC6mCefkuhUngvBlHlP/KctJYN32rZnuUWBzj1w7UkkJlno1N1imvi8CWDzh46TAF4kb
TsMzsEv7SAw3D5ynX76ckAtcVQVFL5rXTBDAysRMHij32wPUdr7V1OrACLKRcx0mStCwSqMXWD3z
/axi700GmEpz3K0YBtLF8DaxyxMvZcc7ud6JDhO57jSlLAGuoEbffheSOHEbd/chnOTpGNT6C8pa
bPc7q47aQylpf6b9MkOV4zjagR/oKYqsYKAGshDxPiqTTqetc3ksJvz4oTKOIc4cCKRCtJ1xACgx
rljnwwLSZ6gFFQ3Ve8vk8P76CdmJqJE7jxVI1vidrgfeZTKa14Xu8tMYc0RNWbrN1cSR9mlo+Zc1
Dg572+sqbQGGVXyvGK/bplpM7qimgDxiB1cVB1nE58oKDCAmVgkfe+Ako6+abMY5hEYkwENL/XYS
j0+Rp5Hz1gw9z2ul9VMMKHmsFkU4k28vNraHAkWCizLxHTMZDxeuf1bHpJMAxhNueWTdeTQ/JGnk
2dsJGCZ8cxc1j4sVyX2Y5QSMm5kJ0hhDmu7bH4qVFOFNpTXMTGidY97WRr3FUjIVN+Xo8dPFkFjt
I7bqiYo9yrnQ8C/EXZpd177ZIserjgWLPKVIrI/kTs95BW1nfVr0Bfi+FumD+5hZrAt6YZWxz45z
vXejeGZbm3tCs2Y/Vb9LtqHL9f50rCHaZzQC9uTqOfmtPwTcIoEJC8PBpHuTxApx5/cbopzK4FtD
8A2zIznKg5HBbiy0yDsmF+Hpeld4ZJPS6iaRmflmxYPcVuIOlyyPTt5pbjdDJAFbwb2qmRbceX5r
0YTAYYq+J9Uf6HtbFc8pzBVn4r8pCiG5Yb0Xd1Cj5IFbTjy5iVdPG1HEPFl+1LLDoESzd3XDTTNk
Nau9nYoPMM1AbSYLN7UJFW7QIg55uK6ATk6WKxJSn4vdR1fFC3JrPC3+pJtBbEBEe8W2Ahg69iwK
hIWO0Y5ArJDlatDvNhuwi23tVvG6caPmh1I5HAkajmov4YxGJXZjPvegRgDAk+X0xiZzJDA7SS0E
gRMM93zoh7FKPghtMjkSXyjupKmThdyg1/qntOZuN0W0yKfeHShCYiMPX67i9wpjAZ/XDydoaJb/
OARz+QFFMxlrkbHOw6w7wCTH9SNZ2ac8zr7FNiYYX8MrbI8j9XqsbR7gGU0demR2JJVOy7qn5RlS
oSjvJc8U1zlt+EJrd1rmPYnh9s6s4Jsj2K6Zc49zeUTKnN3aTifEml2zPHKynw9arYL5uWmq26gm
5DmcC+oFz8Kl71Bkar68BU54nrvevIFHgmQsi3DAr0NEAnfwNaGjkMhYHI3aogtDl21YtwXCmsc4
s/h6ZNnw1zYUXCTbXeZ7OoDAh+yJVDjULATajNQ4pS7p2iSYHwgOo8KbW2M9tEiUrgflnAnDabJD
HtUwaRllmJK3hyqFZpNVUx8g5OGdztfNJEJ8/rq4aZ1/rakx2V2QH2wR/cDWR+n+EuHP1ZFlerEz
QYsAksgalryeNa32ZlRL9NMYl6EWPKdhzMysCcXdVZsnjL57txYVbDxba4a4nYCfeRb7p2TWcxjK
mNVq8VLrScd8r6/rZpjlLI7IZm2yAiueiULXm00UBudSgnffALlljZ6d5jUv8DTWPeueRJB21xc4
J9LIyG+M2t15sV6Zl6VmB+JslxwsN0m/OqNndie3GXjieu30cfM2PJMMoCuMtj4NWhVXEsnrHIm8
Nf0jB7a51w5TBqRA+Pd13w27Qkc/c1ZBSGjmi3gKAmSDsxuyKtHn4ZL4YF/pNUUWJ4nrvMpjyveU
0LHeXMV6jTvzPCwxm9H3ktk1y28ec+cVXbLS3MV5SRaSp3prxysnT3hs5mcwMss5wXz/jMQh33Q8
IazOnHaWHcpKcut8rzShvDmNcS+v6F3KaTC8trTng4WQ7cvQ2O57RvrZ14Kq8ltdzB3l9sQsmLrK
onPRmWehmb6FpvsiVAb0O1yhvy2YnnZLHkJ74yLguoNBFWzizEs/lk0fP3rU+PN6KPH65BolrAJX
3UG0i54TGI5f6lbxm9wrdTi9EoiXK42YARtoBggWEoNKOHrf513/nfD824SHwQIdz19MeL52/f/5
RxX795/8U8Xu/+ajNPfo7wvXsh0tVf9TxW7hX7XCgKnHddZi0af6c9Jj/ubZpiC1B6yZzXAC7fuf
RlX/N/g0nomKnbG35uT/Jyp2L/ixGYa03tbgV0cbaYl5YmT/Y5cwVg4qzixOoDz5w6kOKkoZqA/d
yValsykcrVfOB1s8MC9H2xvjskjndFNogUueSAP5FQCHnexD+UgvwcCfWVA24iTcEyzMjnnVzCB6
a3fwLlHSzFpUwzjFl7shGyKtJ3HQ3WDLJYTEyV1vM4bAo10t0WkjDvZBPiCTVrHEpxHEz6LqiNwc
XSINQy/7BD/zRVy1P5jn1PPSj7RqmaHv0tEwN71WC8VaN8SoDgnRrNVEbOgIixYjAn+JSe/Mj4hm
I00fDVJtXNKoybpNQkb3QaKUu10mVa1mrV9atJIp05ommPT2DtFpco+1DJBUuOhPjtS22zJNSTep
VkfBbELvlEyqfIwTl1RNraPCiJNufBNtFfvTc40ATVu5xtvAUbtgRJpjtKBCY9RmIEBTp3/MUY/e
EzduX6KrkItUEURdtRpgXBSBsWzw6oWQrEYspyzrKw+l34b3jIOnQ8Tm1PhdLAM/TjTbH4c8bw60
JekGoC8TQ/IhRmXAdqrgpm/8MYGH4k7OCoP+4px7BFuwCiqvByG09Kuo7A+YG/tnp1PIf5p0EVtj
tAg4zRQCONlVLt+HO5yBkR96ZHKp1ssNWjmXR/1LVOEGI5zmWeXKWYfKrD7rzOkbkSAGKlWQYJZT
21j0LqTMOH7onMrG9ecTPBhkJWyvq5AvLMrEXzVl7X2Ih867z20jAn7qj6+RjKwLsbjZ1o29+ayW
5mt/lQtWavG2UZvG9wuavZuZfUVmnr0GBTWfC605LATCQUJzo4uw+0/4gStk835+TK5yxekqXZyv
Mkbsyt1nc2qHb2k2MogpG/cEf8B+zD0wI0THDOiVutZb92PJJZuaUt6iHf/MbjvcGcDXttZkfnWq
8jOQkJosXLdqj6PWXRZagakKX3SbUqrgFcvI8LQYQ73OxqhAnhIh4FzoeJQH8yrsjLy6KvBaTdNn
xPy1uRGKo9m2M1pSUnOtDsWEam1dH+Mvx8/RJGYbHWmuFaVNSyd5PQsVXUYEp5MrXpcufDXlALSf
tqP0zZIoIy+lW+P4SK/2QKdQJGoZq4ueNY6arybHAxJptNhVatmrW1BXfUgKcnUqRMIg9TwLABNr
B78BX4jdJVjZ01PghdNxxihG3eyBdF8PcTdZt91VeBtE8NzIRGxey6swV2qNrjS7XaZVu6PW70qt
5FVXTa9W9w7IfFHRJcf8Kv21yKQqD0MkyhDVm8pOiBCzfJt2+CpWZBy5tx1BlFvfrpMjJ16xbZt+
Wnm+YWxE4wUfHVkqd9UvJyK+jUPcd8k+D9jeI88ydm5EeRuaatpVTkbrC3rxpxnHxabM2ukUpD5d
vZ7MD3pRFDudk69ymbkXmtL5tvFyvAhTUq6DMXcIVyzbmyy3weKjGtqPEI/Woyjj22l0J65AthB/
WZju0cVhcYta13iZYmSrBWgpwiLKomtoFsY1hbJhl7usOXlq/oRfloAxCujjvETL1uVPnQrXrG9F
YZOF5TrGLDFEtxatcZJf/WNOv4+VSrYXO5T2E3AELK7ktm4SF9THWjWLwuUc1SS+Fnn+ulD64LTw
pxMmrGzFAoGrJ8io9ocE7KYfyh3dPLGal/GuWGL1jS4KOZs04HdESAOx9tNmwJDTfXEir914foI8
MvF0mpFlDseoVAUtrEie02L4rMlAOzJEx0O1tBNPaUS20Kpvpokk2jLtv1gVu83Wd/zu7JRRuBtj
8RgzGjnYRkmUu6n5nVWQ7QvfKFeo8A5dw2lLsMECwgZJKWjmHixZmUdT+YJIrjw5ehMRwXoAfPL6
yVyxYwe7rjEtQoxESOK9n9KoKx4ib4G41cX+nmKdfKJIk0rpPdW04gO07g1r7yTGgra51dLuESVn
wjhvN6a2fIt6bdSzpdYuj+ht0sSUgyYGr7yARgMxM9y4ZH7fqL6NiJtqT3NZtuT7zt074vEZHFgz
MR4o8ETYtMiXwUmOcsG2j0D3GLuSbims7yGffi9LgoxNOmZbaMXPtZDJMZBdfBgm7AplFNyNInro
u8q+s0viqoNhdC/AQMudNLq7WGUPg9kZlynJ7meu6w0oTounsbiL/XLZzV4esjWmsWuuvLHzCKVG
UunkYChQUxJ8K+lwPDs5/bhp4Lo+tEMae4TB9TTcVGfG9RaLkpAr6wpJpqejsOs7k8Yne8w5zG0S
hRyGy9QMjU9Tp6HLKS6JBZoQhDTOwprLPOeiIGHF74VQh8ZNH11fR70t19i3Dvs14wzaXWusYRDT
Mjpt+FFxFahrcpw5kGFu1ZaRbBqy8T7azTB/LGtzvvF1+tzQkkPXKgOz/Fj6UFiFovFhevnE0l9U
XAMEggel8+xEyYoZ5Ib3pnTaHfVcdoMFYbBXrk7DC5YBpJlZdvhS3C0EtGmnrul51mDsux78e6eC
djcFLYjJa+BeWbG85vS8MJkrpA14bOMXR0UNaCxA2LKhaYITB+5TKhfiKUwopasJ18y0YncDuFU7
jX2SzVAm296SmIsZow1hwHlpNHcuBAiaOSqBi9D5AxaonIO26gSAkCXoxuF4lSUXSW4cjWseIecy
qDyIMcIPwjW8fl33S5vucpeOcx2EjBsTe4CXroMOyY3+H/bOrTlxI4jCf8W171C6Cz1sqmKMvcZr
782bdfJCyaDAgJCERkLIvz7fCLOLsI03kR5SqejR4NbQGvVM95w+B4ZOaLbnn3qzdPWZ4nGB7ptT
in4MKPJCihEZLCiLdw+VjiKohjWaimXqgmeEDeRbCN3W2Ugiv7islBghay3vIABFalvaF2YG3ToS
5yjwKBQyp3/U7qB8R90RkXaEHjtCTgfmprO8sUqVxLIDWoX9JaQxl3Dea99GSjdymsCeDje6iZxk
UklLykWm9QVMT3cE74eBiZNgF9bv4VpA1dYlxTzliQK+DRegAE/hs4LtNcvn5Wma20Y/g98t6VvO
DILUlQTW7yxm+QBCyevELpJzT+lkFkox06nEM0Hf2J9kJakpqU1fWIqeAVk6c9irxDfDyConKEKi
lsye+yvqiO7VyIKaQDFAuO+lxtbsbDTVp941FLdm3yjdu0wJoCGLxEniFFG0UMmjGRtbu0w5Qk37
8Ng5v5uJxVEwmG8Qq4AtWEsM7zqcl2VgIP1BVVDoPvFUDEXR0SkhWM7dGhqbEnqVpYvc8AoGkTP6
7mEMyZA9L6PM/Axu2xzYThGdxpzfDjhc8y7AkOcDe7NeU1NZFzelhPxYwlpxOo8K4OD2Au6HRTLz
y1WByJIRx9a5LmJgZomegKg11hn8/xsBsDNbDToO2ufGWnMnAJc274EkPdz04KL9kiAnaveJ5/M/
40yXt4irhHdTXUMrExFqb0iP7mhIS442RCAWnBPz9UpbTZ1P5kNW9AstQRqHwvGg8wBhAuycyaBE
1IC9v+YMbOT3+jHtPQtC8zI6LxBNvZiHnehyo9FUkXhhcRvT+cUpYTrIkhXKDVNOq+cKVD9X8HqC
xBqSNDosYhemEbkm8pn078IeAzR/oUD6ZYXXXyjofqxA/IsKzi/Yo4RLbcUGCrD/rML9u1ULgGoG
WGfoUDpVh0CimgXWVd9AoVoIqqT2//z/1fyf7rOj+T9n4iA8a/RUTvU/O3inZnV56eAfACqm0QZG
Dr+Dd+o6H6lzCkU0Rfv4j8Tf7pL2G6T8lqv07VS5YAfx1JT4HUScWg/IIj1Bxt9J/A/g2uCIbXBB
AJh1AKXk/aossEexO8oLXdijVXGTLydTGZ7Nwvs9bzwD66wD9MDVHNzgoK6QbsxwmWy4QW/ucOC9
PM09X6xvhMfBxCuovAr29gP5ojA8oM5BvposPcBgDwE9pS710A4tHTR/yJkUrSP0vmpOSVHBgNbp
DznfTHvjGWpfGViGxJAoVMacZIpoCOplNV1OQDP03CkJpTXTPPdilE5VAS7KA9HTKJi+z1P0oKwr
4G4Pl6H05qP0tjfXyiuw6PHotlxl53ND2EPJluHjnAwU6VBoO6KsT6yi8mumcEobaweKdgQETY8e
r3C5mi2+0KQyXQM4QdbYjc8YBOu6oI4oT6PcGKagvL+W4BqvwtEqh/mCPpXiHN6U0FxeuRl8JfbG
IQrqCGj80Yk1h9ZGuCxOe6z2ffD6lvnB6rjJw9U882adLwVtvlY0MNdT9EaSfgbh1mZ04YapkFuc
4n8majz+EKVoOaikmz7lQVp+DmQeZnKnRq4+/RiLKLuN/9mXjhs6CfZEo8ZxHmVqBBzaHChq8ubW
qpDVkKrxHrMQ+hk8rJPg7RvT69rAN1zVHFNd8FiEMYJ32487HqhyMKUOWhCKwhTC+P0V4pgTjv++
rTePf6f2C/wJAfVMyCwV42w/rtLeCxD3Z5xwYGLPCW4XGhHKsCBaqwtY9L4TSPm6oKFpOLa2TK7b
G+7Nk5dmwvEf2J4TTPBiBOlmXtDRYzV7Vk9nFVHXgReYChwfwbiusN7q2lbA/0VeYOAKsd7IC0av
a3s2CHiF/FfXgRd6RldRa9Fg9PgFXhhu+C/yAsQNT5R5XwgLL74RltGlf4mWORNQlroOwoJrd9m2
QAvLqUB1sYD/rBd+wlXfo2x/JsJJFV9FIJ8Lwy99YffiPf38MapcTt6+YXPzfZdUfVFt+7b3/hF+
f6k5qXrQex/uHvz+vz/+wKe3fnZQuz++E0Hqp2MUtKrI/zjMG39JlP419O/9pb8f9nhHeSY/RvL2
TW2ce2/BK4bl4sCu6pZobDelhSOqG4YDrQ3DCz+SvtxZUo+RigAvadMh9/0QFZv0gHVqu7o0tg1V
SupP4t0o1ahpKeKlaW4ZJtxxJsZ5bVGkQER0bmr8LAj9wk+DnSU1bJShWnD2biE/if88YTOdL+/r
opZ0vrUwC8/xupjUZ+F2iWjqmYsghqGsbpl4yOaoqeV3eFyInZ1qepuOav5qavhy4s9qE1BHgLOF
EHIJTjSKRf2N5ECnhfl3GU0QW6p7WbG9teCMuDgwSydPc7NXT2MTTYt6C4Z5+vl4Ue4sVfPCwcu7
PzxbsPi+ETq2BLyPcyGfuNljf9Pc9rUvolr04OykjeXl2k/LJ+p6GvuyNoYspT+e5TLIstqcNhCY
bMMlYjwTU7+expFgtPCGXwvFih5ntZlNg67iRmwaPa6FhG5FgsirxSYI3rSWrMd5emi6lYHHUXYQ
Q2iP73nNXXIT3Ke0VtS9bXA83YbptV9ft6hIqSpc08d4ExQn7/xlImeivqxj32vh7VH2h0Eqg3I3
VhWpyEj0loxfBxsxri1jGFdJXxue+R36op2lx3GrTKqx6TjNZid9P41ZKevTxXT01m5w5i8O333o
UVvYknyYibrHLWZLc7d8WITsSOpZDR3vXgtB9kMaTA8rZeSqzcf88RUR9r2i3T9Jx15Tjm1o/kuc
vzARKR/pLTzS7Q2eTkRlvoX94FHZj4a+uQ029azysaTW9OX/mvmz3bxTMQUudKOFtf63IEXcvJbz
mSzFLQTCZ1GrUCO3EEiO8540fIDfXoPcNrUv5DiOpKjt3GCRVszOTSfJt5ePC4+O+rlK0/da5NP6
067e/Ny/1Ytr6hvjMPDTX/4CAAD//w==</cx:binary>
              </cx:geoCache>
            </cx:geography>
          </cx:layoutPr>
          <cx:valueColors>
            <cx:minColor>
              <a:schemeClr val="accent6">
                <a:lumMod val="20000"/>
                <a:lumOff val="80000"/>
              </a:schemeClr>
            </cx:minColor>
            <cx:midColor>
              <a:schemeClr val="accent6">
                <a:lumMod val="60000"/>
                <a:lumOff val="40000"/>
              </a:schemeClr>
            </cx:midColor>
            <cx:maxColor>
              <a:srgbClr val="42573E"/>
            </cx:maxColor>
          </cx:valueColors>
          <cx:valueColorPositions count="3"/>
        </cx:series>
      </cx:plotAreaRegion>
    </cx:plotArea>
    <cx:legend pos="r" align="min"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noFill/>
            <a:ln>
              <a:noFill/>
            </a:ln>
          </cx:spPr>
        </cx:plotSurface>
        <cx:series layoutId="regionMap" uniqueId="{30C10893-C114-42D7-93E9-ED2F715E1D94}">
          <cx:tx>
            <cx:txData>
              <cx:f>_xlchart.v5.10</cx:f>
              <cx:v>Revenue</cx:v>
            </cx:txData>
          </cx:tx>
          <cx:spPr>
            <a:solidFill>
              <a:schemeClr val="bg2">
                <a:lumMod val="75000"/>
              </a:schemeClr>
            </a:solidFill>
          </cx:spPr>
          <cx:dataId val="0"/>
          <cx:layoutPr>
            <cx:regionLabelLayout val="showAll"/>
            <cx:geography cultureLanguage="en-GB" cultureRegion="GB" attribution="Powered by Bing">
              <cx:geoCache provider="{E9337A44-BEBE-4D9F-B70C-5C5E7DAFC167}">
                <cx:binary>1Htrb9xGtu1fMfz50Kl3sQaTAS7Z3Wo9LNuyrMT5QsiWwuKzyOKbv/4sSk4mkh3nBnNxgRFidbqb
ZFXt59prb/3z8/yPz+X9rX8xV2Xd/ePz/ONL2/fNP374ofts76vb7lWVffauc7/2rz676gf366/Z
5/sf7vztlNXpD4xQ8cNne+v7+/nlv/6Jp6X37sJ9vu0zV78b7v1ydd8NZd9957tvfvXi9q7K6l3W
9T773NMfX8a3Zfar83V2+/LFfd1n/XK9NPc/vnxy3csXPzx/2lcrvyixuX64w71cv2JSKGWoIQ8/
9OWL0tXpl68DSs0rRTXTVFDz8PPb2pe3Fe7/957+58WHOuvv716872/7++63y761xYcN3t7d+fuu
wykfXr/7qCcnxJX/5+WLz26o+022KcT848tna2edix8viN12zA/vH+Tyw1Pt/Oufzz6ApJ598gcF
PhfrX331lf4OpfPZ3f9D5bHwlTRSUsEfdUeeKS9kr0SouWDhlwv4b1p5VN6XDf3Hmvuz5zxT2+Hi
v1Jtl/fTi4/OF7/J7lsW/fecTrBXhhsmOGePioNe/uh0Wr5S+EYqKh59Tv229qPeftvRf6y4P33Q
M81dfvyv1Nz1/Xz73UD099TG6SuheChCSr8ZK415xaFSozV7VFv4VG0P2/mPdfbtpzxT2PXP/xUK
+34Q/2OOe3Ll381x5pUkXGrB9TfdDXojNOSKmy/uJp7q7Vlu+fNtfTuvPbv9yUn+PyWuP09qv2OD
3W1/u38AFX/Ia9//9reE+OzW72GTR9md3v34knFFka5+ByvbQ77c+SXIOd/bF/Gtd2VW/540/3Dr
/W3X//gyQLAUkiktQiU1Y0oiWE73D1+F4hVnVAkCiKZEKDgcst4eC9yjXskwpDyUIeEMt+Guzg0P
X/FXuJSGhnEjCTWS/w7r3rpySV39u1i+vH9RD9Vbl9V99+NLTeTLF83jddtmpTBUMM6NloqFlHCN
YN98vr0CdsTl9H90MbeVL7v8OPehbSJqCqt3a5e2046N3sz7fmyIi0KirTpN2JKK05rVJozV2g11
zCaVzwe+zlWxd9Kl7TEoHZ181Ix1RSJieQccKcOLJbHitHE9vXSyFKe9GCiLFpa3H8tG8dMxo0kZ
TXkZlFFRzlNUrSa8MDZxH+subD42ZE38fsy7rImmmoYX1DJxW/uRXlamCuoYqFGpaHAsbE5Yqa3f
d0Ww3cKTqoqLPFvesrY3NwOnWHhqSJBFfRfOV+kszU2V0fnK54yfJkVVJRFvZu3fpKwu3JmT3oVn
yujurgsJvS7rqkgjausgpnVaZnEjlvntUs58iIvB4BiNEV5FjKX+SCin10RQeavZPL91LhiOfLT8
wzqF89uaO3/sOHFdpKqOXqasxfkbnSY3uSrx6LbNmi7SJu+6k8as3V3uM0igFo5dZ13ZfORJS8Zo
5h6XiZm688pJebukuC8aUmxA0gm7nUqsRnjKrvPEuioeuLJrpMyMU4sCa4YFbz6WOcHZTSnXMRom
wi+VyKrz2mp7yYsgvwjHhEZ+yubXeZKNp9yZ4rTONO7RwSZPNSd5GlVzFagd7BqfPCq0JGnhd2mW
mBs2bBoel2F+C5V23c9qcct8MTXJQndzwfJqR7qyyN4FFcMR3JLjKc1o8TvsynKNZTlALlMeYI92
DsokmhYRyFgHOs1O2r6S47EpKkt+8qoT/FBWa+CicVp/tckASZCxNjdLOV31aycPS22ViMskS25W
1uXv9CiMiMq5DeKGVuy6FjDA2U6b1VYw9GIWQ3JYmhRPWhOG39om2JvdjKgnfH5r1YT3uh9hDcx3
0KzhveZ7s0h+Ggo6iNel1n0bN2kH4wtYaXfJyOB6emr6Oy3MlO5J39BLO7VwQm1mKNg1IWFRaNJO
RUXe1MtZnZsiiwtTltV+hImqiMItL1xjlDjqPOGnQT4yHi8Tx76zdcjWqCqS+YqTtE6ieqpgMQkd
urt5FliyXgPobtzsZDFz83HYVBTynp9Wcmg+hrTDw/qWZCdGMrPXos5OlnE0+0bQ5qNv8uTmwYSz
QEO+RefO3ebs+WakiRrnq4kPEMnE0uXtnMIVqpW5c2HzujgwJcwNoAsE17uG87gpQxjMoIk7L2uF
jx9cYiib7ERlC4S32AHKJggcGc3aj6v2/tjKprI7NSh6LSaX3AQ5GYOo6XLrorxNq7j0Gs6p3GL2
Kwuzk9LKaYymrMJxSCZOs26GQluy4KqQEBhYwOHkXTFCPokX9HpkPU5NVkQQwQg/1daZi8mV5mJt
FVTYZwue4Bqar1EZhD6MB91Z/jZvx1TvAt8tiKfpanakbPRRSU8OpMzNhWznYMcnG/hodgXOy2ef
Toe1Wwa7N3CKJGK+woZWjohVMTfZq6Wbm9dpPph9trTZCV/gy4VBeA7rIjD7ipZ4jlCVOC2KMdzl
PUIGIQm97mUzQIKVmK8aGHoWMVu0HwuStEdDu/Qk6S271hw2r4pySg6hzf36vjNGiuM8IETyFQee
iwIWFRgGRZUsoNcJWdfmLHVaznteV6U9q5I8O8nJmp0MghVrPE7QUpkl4rbLGEIzTRbYVBIKGPii
VqjVd6W8JZOBh881pdftsNDrXC7Tsit8xeuoIg72Qrve7F0NK53MCI+oVEsvM2fodVVR7CevmjTZ
j2azHE1Lt5yJ3OPxLE26u7Rw2UlmJazbYAm+2Z7PJM3PRTP440A1aQ8PNi+YwE2kx5lj1m72P2hF
L4dsNDeoezXOSbawN0607d+NrSzmA8k6xDff9eGutHyzR7N0Ydy0obkJ+ApFPoa0vKNZtWv0BFOS
SeiH0zzs2iBqRzH5fUMD+lYoeFdZFiaPhwni5eV8ePC4agzFzVT3M43nVnp7eIiszlmqTiYbtjc0
43V9M6XpUvwkJ444UYotStFxyk6E7eWtKSezz4e2ekftwOIwre9qO5tT3zRbMmjJlpyTFBHYlCu9
nFaJQFYCPwxx6MKGRrO1NbVv2GKXI8IPr6YdTQdAiAgIxdFYudWcV3XX24jpZE4hksyU79a8vM9J
VuowLvsgvUEq9ce6lxVUVBN4TTHMiLXwSb+zCDEuCiYm85i3Xt25urpxKfVnJpkHMkVLOM3AIdxf
MxGeOrMlok7V5XW2pM05ckz4ltaaJPDdkR98y7OopbS/BBx35yDF0ngMU/sh060so6VOfml7tg+Y
ay86YmTsex0TncMHoqGiVTAd+3457ezQnOvc+Cp5S6xwsTH9T3U7HJqmaw+B0uZtI8Yor/RVwoQk
Py2qbALkCVep5JRSVyGq5vBw0F67lZOB7RrSVDum2FrHuutlGqlW5HHjWHWktE1tlIkmjANR8ENR
s9FEOlsPZJinM5nboogDPS1jxOrGLodFLaU+Gpilj9NukDPEb815z8X6Jpx7fdblBmkum9tjNgdN
H1UT/SDo6F4HRNVvsrUIzzRLYL1UAJTY0O3TMG9sRJqZRXmhh3M/j+S15inhURfI+bYULv+w6OqD
yHVbXpRtJ961ha33Qd9NYSxWbw7hyMdfu8WbTzbsy6ibDItWGNm+lTrbhX7xhyXIzZGM7bhb5r7a
V2Ez21iIvIgG3uWvQ2/z5TXkpe7yPqwP6zAlyOMZ2afZ9MGYvDkUmfYnOpl+GZM5llmuP6XtvFxZ
udQ7WrbswAudR6yX/l1HIFZlarWXczV/zgd2HeQ6iejUda/DzK7vqnWRsdNDdXBLIE4SM+qLxmRi
n7bddWuGII+8AjLad1XrXvdrghBVVMAnk232KXDD2VB5esY6Hxylcd1pYQZx4fhKYgit3o9FK9/P
yrlobttwH5i1iHJErAgWUrwVbb7TQJ3BWtA3SAILIN9YH9IwUKel58u71PGY17w+sqDzJ+GWIfjS
jLs5NcNRFlBYly3Bxy6Z213eePN6zeW7IavYrq9rclX4PLxwS9l/YDMLLpaqKdsoCDXum4BdP/Vj
aYBLGFvP+rluT/Ksdz/ngO+Ad0M1ZrBvVlwzn4RHPfHgkqiWxMi8eleE4jBouRxyV1SnE9H6Niiq
n+egLcqI6rKKR++7Q6BhNtGiJxItaz+ckKSwsQyLNkbwT3erLJGIUtufjrW8a2wq9qynU0wbUm7R
ip4uuee3iSdNu0tcN/8MRLwHuvZAghmpd0tBin3fCnWdtIgoiPy+2meOZlGQMX0k3cxPKlsuu44t
C5RW0unCDoGmUcOH3AwIJKGH7HpJrsapKOk+laVfgMXbdc6vsoTOQ0TzSpRHvXZjeofgnx5sztrd
GtJmlwRj3cSpTVYfuZQnJ72yAQKTz9QxLIbpJig6FiLtJUxF2UDtzjc9KhDb7rXy7nXWwS8y3k83
jQrL01UtNjJ+KQ7r2q/7wRK8zXV2UKwkH6Z0DmHivHIiOMvkBvwQSKvMfDaGpxdpW13ase9+CqwZ
zisfvlZF3cVIXsn7amDkZzN1ykcDapf+rGjbJfupU81ATqtCmf4saOnKhiOiljlww4d22uc0AHJK
Ubglb5LeTECzo0MZIjMXfkzaEkE9yfOpWRC+F2KSSFK/8hOd526VMStFQKK0C8iUxqkkA/8Y2gpZ
lw35ouIwC3l60FMiq/OWeHxeOECuHZFVH8J6mPF7OQCDWm+BtuqpAxBRo0BuytqmXM4IXeerhU30
Gli0jKt2Aiw3AfDZHyr+bxTPfKuNn9bOqOeFNEqFVBFJUaU/qZ1H0vjKt/bYqBQJM3WAgkNkpsnr
GUGad/X7xpahOF0csuhu5q4rzkbBxqtBjKaL7DiZG0IWgHfxkKZpD1QdZMB0qViBJrK0AwRI3AYp
ttKzNqT0u6BKULwV2s/D6wWEwt0jRs6qab4a1q0oqZdmvrJJlubRmK/z2y2t3GZ1YS7qtQuLIpK6
ASD7vjiY/locaMUIRVHGCGUE+Iw/isPSoM2WUQcn3EqohLm1tmfhsCGvesbuYYfmYmHhGLyv2Ypa
bq4strVkw/p+NgrSSjkFWJJrUMZ5KfC/EBZ+zxrEx/6hWuWswfkmn6NoHKYhzY4uRUEeZ7oZ0306
tv64LhVWl6xALamKZeyiEPjk7vuHpeyrw0qtqdRgygnR6EE9Pexo0izgQVge62SsfGSWeehiq4oG
UAdtERy5qeq9mrv2thLFctX2YBhaiwo8c7O/qur2L8RPv2WNhAswhUJziuT5dEeBbIN1QLY/+jwA
2FOBmq96EEk3HYgZCCHYitaJse5OUM1PmxFVQT05X55Qj0Qad12zVU4oR74vqk3tT71EgN0MGXim
rVHHnpnFYJMya/osPybOwHor5/j80yrWoftZLOvaHkRlANpdLctCRVMBjPr9DXxDVyLk6FZQoUOO
XYBB/aNhTlZRt7I+PcrZhGmU1F2a7QZDE3ZJg86mqMmS5iTjmU3P+yZZ632juuQyrXt6HZKBXgpX
oPj6/q6+IRbDQy4JqlslwMo/3VTNh8TZXKTHOkCF1M4Ayfs5cyjdRnBIcZ8xFAhDtaKGCMa0QQ/k
d7byG7HrITY90wqWV9s/VKpUkGfLL7oY6nGFTJYSjEFO26UBMGvDKodC7CIDFJtTyK8LnQSndKtS
a1GK/HwUbcPeCLWMxRqRok/tsd+IpqZN6/zXLpEo9WsOPPKw4S/c75cdP1KXn12DPIjk/uztv65d
hf8emqC/X/NA8/773evfmuHfverk3m00bvf8om03vz8Lq3/Z3cb+PnnzFRX9J2TzY2/9T758wkQ/
4d1/I/gf6GQBa/1ds1/x0M/o+z8w2Nt9X0hopV4ZzTkYaPQR4AXkdxIaceuVpMyQ0HCJTnsIK/3C
QWv6iktEEsVBDDPQxl8IaBqiPcgk+u0U7mwQ8f8OAf2MfiZInoJwIjnaiZSG+lkKLZRF0TUH46UF
XctttFaTVr80nayHd0sQAjL/QTrfsPtvrSeJeGy1KKWemb2e54Yy+PTlWnnJ2mhObZtHxBWZdFuN
moLr/10b/xfraRrSMMT5tia3ANv/1M34lFBaj1l+CWZ0y3tFvhC200UJSrDuWo0jf3/BZ6BkUyFl
xCiKYLt59/NwW9Lc1+B85X1Ikx5IgjUCNX1MmjFbQVsMTXErAJO7Q90u3SJ2EL+0cxy4hHxKay/A
eDk2F/rMoHAadoUJ6vY4marsXpeyaoIlcsUsm0+y6PPZ7QKlypzHqdaC3uvZLcNVaZGwb8NQNsln
XvFWXaYKyIxHFd3YkVg00ldvLCX9VO/SUvoCRO8kq+qC6qXdwA9onOWcgfDJfw26EfDnL3LlU6QC
bELQ3zbAboBuMGPyTCuaVtlgUdzeJ5Or8/bYA8eLYynGzusjmh99NsVr1mDgpSQJuKrD93X0LCFh
fa3RaUGLPeTQFDbz1CrWnIedIiq7y2mx0TO94xKWYAwL2vzg5yn1/c7bPhU2CkSwNvXbSfClYzEV
q5r4GaqJuisi51ru6aWRIeipv5DR5nn/ThDwEHSL0bUy6IQhc8LPn+5xtlnArOfBnQr8CJtNV53q
9gA423MS1b5X6pdCkqQ//b5wnulmWxccO3plyIwm5M/XbYbFaRfw8C5dYHMqAsguu5+tSFgN+JJn
Q/amTjAi1UfWOrTO/sJ/zFfHBlahgCtGyJDBh54eO5VjFpDZ8jtUqLrlKA2JkrdwpKA/dWumy8ss
oI6+5kW7DO+LDjwxam2blRDK9wXxNFRBAegbilBKdA4VpMGfKaBXGcmXok4+J2atpT9xbVMlyz5I
qs4sJwvKU2jl+0t+ffhQh4AjaDsagobzs+gIOiMpEaD8nVATvPywULXS4iD9NHRin4WJUL949NgQ
ODulEagdWdAk3I+ZI830F4bwDNBuAjBEwEvgqBz5KXy2m9SAszBNH3yymddVgA4leACL/pKzGLAa
plysIs6qbmFNNKNfil3JjNjhfdWofInrgPr6vals5etdK51nV2Au6u7T92X2FMcJTSknQhABwhdJ
EXTxU4MBDRWiRl3nT7PvPYyADAWBsMg8cWCo2XOE/YYV7eY0/eS2l6xJh78rLErRZFacKIP2sEBo
e7qNsGVdv3TKfapLGSCG54he64ROG+kXec4TibjfpYMvbqtc1oiovgE/JY9hkAdjEbUW0XaL/IvF
XXW2luO5mIsGvcLvi4s+tzHM7HGl0RIPGTSM0vnpRmc+1Y2pV/6pA/URVPu875pyeNuufdbU8dQu
aIGC0qxGfOeWtnLLLizWJXg/NU1y2hlf5mlcrStZzivb1j16WYaopI8HSYLySlUmXasY3fMZIZEF
+ULrM7IatB3jIkvQU/sLN6WYC3gSKBkKXqOMQitXKpR2zyIGLLNux3psftHSyVzGDQk3ZJEkgzE+
pqvecE2yPEbPEq2QdqNaEE4amoT4ap56rtrDMPG/dmjxPIozwDcDR0JTG0j/K7Mo5qIDW+CaXxoP
L2r3vANB95pRy5dz3g0LxGGSsVxvKjsvi44G66fWxgj4k7pK2zUJjr4S+Xrjg6FTl2GmNoAwi7Eq
zUkxyE09ruMGJoTSX45Xjc+L9WYtVTEVESnLLWmB+Q+gIFcbiw85wP96E1bzDN1xmS946VaSomXS
yI53B6WHTXcg1DIAjPZhedRtwTJFoZtzPAKtDoKdZ0G9YYO+kVVxO4P6b5uDGT0d3wvu1v7C+yLx
ETqknlVxkCbVfEwFkuvHOqwTcTOSkcLINPjE/NexrdF6/AvbeB7CIX0NhhPjO0IryZ8TRDxZ6pSa
pvxlpVXn02hmRKPtOrnclacbk4ZA8X33eh6NwL8Iwijy9kbBfLVi50lnp4pPH/k6bMY4DWILf6zT
BZK3QpNK/ZLkfIURTmzou/S1RmCBnX5/G1t98MQpuFaKbUMlkhF0X/gzp1j5OLSBUdVNJeqq5+jr
DjK4d61tEY1s0dV07xPtsrdjF6aIOI3F8AhaDT0bMWyi9VSOUc/S9rxMQvUe8w1luKBtQNV41YcB
wWSEXGdMO8wzmNCciAStKpGgxoCzWwI7dKMFujhN8qLfPH8Ukr/BpI0GJ8kLz+fxr0iGZ3Et5EhQ
26QO24qsrwvqQiW2ntpOfxiHmgDESu8ZQOy4bnYL0kyIo6UTyP5oLgzHS9o/INtANZtJg3WeWPI+
QUsA+2VthgLlmDWMbyGyXTtCD205Nl12ssqlgNclU7VharqEFbxTowX5peR+nDL+Ru3CnkW2EAgo
RNpEVNv4E0qeheoWbdzV5TX7EPaWw7f6Jt020Ad82Fz3wY/Bji3YW4JZDLg4YuUWUnzTItEElgLG
01luH7m26IrbEqS1OGYTJizaqF0mpy43fn45zzAohMcsaaW6QxFozw9NiLZdhwGGusFx/8I+n6FM
HM1QjB5TuAqRoCufHa2fC/QiBrd84Om4RaretzAtkJKZ+9yTsGB1tPSuXW80q7f8WAWOQiGzqsp0
2a+Von16MDwYpg9AqR7imHTOYX18XBFN6iwwMDExlc0W3QaEzWPGmglhrQciwYJZnxC8Q41FIYoq
FRBF32sb9NuISw6XsGj8492jfLZQWPyt2hQTZwrzoEDaMkQdT76CunRaweKoNrgeK+0QHR7hLbPh
PBYxKkub1n8VFp6lo21JsVFemMzAP6Cmp8mf5A4QErNV191AYSH90vcwKOR+yEfkjXByn0yBm9F6
LPkCgZdjUgOyIOhBSpOfy/6tVl2Y5IekFyGCARxyvPKYX0YGqAI4PvpVSFRf1IYxthqinMuwhq/A
izZ1pMW8KSLIMwy1xGbJzXhFXOWwE7lNNdwUqt/q1O+bnDD8aUzE4bckgCBB8ecKX1dUgINdkJJ5
ubYWTeEk6gcMXcXJRJL8Et1f4Zd9a71qwsgwZnIbed9m7RkpBz7LCMMtbXDu0yoQr5PKah63k5vT
z+imk+OUDELtCl278k7k5QqC2akKfyOy0nJ6I0ZK5nUX5rWRTdwCP3bDYZpkOF6ie5HMDtNnpKIX
nHhqdnXtDY3zuR88phXmsF3zyNajF3OczsUIZxhXPy1lNAcyF/nBMAw1vVdlv4g0JjMFLY9ZtcnS
BPgtSfvT3mogs1iv5bSuKGthis3pXCzJELVdk6vDaHTKd7IK5vV6Uo5lN4Mo02THRc9ovKA+dUuk
0r4zO5OxqUDTqEyPmvF+1zoyreeJqQk5oROGAg9p0IWW7JvCVeLDIse0CD4YR+b5eu5n3r8Our4O
rpAx9HCHsSnlP6x6TGsXNc5R270z81oWJ0kGduOwOhFWLjKF48zG2q/gRz/RKg/rO8saN847mMrS
3puhnyYSY1Sgo/mxT+pWhjvUAbJUJ0kVFOrSUB0UxcmoGtaV9t6GNe8h5RkzoF68XrkbYdIr9V1j
33FFekX2dS2aRp+iK5fZ8qKWc9Gm+3xM+2m8mCSGM7JDIqppkFdJzXh7qnJh0/AAW1G8wMzcSpDW
yy7MJhOlgVBtv7OJX/PldELvzWYnmLJAtsEM2SQQYMcmG+TPmE9UsjuFcUxBEk8csAUTLw1Ql4n6
BdNH6k3JtMZL//hhkGWYJYmIQVXv49V1ov20Dq1h41mufJOyI52DQOt4yWUx6JO5zmlVRlKMW14k
MshwnJRLJJXbOVkUMXEurZHpm2Vqpka/zZMgn8qDLnjAmtNiWEw4vlE5l5mJWmM2TkL7XtriBmOT
SbCeC1F2kFSwtAjZrxG1WyvPA554XV5gWCyj5Vv0JvMw2U85AkG6dxnl2DtC1ralZQxKwvYYEFiy
dkeaIvfok/QkkPXPDBOhWK/KS2M+DGnYYmQJdTAky8IhQwaJKdq8eAj2D8gStS2m99hO2A6njxtL
a64OuZ02ifGyL/DiOtuDF6z0FvLF2Kehjs3UOxjAWgNvnPQYNcF1zeNRMbyzQnxtrvGDXNIlWK20
dOMWabaphzbCMvkTLedNzrUwGH3aBUPgoYqgLkIr7jFwYFBxYJQUSCueQrroNs5CK4cAGhRDO9z0
eT1kNeQV2NWd2GEVdH4d5nrbcgZNN+t7BcvCChxftZ+SYN4MTHlMhI1ncgnwWWmqTTTjSHEpUmzY
TtjDWHdYNv5yHu85bz+BcLP4TM6NU+8LKRLDYzEZEECY/MNYE9l/sZ5k7QweqfNgO1zSLw/CGGA1
Pv6CcY1c5faOd7LAvEjmg/dfRB08Xv6bkB+vA1PAiteaNRU2QOvAjp+KTDWZP8lqvuDQLcNwcxml
jKcZeY8CPHUmko+KcuvYw9RQeQ8+Pa2pWRIZ0cKOi3pjqsFBSiOrSlzCGnBsPgbNkWCApyDLBnrT
CqOU8FGdkvaTeZSga+BBiGuPZ7IsQ42GWaBaTfSIiaatOiePqn00D5UUJeSDSV3csZe63A4/Y1wA
dopZqW0ZK6zCh4trMcT9YQ0yMfRnOCnfxPtoSCvGPbFLHHJ7Cs18h/vwRwsc1oUZrm3rjwIN1mnF
G1dyJ/Q+IBKM9unKpJ6bk3RjtMh+ygb3v+ydWVPcSLeuf5F2aB5uJVUVFFCAMRj7JsNgt4bUkErN
+vX7kfHe5+vuE91x7s9NE2GoKkmVuXKtd2r2dPQL8Fb9zPdbTIHdvVl+1rB8eo+OlZvXyHT8e6RW
+8W19rT/cKcs5Ee1a8F2Dbi3X38z+lk+PyPYqrLi2GQ7gZx3jpU5V7JfA2u4cT7WSlH20RCcfj/y
qJw0l7MUjuRNOAFaPrxUheScn6xu881nOrcynFLVGRDvidlngg9HVIXNMR0qBbZZARgA2fA15eN1
0Gb7dh45X/k3uY5+GR4lzeKynp2or5b2anBbE715FblVPcWiz5jzrcga+ft86Hp+0DR61aXuRv67
/mI7PHO2gIo6sPzqMslBAArAcPPpVp6104vfiIUpQKzbvvbniFJeHhens6kwyKKqMTxUNUdsfViM
RkT9tRdxVC1fTX8pqTdZ1bZSXv2Gk8uhynV5HPOKefd9ddFIO1eqzHkcJ+fXnunasOKB9WKWYntx
kIDNw3OHOnX2r4aPW18QIvOIUMlvkjuS2dx7B38zLarcoN398VkQLTxM8Kp9iX/gp2EvZ56ANdr7
/Q5FYfNDs8D5+64ACjXiotrAlSP0ok0UA1msfn3nKEvzF/5q7TPs5I09iNoHyLJZqHLEcWw6Lezr
THQb77F9QG+CsRzUsPNcCV4qLMnoW9fMTk0yVAAT3g36ln0/De5cAMJnMhwolY4vVs68fqXSlEdm
vf3hjYWzQwX2GEqw+LJqMl4Oa85dfp1pz4RxnkWvdXGJnHIHKduR4+4ukMLxh0cXGGsVB9Txxpof
/Vl5VZ8CXUAXxQEgkP/NRfnASM5hGPHlbwaiOXH0m3o/NmpP7MtN29pi8X08SdS8INFOYRbOdEad
WYvgUSKJM540zTSowqa6yP9GvQWkNWa18QRK19zvQajGoPj/5r8Q0O1oLvxOO6tviFXzznpzl8qv
Lr7fqVUcXbvtB+OPubDKRRw40ZzKi/sK/NtIwsoK9AuI5CyHz2bWlVmWCG91cjjggN6m+xFNxdTZ
6NBCoImTluNUR4lhb7182dzRRgM2cjosDPtII+kpg8CLRmtklddlZCcT/2gEE9p4mKkl/X0nH99l
p0oA4sTznHW/rV/lpqqmvf5Fa7ZXE7r/ffMWfb3/RfMLvRelvf+bZ5kGf7Fm6/6HwgGdQEc/Nju3
UVRCsZUzukVx2YbVUoeSjbrvyqjef/N7ydJTUokidCL86gMP38upkSV6WbUToMjXZvgw5kE2t/Fs
NqDnKB5EZF/PXbPv8szYdjiwhyfih0tbNlx3m8n6dk34hwu45X7lkJO89PcHeTriSEO3zZf9MbE1
RbkFqAcbNbqP8qNgyQ+gscPzw2owqm4HIXvta9dN6wzJoojzzh+Np7HwFPc8zLB407mws72Ny92F
zwimar+s8deGM1rJORILb9w3ubJ3mhH5yLKvyUCgOipiL++buj7kZcVuPH48EHDgvejJ0N9bLLe3
jPImtx0EwP8CfP1loAfLoT6wgm2Km2/9DVbOBzgE8Gr7KW9bn6sOsmxhN8y4jS6d4e47qJoAXvJ4
Krr92v9luvvzbLd/vL8TJwiD0YH9jefV49Iacx8AVX2UxhIMmKtgDmAn/fNH/QVoYjeZ0Nd8FpAV
//V36O0/HFszIslQ0Er+zxox5dK2SaeE694HEZwVFRkzAj/GouQbbl3t8pX9Lo7/fC1/hvk802T9
hBbsto++gHX+F45KTI4NfFtmT9HugPtWeNbej/c9vu/D1tI6/9tz/vsH4l4FOPAxwAEuRn/BFWWu
TauqTfGpWxoOikxy4l8Hq6TM/d7Z/3yD1k4y/R8adL9DsFvTC1AF2BZ01F8+cKmQ6DRD5X/6XTHm
fNtB+9V3Vs87LojUpmOJZkg/jrOzlmk9Nns9dzSlweg3l/PoX67ozyudK2KUwpoANYrjAojuL7TY
irh7Dlan+1R9bKqZvo49voxSUNeLcCr4CnJ33IUGkcPhQGth5PuFlMrpRnwYHZP90aud1jPjhdKy
JpT6jj9nfwicFKvDPJnMH3yW+iiz/3wTO87zH0+V64ctQfSEKAWWEXjxL2t43ZZCb568ChpDSzS7
dR0433zN9/tvK+bvH4XAJIRwCl0G0+CvxFgt7HodMz+7+jg5J49hntu2u5of/3xXf6GCeHcEBege
bbQetK1/E4Q25pCLclHRu1mCqv5eBbYv985GO/U+/cwhxsjErF1tB3GA85LKXdE59cngNEvwXM4m
e/ZfrutD0fAfDxzIjUeA2hetFzsx/CvrZprQG0GR9ye92WbeH2wPFT+trOnaY/tHvzXwwknbZ0CU
UVyLjaErxoowWPUNhx7SoCxppQJAubVdRnjzoRZelrVXK0es117EUkhrWRNhw9x87buuZprAT+k2
3aGuEKUOidmafl+j9fdArG4dvIqO/xB90GLSp6d37kVTW91yJ7N8ilCejJNfWEALJYqHK/r1AEFc
ZaBmb9Lf53xg8LI8lh+nM41uSM31f1WDj45d/nqac17bVEAmrP00nSfboC9s7ZB2u7FHHjedij8G
Fwf7EW9gfLQICo6R781UobUVseyH2triptdRU6S+CqpyjP8HOeg4fbBIfPQDvxoRCKqZ57t14X4W
Bt0EQEOLLn37oMKWj6wlzfl0NgH9iyyplrpnLAEWr8rq2aF7jHBfrkPkquvSN419pu4nDVy5fowz
0bz2TpfmyLxBLwEyAsD6uMyHsBWJMbbZbNZx5yDCsR+iLsJohHEBLXP32VujaWuxggGvNimtFALF
S4tVo/U/FwrQNktZ57Dyx1xjlymT2qJ3+2NlguvDs+cvs/3N8pZ1CC+gT0I9NpgvpH0oGwTdDJQm
Y8eAeQYjkn1o2pXvNp0Xe9NrbBoM+FNCh2N5YbK6q5hvZdQP/RbD6s4FQ2kUaujFIjf7k2tWw/zm
m7VcsSK49K34v4Km1q8NAIYxxoiyd+bqdyfbQStn/m1YU/7KY5NXvj3SjP5qV8CP93ZrbYa9dn8s
jepXU9UEiE5pTCOEJSqetOnXWFx7bGxchi0lVmFpTNFnamEbPqkmMqojfubMi/Msm5+8tfDKdC1m
cSrcybkqTGe7rnHIXAEItJ8C7dvJEnn5JSiGygR6nfRnwaK+crNdk8vuy99KrarXzCzadEGSykhX
OcOJmRFkxm68m1CZ31rJdmxm5d/6c6HSwM1zvl3T0McyWNxD2RbjPdaqwTzQ3A6HcMUsxor16/dc
jU+25aob7RrZTT31w8HrQXLRc2QYt8YozaM5fMT40UGPq+JH0XcC6xoy5tVtmtQTUXcON7s+rqKB
TG2U5/LW4dokbtkEx5m3vA4Za9700o4n5APiRxfJ6iQXq9riNSo9XBFm+6RcIO64AunosVW22fO8
bOH3ymg8JuKx/jyHdnEw7cE8u2aUF3FrGM6tC9p11EPf/Oxx5zyCwRXIfgYn+mHBmDAWWMr6NNll
XhzV2hgHq6+HT/3kMrdTCtIeUfbZ6bFNxF6NFUkEkcjD12Kyo/UaIn987223tA7tqAamhQLZazw5
XvgzHLygTg1h6HMdweqnrjWUj8vkSMaNur3x+sHqcC7m7Xez7NXtErjmTe9b+woV3k5FZtN8XugK
78xATteAyBgzpJPbaUj1+2HNM2bGDadIzvSpjK+z6uafnWEsiV1Y2/e+L1sbYl6hwtu2npWbV6hz
ER7pMVXbLJezP2YdbmZLFZfVCijETCY4LJ3KObsh9tIz7hV9tNVo33hVvcQApi/evL6boxAX12L7
TP04pCB0ZhFnSz0Fqbe2zsENhuaicld/xUNAa2PCEmd9PEqkBBJvTeap2Bgd9zsEbxs7dtWcWubt
2Dbr4XGxGvnY5+sgEzkM2XOXr92rXlRtx90yLomwMArHJdcHcRkCXbHxlnxL3CWcHyK7z6uk2aby
OwZOvKWZWb80bdHFSk3WYwQWf63s3VOrTXF2iwYfaegvtyWw+QR672K/H8QQi9HA3pqN2a0fGm2B
bVFG37VBT52GtDll7JV99+DPvjxS6H0/iYotuBqsNn9A7oJEYs71s9026jRhRjyVavK/a0c8z4yb
z1tXb+GpU+6Kp7jOfq48kFM+BONI/IG5Pg068kSs3Q7iU2YDAQjTdO1HUp062jkrzoI+eo6aIXpz
FuV8LrVo36Zt2n6OLPB0Clr7zoWfP5mcFGm3dMMTbZoRe3Mz3eIflt82HLAnp8I7mzSgspd8NV3O
soWKZJZFCKziSf8qgN9IVN+UJ+mN+hmJlMP1T/bZMhvnWPpOT+yC6B6iJtdX1lpFT3Wtt5usL7vD
ElBymSbr4tK45nDWozs/NL3Qn3UYuu+OnCgOdrdOF3et2TxAQ/eWM4w3iw7m62LG5gL8ETYngfk4
ZcpEqAh6EF1vhha3QuT6Eft1/hyiwP3abeHwmQM/u2KzBXebZQxIgfziWEXCu4UotnCd11GVhtva
OKx3jfUvM9oHCZL9kC2twjGmKvOoZ6Ik1DC66Pu9bbvVkTveoPeRDNl1+zlztqimZteYdgMZXllQ
Z8mkNvc+nDIHgFsbPwxhI+W6XT13KyIM0gszQRqMIMPhrfScKRgOJklM1RBXkRK3s6GyB8CK6mK4
a/NSDfo7r8nASwvrpa/pYMoxKC8L4Q1+7CmrOEetsr+NhhjnpMpn8w7FzPhc2NPUnXK7ctwkyq3g
hsgBHR4js26ic52HKoUOdbd4gjZOw2irg7jchmiKa0c0l9aANr9ZjS7gWfvmPOjbLprgS6xFW/N1
43b1vbO4xmPQRIVK/EXn7SGPlP5UZsVUH2BO1/ymLjBFp4ZuPISFQljGKZj6fvu0ho0e89Peephp
1C1t1UqeWjtn8iwZbXWVWAGdS+LVo5juAB1KfGWjlX2eg61dk9as/FtUb8JKZ4sW8WZgnh1ePAyW
oaaOaDV4Po1T1qDOuZoGPzh79mI25efNWYWNLXzpzGg82xQ7k/QEgPVTV60N5uCp98anCE9LiZAl
qyIda0NkFW5YN1qeCgfxCcZ2t3psV8vYTjPzWomdt7PN2zkqF5JLNHD4XVBRTlN0ZhsGlK04lzj8
E3yM8jwY69KX99Vq+NHm8Pgbc6lT4I5a7mInZXv1/TC4ZTikq09ahw1O3bfshxCWMBmt1a4PrjVW
+a3MITnjugEtTbZh6ZrYqVf4k2As5VVTuB4e29mb72QB2piWS7FcOZlrhakfmnkAslRq61pmWsHq
jV6wxvYMiewP9nAxvGgJkroUmHUDDMIgWkBfL5Yy9I8pojUhGGS1T20rLAd3VG5j9qaFy402geJG
0TUTYOF/wuHaBjRmY7gWVUIlHfiDFhPxUrxThLrQP+SqUrGXddYSHWSNISo/KHshbOTOMiZ/fIYT
rcVV2YXu92yavm1bnj1nufqWRcorY8aE+mlGInEQodAnk8PDpEj4GhYp2G6q1a4u2inG45TrKFGd
2sjDQO2o4rr26ifdVH6qtb/GY1i41NdpqN8x7WzHoK1gw7JF3EHUhWZiLf2MBZPDxn2IiF54CtDh
6LSYgExYDywYJP/F/MNqlXxUHdkyhz4Istse1/rT2PVDdhiXbBLXgK9ZEBs1pvi6LbvUbrrqKDvh
oeE3rUM05O2NFJ5xZ8vFvbEV3F+b9XDAEWNRatti+t6MwXjaFtuuYjPgEE7NaOp6zP1+e0GGN6MA
1DN5K/1sLkknszJx/X5ScWTVAikmusLxuve5ucMKVvxEAE7xQ0AfY8eFpko1m3KOt1XqC6c8h39B
XkNalPQXXIL4xKlTHMcg8pMRa/hLWWTWNwCs5Yj2JTq1ZlQfAxWUD+Rk6GSq/fzVbOpnMmDAJRnc
joEtyq/tbA9t7Dlt+9UxhT6ThSCWWOilDJMCjPEslM1NZyZAcbFMCUO4c48rfTxPs1W8y9wJvkmR
Wa/ScubbCQI09VTXXjsgry9g2Lbca9qiYqc0uztfCIe+leK4L0L33ZX7kL429X5qL3b/1k6hURwq
v4BPBJNt/evGIyUg6XWxDFA2WwvmFsyllZCWYDaY4IrSu6tUb7/leT7I2K64hrgkIChMJO+bgCKx
JvJVede1j30uZYSfKk2vJbNzjeP5i2JqyxOpHMf8xsFLtlFkhPN0ZQzSTwdVGldF59nPO/1+tLZJ
jjHOa3XveUv5Nk6h4nhg8jy2o0BU1ArPuYUB0zdqRZsR64yW5nbpR/Um7WHBhQdaN8XFVC3vw7Cy
V9iUzGmjAgz8gV+UX0JsTYemnJwzWG+G8qhY8HHt6sufLkpMcayDfLhxV+Y3Ajo8MaSV6AzvYHQ1
0llyTbyXgSydr1gml0T2Tp9WptGZl3EOrCdIqjBCXEMPF/vDnFenmabqTPVr5sPS5XlJKxfReiKG
MNqLQzaOkYxiF7Sttempgyb5iRSVHurfTdy8xuMmp2OG8qGLapmUkiZNH/YxdkoEySU2PbXTiO21
IU9K3tukR/UpU4WQe/ARORIq0daYVevJMO2yce/90RFhLK2ucL5XqC8Jf5qMcCnFEd5JLuadzFu/
jRKm7cUlBWnL635MAg5cb01zaKCwikdE0e6aNtMqanmzhgJIJ+lHBjD1UE2gVk68oJaOxqMeVVe8
Zpl02yyd2SqwEZhanEbH09K1/nDM6NWa6xH3eP1H3/XL5B1IZShwf3odlNWTMG0ojJNCbzQ0qV4x
P5cP5agk34NroDoaSwTBQOkYqDW3/7M2osDkOfZls6aRIlvo1dOenT99YJ6G2nH7oYp2hNG2xKJu
CPzbGXBo951OYB9uwY/MFebin5Anb+y3zuqj4uuoyJjJ4yac181gshXl7HNEUI6HlzEHUAhvBxrK
5WKWkbm6yUiERCdPGyQR3xZHXtmWb06IcbBOvWoY1+bGGbm9LSYGFWdpgnYE69+TM3iq8A8+es/C
OZvj2K0tcp5ioMdhdsi6o1IhUQyo3dpUIua5s9FE0bqriIq5RgVNVOieiiGo11UBZpJk1BUJyqSx
molgaBa3qA5qRrgSgR00bXi70fqFB2FUvoBMmkSk8Oe7XeQegnVz3BP0Wf2iwrF6NhCpDLiTMcXF
7sjeOSDaqH+YjaTLQkSea6LM/J78A7zmDU7ujeCwR3w34/pLrH6Oimx68BCZXgGnFretKZxE2v54
V1rrWh+UU6N5miL4VGVUT2W0zME1oRhbEDuNWt14aWbZnPRgIgZcQjU3eFwm+UNthCBQWl28kz7n
6JgOzrZ+6gtjXmgQjOpAB8qEKErleSftu0Odijpc3oxNLCvRbdncWZ9CWUgvJRu4edcmPHDclxOj
AfFOE9OILq38QDuh+6sx9+T0IzOWHXGho7abZJN5dsTuNAnjWI9WiMbF7qImEabbtgd3Nfsrq2+D
r9VUuQCWgbCzNgFQLDwm1GDtL3Xom2Nqm944vKIgQH2AFBSxWoI0optokCwbeQ7g1iVj8q5jt6MP
v1vgrZYYA3xwCKRfnY2sb1GEj0SwKCRqqkYBYa9jn4aNF8HsGEN+Qv7PFxMsmRE7SNSuMP535OQA
mL1t8P6sDRE9jobZcp+bOvqWIteKLzt1IxHu0Tft/NNAAwR4WKrs1qAM998YLuf8MShrvXddjl1c
0cH4Z+0GXvFGiXTWkzO55ad2dsQdasPsR6Ytnnw4bwuqLzGCjGxbscSqMOfncPHGh1lXObeAGwyS
NahbqmlQo/mXXvTJAj4M0qhs52sL0KJIZyQmX2bHxY7nyd69atyyROWnvadOZO1xsBvz1de9FUcB
cr5cVxtC935bY2xE6wWvp12k9thPeKOqBp15RFLRdJ2RJ0GZbzZUlZmYFy43qnaFAdNwoppgtY8Q
LdCV2ISLPs2IaqH07iEDxHGpAJWek/UdTUGz9nfOqMbbzLbwjptepoIjegL1eV6CAfHu0HCXkOrB
N1fnGK1rGvD7ztg73p7g0iamp15xpksRoeqQXZGnHOglAibgkoetBgGIN18p/yAndGqpY9bFYSPD
BYTCQ5WG+qJW6eSoP+aefBlb9EsyD976NaBaTDfL0GiVVt0Ufuo9PYx8nIcR30Aac3YIzbpzKmHf
hHklA9Q2Yq1jbYnoxjBy+w0DvDwTiNM/IHkrE6RU9nfMJWODSzOI1qTw+lInwewWazrOa0kakg4H
QRJHEVbUX+1UN6Vlr95x8GfvxRC5Wi4gV9IBDGjrNa5UbX0tIoQDcY2e4dIi1DAPweytDAWRjTmg
EyRcHGqrzD9Lb9FzwrlJV0d/nuaO7sL9ufn3szMDQzt2Ky5hVTuvHWIFctvG6qvT1+2rHkiUyYsG
7BFhInqjbGLJV/prZsxmRm+1GIlB53GnR1wyPbjLtyYbjWtdsqlTXcjgfhiH9jx4HZYJHchbcIHg
yhBm+AJiXAQsg8x/U/bmHBbX7D9NerWviXsb7KScwj3OpTFrFCgNEE/Q9yHxhnlD0lFk0DgRSbKc
Gs+eqk+YTotUA26lmqXuJp3jjQfaF+umWdscid1sveZiXV4JJSGUpR9NHIieJBeoEn+gzjVT13OH
55B2/2S5wnprEXK/mrzEi42FB4dy/hXrSni3wJWf1DSw68LxOzrf4UGNhLzF4dCaFvtge4gyg2wE
bbn1ifNAN4wZvZOGARoPXn07d7b+UgJ2pOHCoNIRtrmRgGW1LwRAuE9l7rh14oLqXyvVWBiJESxK
x3lfR9B/fZAKPEi/cUDJekqhkjEDvTLRtrX6pN2+db37geAXqnwfhrvER3f4suHal7WsO7gGeLv2
3l1RpKynmRhJiAWnNZchvzbHvC63a/TQ6/AsimX23j3CIeVV2Yb14CbC1eZgpOHkEStG8ZKIQuDa
kBmUkVX4Zop+zdpoG0NzLRItfW0u1+O6gGLGvr14R9dt5vCb3zQDRaVTRHOS0hl4ueml9HnQ/amx
+lmGLsRFqoSqlzYecdKKpZhNgxrc9VBU5qr9aXbGGvQp3C56t0Ov5lXmSF0KoiGHlLy2XYvNGuyg
QbIy28zucXLCgRGmcBZf65c2nMVUpvCZIXMfzptiKS8EyvRjm/azH/rWwSS7p+/eRsIarDXmXVSx
JnPr0pLFG0ks3XQlcBuWUQJivd+J62dmVJ3ybJmC7stoZJvtxYUIJb9DUh74yw0hVgzMN+Xai8pP
FjMKg+n4z/TcnwldWEMECybU4W48xSa+G/f/k9AHKgsHE7H9z7pVO6ExfUgyHK/R8Lp9kLsjCqrJ
XAz8AkUJRfcvF/BnUn2/AHhtvKaEycISQgr9+QIKb8XKkxXBD/lxAfWHUKImXZIVZ7TwYh9M6f9P
c/i/xq//ZyqDvdsC/jdB4G95Dvey+p63NU6Ov73od5hD5P4X+b+YTW0HJ6XjRSyX34nC5O/9F/Sa
HxA1bMLqhPzqfxKFg/03v2xoyCb+N8zBcfj/J3i7x5h4lv114f9TmIP3Z8cQEgj6BAR9EcE4tuWQ
fPDnlaQnGTaLb3Vnl041ddzqOJA8daQjDh+9vMlbTobMoBHo8807SM0k85wPXvmjCnx0ZlgKUBY3
SV1HhTghWnb0Z+SB1U2YRUX5MPiN/jbpIvjqbX5zzq2suhnmEpmDQYAMREZRn+1FyKMvoykdprK5
LVVnECFMAbojEFBtp3q1Ttm8TUm2IeE/1oRSRl8nJA/hFWgbh8DQrf7rNC+kB67oWolhK/Lb0m4H
9+D4lLwkylRYfJ8GI38d4e/rq1a3MjtyREn/lrwwbPtHA40Ko44pi3whYg9gb75UOeENwTHsqk1d
2r7ndvOFwIEkaNbSFVcDLadeDjVyDqM+N8h/GFQ7G7mYBxdOuOEltDew41hUPE/GvLUeSd4SuKjn
dJymwEqsXFjm+zxX/bwdZF5gXo+J+vIIIWuw3sikHjV+tNgfG/inJoQITxZ6ZljHPNw610o9TDhb
In0cEczddMU5+oSQdnkrf5BxtyKqBo9H/ZhOWVsgX7SR7J7AwIS+BPVgXJso9R5MOuuYI9+J58nV
cUm3dp0bxnSCPbKfpOGPBCD2JqC21cyPWFS8ox+p9XugSnmYSfhN1p30LVoiFaewlrfaKJwT3oL6
mlTZ8SSbqeM4alofUVc1Xoec98GYy2NdNy0Kzjy792wGlymvFk6cTKYwiU5cot2+6rdIPCKpr7+I
xhhULEUVoric1H1V+s+4RrJHh4y/hzmfgseKKf1rzpCVZnCzZ80w/sh6aAnibIuXql/EQ2W36xcg
XorzPI5gGuBmoN1FcIkiKV7oA52rJfeNe4OInwENnhEdJ/xtt8IX1Qn3dbGlqCjl+qK60IuJqPWf
O6jEJ9hLacEncjqhSe6cBa87wWJJS2jSdaNt34+joa8PYAfDNWyqPtF1ZC+Oap2baAuIO7OUN38m
3KFf41BpUWJJ0dUf1uz6yPaDjXBIwjqbgySpK15R1j1gzA2u9ex9Lrsg7cvRdWLXWYJbhpwsi0tc
4Q0D6jjdEy1t4+xDC+m6hOUN5cp3PSKnfoR3b150vzSnSQTqbbbzL1anJyS3YXjmm64PqwIFWHsV
3m0cwo/C7/Nzg+Dwc2Y52+tISGp9jFAMvJetNm8MpClATp0TnHENRkdcYj+nqBNXlmd2h3whhEiK
oHyKZDi+mn5ZfVnlVnxx5qFAG9qF8ktnNFE6S3aYbwxgz0i9DlEwD8dC+TdYcf2kDovqVGpnvW+i
xjvPS7/PJyuTYcxrjXurBG7cvA1LluebxUODyGcfFhZ06xkd/mQRtJZ7IV1DMRh96hrdemjnUSWz
mPP9uQwIW6ucMdtM8DjPZ9BX5NOrZ7+42MPvB0M/F5t+KpUR/Fi8FtkBWLEJbT07AYF5ais/B7p0
b2r61lsTyjj2y16k0LHXkdsHd+usO7bG2D9tVVilBAu37/4IwKHmrX1wSJB4wy0GHmgZ1RJH9axu
aI9cEHrXQ/xV2W48192abluU3bkYur4OnoFEmYxUAtFNkAHL2vCEAQATXvCdnr74Wc0ILPqpu7VH
MR88f15gZUbn1SZ47soxAuINl3leb+1Fhakr/bmPh8E22HFubl4sIo+PurWAowBi2kdZ9tAmarAI
vIN2vUx9QUw1ydwmOd81ApcrOx8WRm8Ud+DNs/M0DSJ8k3NtAOcV4NKokQm1hV9cP7mGIN6S6Mjv
I+HtN5EvtI+fc1dXjHtId2Y1AmQwzHu4FJc0U/zzn+GJ+ktAfiat4+iQZ+ugLSdGM79ua0R1sVqJ
nTcsG/C+6CVL1INEMZf3jjPvkzX763VmiD7hTUk1LAUyfKmiExmUy60x2EUShSp8Rxvv/dEa7o9C
dTZ5Nwgykl0dDqVYHjqS29jkhryblzy8ixwpb3Oz9aHMt3dsc2DbZtXG7rI8t6Z+WhDSJKGlgVcE
mBEGkPxYWJZ3Mosteuws3R4M386x0vRzf5UZ+aWSU3YE8xKpbrT1BdzaPZUkMB7Z7+/l1oSfiJGY
k7yrYEwRV5Byr9V5LiVEoRb/zd6ZLcdtZFv0V+4PwIF5eAUKNZHFWaSoFwQ1EDOQQCbGr78LtN2W
3bftuO/90B3ulkVRLAx5zt57bae6OK2RRo5sxkvb6OmRzdQ2z9euOpB4bO+5cutdowfTXQ6Y8Hs3
YwkKTWFUHHts/zl1E/vMd7jszAnWQ+sIzARV6dS4yTRnX5lLezIaJkld6vNukXqO5o0Kw/jRHtQw
Dzt7mNWr2ffZrvJb9mZe+UVJ42vBZBKtvB6vx6lOh9CVU3Zn+12NX6std3AGMU5Zs3w3GIFitLnh
sQDrEn/AltvUL/c2WGM2oVrymI+GvHF1Tx3w4nd8F3l/O6Zke+OC5EsK+LsGxttn2mkarvrcBlva
TF973a6+dPM07FMMut8JExnxwpIq5LH3JfOrH32Zy5PFRI0IWZbwSPinxPGCEBupexxzpZ90mIe7
MTfYxyAhX69sjL8FGIl5dmbaQTmNFtpMIfesXCzAsgWmF1V0BARTEQ9dFRwtu5V7b+bkpeF7PpRm
Nl7ldUvUtJrhpCpD03Y6uNVoxoaFDi6bb8qZCL7YMJOH1IiGJXOPE1419h2X1Z4EKyi8ALoIzH1r
ON86XdwPzCsAQhrUqmI98IjWwoVR28ixRGQZyn0OrYP4rs4WR29vPNHfe7i5Atkd1qkeQswF007P
mgcfAeUMEDTds7bxyfJBuHfzBrR6lp3lWqXEG6sLEQ7tIZDzdKjcAd/UUkCHtep7rWzuCKBne1Vj
YFlbVAC3Wu6DcTB2rECrg1Si3alVNDsmUx9z+mAcmtFaeQh71q2mwBnzbPeelM2eby0SSM6O8aNL
XC12mLvDHNBtSAeBw4uszHgfWMP9ZBrBt5x9ZOxpXH6t1I7uPDb3rjYS2lWQgEYMZ5HO8vk0131w
LBoWlGm++udaLfdYzr6QO/30MSD8d5b6h1nKcQKs8f95lPqj/O3nYerX3/XbLGUY9i+G5duOvhGW
HN/hC/4+S5nMWTpuaxYSHzQNRp3fZinbpJEHP6wP0A0k18eUgwP2o50FnJ7FF/R83cegjU37/zNP
/cVPjIQAHYyKmM1dD9nTtLfB/ServyIXLLphmG+ayYKyNLFVDFuLFGZUetPIZecs54ILsIx1SIyv
qrXHT6UtZyIlQdO9/PTT+z9wEMaf9xQf340Nq2xbF+iYnN1t+Pvpu7GhypZBNow3ZtfQVVKuvKAH
r0UcnUfVBuE42cOrNwrgo33tQ30lZ8FajcymZ7OJ9JrvgVL6LV8jQySoKuMT3nTfOCyuk/wwiIzO
/7DX+AB7/uR63n5+NqF7sgKEY3Tf/ItV3s6Reck0qRtC0Wm6c4l2f6Lhw7f2yltaBzrSbBS73ENP
XD2XVxnYaLjQ7DQN5PVWfWdAk0aUa8LZYesBcaxoFsF32Dslacm2yO7KAZcOYpHcYTALnmXWXRED
pwMhl5p7yftsrA9//zn8+8fAukZnzGYkNlAh/rIu8hYNMUhU8gb2UQAQ3wc9bPOsF6Fo6OyY5j54
FIlRff77P/bPSyJnY9wCstl4t1yL/Nf2bf306WMcSG0h0+am8WkEIOQ63GCGJjacZM9//ydtS4Kf
P7XtT+Jhz0qMpV3g+X+5zkRDSKrDp3SD9dV+286tFaUU/gLUWmSx3pG/jCx98dsIU+NU/9NF89fE
B39LtieOaZOuAaP41z+e0AIc2M395nWlAy1rcN5KuhOrA8lrGSOmwC3X+egZt7oJY2PZej9QYwnN
B4t9PTPE65E1gT+PCtzKn3DgmNYu85flh2DK3OkaFq4IJLzdHx3LXYd/CiH8+wcFRpPHBtEK6B7s
Ff/8Qenu4DSOk2gXY0jqtxwRgrYirVSNHVoLQKLzlOXlV3K2+FbXjjwiC9I8QtLx3pW3ri3lKqnH
OrsYf+S95X0fHZF557//iNlV/PVDBgTCReQiTcNvcLwNlvHT5eT2fq73WHkvhU10KfB3KsjWw4Zo
CPZqHAYydJ1+P9aLM3CsyDxMAM1Bmr04VLYADlV19YMASAlou5rSl6mo29MiWVILpxOf8Bz6u4SQ
XTS0BW0LKM/ITEkhm5tJaBJRCv0iTY2gCFFPCWSYY1Yf8aZVD2aR3qV4DeewGrzuRiXdkzJrzdq5
o8kPMl9Mng32sAK/nfzimhIZkOc6TpgMSvj1yio5iCaaIWpC0kt+0ig3qMNp8ZnyJ2aqtZi/CYmv
c9A1DxWuVt4+kd1wAnBoPnUZ6M5D4mmA6tesTL4GMDmwgzSd9mWo8STTMoHcgjn1ZHRB9T0fhct9
b9XlY04rhheO7OHPPTN6tPBzQBkxg1u8V3PM/r/bG8ZsjHFF2gnz4wS/IBqZ1uJaWrTtiOCWLqNU
33GSV0deNeYUkcN20Um86vNc69mV2Qfi0UHdPwxBoZlk/Or1zXdbyrb0uVj3rP/YfSFQvGFTmt6J
kwgnIvyhD2GTmswesypabo5pipd0HHwGwISjvLLqY8O/Sm7N7lt+0LiRWRoVTEPUORCTaZ15DW1V
JZGltKZG/C4hpJNwup8sw97lsid5UHAlsWpUUyAPs+XN1y5ibJWQy6IVqg5xtmEc/J4lGa0Gr3LS
5k2IDXoe5e03c6kLZcHAV8Mg9BtVKvIZCP3deiCKohI8/Tm27sKs2kedif1ULBa8+YHPIMHcpgeI
0ayJAEUkCe9DVZVTF4NAS/Wor5g7bzPKinBpl4s3ZRRcVIG6dqWyuKKmpDWYuQbehXtXy4rkduTW
cdOoY17kgrMguO2bKu+DEAED+TqecXpFWhJQDkdJC7FSgjtbyRl0f+p6poqShVgmnAr2TpNSSeHT
prBGjVnikK6znnl5lEsq73AWENds09x/14aR2oSd3pqKIIM/+DcObsrk3Fie8uhfaeCYr8tRsmLu
Mf6lmUfiVo7Au4NeNvkehnS9HHUpaxE55kYT92bA0oce3oYW8bGaL5qoYeBjrWFE5D+6xr5N13CW
U0jxUrDxrU9WH6iKvaVyH9ZBWRiVsSUYV9mUSa/BqMgG4ECXi2A3pvCVoBKZ5X4QfAdxq6p0jX1j
XhF3ikVMl9onixBzTBc9KRdjOPeW41S7NLHSYefB5BVh7knOJw041vUHgl3g4kVT+PQgD2XdyaAT
6ogqUroRQZDOYh3J4LwOSYnCOPUiAE0yFXZkkSelW4uYnHalJ5W9N0SCG5vaFU/EBjzF9pTlBhVS
ZWAzR2z/XmgESMFcPimj1jzlGGjwfmlferTPhRA895F5Y6xgGKk9G23Nelq2bcuNK4Kl3TVohBdn
aHglpcTH+A0BhiRrDyfGaF5XowK738HOmPdyctb8ClSVerIL03lz5m1R4BtcvGTmyQzF0l2B5WP2
AJZfWTC6ImS2+KNUq5omThZFWoyPSGDTV9FnFi6ziWolH/Ar45Of8HWcqoWU89HEh4/Psu+lcown
Q+HWCicXGE+k4IvMMVSGIj/22CGxJXv4P24/qsIanX141BRFJw9eJTN5Ny+28iO923rrsqnhG2vx
rxtXvMGCZ4RKru6ap2S/841gbk9KBol5V/QkFB5Mvwns02wX03BRs9oOnxndfA4b55mFXM0f3bYr
KPfZrNWKyZ4mnbDuKRGceD7xfSHS39hOw99i6AjVh1kJ+T0KypFbR1QpvXQNGBkMqAOngpRf45lq
qia77Qx7QTe2BPuaUzZt1Qw1jRMyzPWhw3JJpNeKl7FjZcb/ZtPF34gHCIaz7ZysaDbCghac2TPl
fgiJhSKUGSfv29RsKPWZvoMHS826vEo55hZXrYC78ejztjjIRjduuiDtXgEDut1G+8jNc4tiMlxB
fkT/X3qvwyhKZvQgTH6smw16+VayeLmbB4lFhsqzsXyZ3DqVRzYx9Tukie0ZkneU0zEH+Fack+yR
ewFd80XTk3rPBjHFimPzmFt62shyEmRX+PsKZ+eYvUkEvnJsXkeZGTyz1aKboTIbbpNVS6zgZFMR
1f2oeSAvZ9/gkopJDXCNFA5mtT32NbYTbCa6K6MfTDdKgkqNvGmtUefo3RVf+oBIlrZwTD+vgeqN
70SE6Gapkc1GEggmX2qujS1YMpH8PAk+linSEL8hOo2jusyLhzFrlF3oe/Jo1wjEx3XaAmN4e+V6
EFXZtpfGnW1Wd5if4qxr6vEqBUmURb4j6+yJk4j8zhaXxwiPTjmGZcaWjfKP0e94CyzdY4VZOv9M
84DlU9zGCWz5JBS+dL4YYYo4AwiVnrVETF+zVNdGMDDSLU85ydl79mbJeujxI+fxr9V9uakK624u
q9W5qV2xmZ7FqLsX28hIcy2cbmQ84dEm3ug3+ebO9OqtMlFWsTHTJrcbK8INhxWaF9+qPVNHtyQY
uqJEYDF+wYZC0VpGqRW3Qx48c63X8o5tOPTfwRQBIIyaZsNwHl4hHU2+EVIq531ycEVPu4mcqE1s
pYLH1iUQWnm5c0XHIrf4NBkc6OrILVW21x4CinWHw7+iS3TevHv5PGvppew1Me1qiVWSdoZ6UJeq
Svj+e9Aie5n5ZUaEUNdPS2dz3y8ooFTbJZl3+TiV/neT8g+bFItDElPEf16l/Kmqemsl+O13/C5J
W1QYMxJy4oB25WHq+GONoru/MKOC+mUMDcBJMgf8Lkm7vxCX5pfAXLNQoJn6X7K06fxCM4aDgK3r
EKkDCgt+L1H4bVHxdyW3BpPFn6cN6LeObbJiMG1jU8HNv85ECvGxa1sd8AZWnlHj0SSr5duHnYdb
EyFJM1Cf67Z88Cb/QhXK+Nkdi+5RtLA29F6eh4WgSkdY4fJh9FkAuySHcdsAAJ/R3gbPgxPntnp3
tP2Eg73jmByxGg8ayr1t56VZoyWBSzmRVuPlHtgEuT7h5afzKNTKteXZXCohLgh1ukdSZcRTOIfo
2LDpYQmXhU31U6rjPhZT33efIBoqBDwmzMo4Z8HsMomiFavYy3Rb7rPKNsVZ2WlOMIWOTV/fMu8L
1Zc5hiHj7LUL2hOnwA5lqzValsx2MvsHoM2LcxpywmwJhKPcK56SReN4SHdXORI4pkvmrWgS8Oxu
wUNkNSVvs5hpXR+pbqK1Sn9EiiwEPnoafA6wKbDckYqV0eAG2VVSYJHHtOdRQDDqRTGCiSgWf+e3
xbFOW/E6N7mqsS9a6ljgTY0n3XdeF/xLIa1Q2TGX+WNaYejnUVTA5mraY2FOzyRgrUOBFyA04D8f
OXjTkEQ+L3shwsLrZRnzk+fPF4ZujpPD8CLTmvNXtdn9ZlT/Zgx4jqfuNzUnE2/36RW0jIxwv4Ih
tjAels/suGCCBkZxJgX3Nc0ZeqykHB5Xf5CcIbX6MPAj1SxIgrQr8V72MsR+szlgl3gY1/zZrcx3
2qTV1SpbCHFlerNmHeGdQb22tTzXY9scSyDYqHrWbl7JTMoFhVIIuKhQfe4Ir7VhaZbPgmDOjsBa
SxBn/MHK3L3U7prcTQF6OIMY58FhgDpqJTsYVeXBHm0KG9fx1gQHBY4NsTxFCuPlOGbXmFb7i68m
M/bAq4C4AivYzKsT4obKIqJM/lfEtZGlGB5YP+sQPvtliUXnaA/p5mZuivRHYiXtraOpR0flMzA7
Tv50GuYb6Tw/NiVK9ZDrbmi1W61M4wx75Tv2iedCtu/p89oDQrMjJ9MCAInTj9ahOU5lWMPR0um7
TSHRRRAGvrYIHNHo8GqhcCZFN6zljjahOpSNosRt1cjZ6SNvPE3y7jPnJ8NpACdV5TM9wad1bUCK
SQElXmkvDpMTJOC5OGedA5JI2Pk7FKD+y7B6UWEoug4nuwzRN4E0MWlihCTaceW6ijt+wDuLu2XV
3ls8KQjAlHI4YctWON31xbguW3pQO5qlPjwsxjh5j5VdijuX8FiDzxNMlGC/urfaHMu6l3gyMojO
PTFOKyRFY00POQHgczOkfc3LHXLejgsLqTuZ1LehopZAT8bxDm6wEY0jl0UajJUR+vO8fCebqlOK
6NnLeVA5BYFqWiZ0SC4tWj4ALJI14rsFoi0n9Q58dsJdS45/787DkL1jbQ2416agY+LWOzHdmBx4
XiUGQlrlOFyue2Os9ausCWoIkr5ALdTMg05gllXYdPKWgtABEJ63AlIAIbIUPcUaMRGLlbyy6KwY
Nbo6EFyhedZfP8+sh569HLtsVWhv3FIvJnmDsOEIFtedIofX2TfEkMtdX3HybTRCUNIn0mWK/LnG
twq9VDj5xeyXEbvEsFq71aiNu65OPiFslwgzgRVcC7tqz0bAgsCzxusRGfsBt6n2yLrcezNrJ9+l
ZdABEwh64hhpxm2MB8GME3pmGW8XnXDS0sZkYbBIY4a8YVZpIUblzb7V9OXQb3ctJgOX5kjaRpOO
FbDG+ZmhZrzD+sNBbpHHydAzjjibUtT5q8/47jbsMJbXZmidow0c61tvyntC/UyKmIeJGPiKjuxN
j9J1LTat8WRXRAPLwbCgahtCvSetDQJAU9rVMjjZ3t8UsAZyVCzamY12ykomsQ2eB/5ykyNO3q6a
Pl6WnN1XswzeLm+Qwog6cmt55hCjh6WHLMCRD5vCj4ICzgWG5QNr555nsLoEA08t8pkLmFo4jTrA
3ZMq8Xm6ONXD1JgeBoABYem35Cg2+ZC/W3Ds5vkAkjM4kTZJotaYOcq7Qf1t2aRIXbMUkUnkSSFL
Cis/NMvAN+UTtq9gZ/nlsuvsKmAJ350CLeB8q4n3ufM+4Uhu4zVAd9WloBd8CVYM39uJvZmz/TDU
81kru+90VV0qlQx4Vjg6rxO28Mr0mluTkwkGBT7YRl+K/bTJsOsmyGqbNNsxZYVYvnIqJ2mv1Njh
EoQvqpAMKM+7ziXmiMTbbGJvVqovJqi4K1pv6BFdGvCU1rTgGiiMa64BeZCbVjyV5fvgVsF+FuuX
FD8tiYFNVS4WJ7mwCUpMGvt49BMj/IpPfIqAYPR3SWkmUbYJ05MNbyiraLxw9fQVTfZdBN0PW+XV
vnI4MIyz/VKT2Y3qUnbPlc+XWnssWALh/J0kNy5tWWCH4iGKPRuVHD5WcR+YrTgxWKKf0+qzn5DV
hzphHzRyd/GUGl98Kgwjml8e89zFV5XSflnMPs91N6++mptmX2/qPbR5AKejRzid3qC9LNb6Ggj3
FIPetKPRWr5KHNrhiBcxnAK+h4moVKwHnf8sdXO9Ky0J6rdZgTOEmTcQ051Kwbc/qrJ45bYv1YXS
IP+p8xx+LyLAYz+Q1axmxrsqSO8H1o53DkSqV69wHx3XJUhYpTc23sKjNfipFc1ZIWJHJvygszyz
PwVOOUUgc3v8IX5srwnEjk562PSHkdrpdfNm5O4Iqzdtze9OMzfObuFz3mwN7e1orOqor7N3ZN/l
f5lKqb8OeEIgQqnbVbe0Ih7HbDwWTH63Tu2OscECuOHJKtSIJr1EgTkGG1YNlpTQ64cOk+4DnZkk
SXlqahwxTLbdji2rd9kjPG43aspniti01af27kEIw+GWaVwFmE4GKwsGk9f8klqP2J8Jvin9moaq
4rOkFulrk3bnaqKWdFe0GTvG1PpeuZJQq5ub37AxYQhcKRYoQREO80l8eIbyMiuGHfu8+Zu+uYvE
h89ocxwRO/YuY6ZVB6p07/BkXiUtC8MdaKF2PpK7Lric3dH7nqQe+0lTereBcvIXB0c88kTu7DDi
VbGTw8EW0FJJIBBkZ5lntQ+9Zfc5cWZd3sylSbG0nqDYeUoMGADIXtS7cZY4tjbvFqBTgOCbp8vY
3F2g0ORB9a52KJwiqUEvVPkLT7PyhVfc8LlilnwsC5UcdSpUT7ozceJNOvfcNSO1vrlG9hDA11Q9
p2ZeLFeQiuswWLP+HGgsgMNMn0qG2yo4m5uzLQMUUIaz3Qg21ynYXh0bnFpn9aL7K4xpMY1HX7bB
FUqEurVT6BLUPfUl919bwJvsAHfXDvIdp6v1OegVeWPGBzlhiOMJGzEngWlZA2FRE1qJZYzzgvvh
ClAc61t/8wvSQbO6n1Oa49fd6M+8WWlOC7gRexyH1ItSLWiXtnsDGDp7ZYVHzXDrDY/V2iB0Ys7U
LlUz569J7TR7On1BCdTrXJ1wFuq7wi9SgnJ2qfmh3GyTejIn9yP/6nGuebz2dfCIikHEhxbsr81m
wNQyr9i7ak2viOZh0fxwa6p6rJ8Mdrkh4qZ5mDZbJ+79br/UihxQ2lWR0NZKhk4vnP20GUMrm/D2
zlkTyEZjXsZjYQzXdYNkZpMEPQ7Ev+5MQZziwfeKvr2lzG12dgExoc4tI1Qyk8NCLbJgkT4RS9Nk
ZcNxM/cHkjDsxOxHCo1dODkc8FrfIxRXBFkdhFOxjITSwSZEroQPg2EX5IAlM56js4+BrsWqe1SZ
67yYPj6R3ToRhTrSYyaMr4HrJ4h8RZJe5yOswZBLuC9i00+nHRumUUTUG6AbZhCFrnERi+MgA+MB
1AezgNFphxUkwm5Ui3Ym+iVOgOQwbiorvxaFk0PYGrz3um/tb78GFnsEvuIw1+JJlpDCX7E8sOW3
g4lOardhA7Suzs4lWPKD3vb06A41R3BDZVrU5b33vBaTHucuT+cYgG25l6Zc33QO1lcTkeiwIu7S
ekI/tHzZ80cQUohcfM5mu35gP+ycV0FXmlnbYudkhrU5xmqUNWhZEHfJReqslA9Q442o74v2xoZH
scPdbn+SnCJjNc9BtDZGEae86zic45uczV7FQ+WdNNGMOzBA44NK82Dfl7r55tizfaQzXoRJiZux
ajEOeXmbHfLUIhHfOv61ldfuFnTKpq9VgOUYbyMEjCwg4ImRi+8EizfJS2Gay7GjFpyjFKgYerb8
mbW8PcVcN+RTg9mJu6VkvuGi1Kl6zrN4IsoYBxWvcYC85RfJmT7cauePWp5YeK54kzST27DArZSM
NF1b8EixIqf0ACda4Gm3H4lOQrjHgVXeZaaCM3LSBuHpI99ZLVn2g/ibfUkSsOpwicGitBr3ruTB
P4giWioQOWvPmq8v1chLZ1ruM6UHN+OcliC4aJcu3dyJaYXmgSnb9pzrxp3vwyKWUs60Zm3uTa8p
8HZuCW9hdP5NqXUgo2sKs40qsQnHB9YrdmfiqhNAz6jOs/qVZNwrHtwyzEb/YDtgP8NWjN+BKssj
Su56giZGvzeDZ44Hiuzd3KSbi9ti++Cl7s5dqzdChtlWFQaIoZk/C58hIvV3aP3fm6L6/JFTrcxB
b2MkoZJedMuK8eCYYYW0eS5yiQ6P4ZquDN2NODMbNKk3c1HF/bZUT+25u8Yq2XC1SO9gsNuPzN7O
ryuy23fsH8D/EDMd/HgU+ngjFeftQh+B7Gzrn9mX4hR0XRWv07geU1ASP6aGEa1QxXisbQWRVutM
rHceGwHRf1PZrM6sWOmO9OlKxB60I8EsTr5wgX+YWnk2vXq8/0jUpnn3lXmNo9jSEB+016I+NYOg
ZCNFiHvBxwoJbJwuFqv+Z45ST7kGWN7rlXeVudYUdfPKwbHNTsm0doQGBq0nuT58CYzuMqHlhNSO
PwP1xXAw2jZLehhJE1Gfl2w26tDa6MpYbMcIn67zBJXTCZ21NMnZZdc0KL2S8ZTHRWaPvWu8ExDi
/Ad7BcEWnS1rzVcrMygrGhv7u8QQu9PT3toJrX6eKcJ5F4J8+T6FeYnFGbNxBOJtINbl1g/+okgc
tmlhQEnwky8jzWgoL+PYs6BYpocOS3GLPzJJWDvRn7AHTLbkHP5rgxlnxr84WMFDwwMLUd9yWpe/
XuKBfcM2oHEn1LGrl/2ZiHY4ESObGXWSHR+V8C7IEOJ2RExGPy21NjTXMjcItOFfj0egxTIe9Ezc
bNarE//AL5WN/w7d/8EuWh4efp6dA6GX58Xh5Qq54ltSiqE7lKzs49kdyD2QEiYCP5+BCsOc0Y3n
nldSVBkkCgZz2wWKJo2WYEC9prRouyc45eWYc02Hk/Cv8WdoPONEVG84emP3JfXX88wFH1GXrMN7
0S5ERDnrVE5HA5B3FgZJmj9S0oTA5800KaOGoz4m1Nkk7tdd9+l4HxRoEzWC7kAcMg7m5r6zMUKy
mPFAAuEu/yND7a21djuZ9ktu2PJKJZrYTb0LDbuymkOmizTO29o4znRK73pnkKdGpTqbC6ggeul8
/yNnjRiaR1m7fClTsuEmZRF7r+zzEF39a+KMxuPkOyUWLKzqEXmS6YcjvfGRZx+uT9chW4ux59x3
LKPAiEdGQs0JEVuNPQuc8LjXoXAHbnPBBYBoQaIfC1k+BUPspcaGRNKz8tzxfjSCtd2X+SLepAG0
xKEtr96V2rp+wyKVzJGxlNpb69b9radX2rHghdeHlufNRx9c7bVXMiJ5gV9kuznHSaHZaQytZ/nK
OYtbKxU4agrDv223CPiqsuGblrvvv8bAg0yT54419P06g99ycqjV0R9RcNPM7PWmn/1WEKH8VxQ8
UJbYfPfu/tc8uFuSUhdm3uCtWoEf5GRwmBcS7QYsvzP+mgzPk/FpSZ1Pf4TD025RR+6DBYcSCfEp
8J8n3+UJnzXmYwoQLoKGc+sbMnmr560fsE584E1bZLxiSNeuJpNDzfVHbrxTI0woO1Dz/iM83he5
O5zthudP6CpdFId/y5GXNCKFDcMNx7upxfXh4Qp57oXdXXWdjwCWtXi+cN+z41tEkUQLz4VXt53h
XE65oz8BoDHQ3+HTvgylqv5D8tzbgg6RLibc2V2T45EWyPu8sGgn6YeUE9MyqRBJtla85reTEE+Z
158i6eVQqKMA3Bf+nEtPtWqM6MCaH51BKJZPeimoIl90KulMLXiuTJl+dzIiE7smTdJ5x05teVjI
Z1OUxI0W/xpS9ySD92zyiv5LUh2J4H7RONav1L6eBaUxO0cM0yHNk+4e3JD5UsCUn3eOzQN77R3j
TlJekm+GD/+3LDvPsvauIqf08muendrigYKEwL/0i6ZeSqHpN3o9LQcTXmnA8Cqte+n43sP/mXRX
0h8fTdNiGTqbA3dp2/BYDWvHx3/ty4zs1b8F3nFnpMUNG34oJv8WeO9FDdtJ9Wmxm0t5t6bSLiCx
CjMmjzQ/6auXngubR2VTZct7tYXhSfxyUFtdev8+EvFZAFiD1G5OEtd12v2k8dZNof7xsp/aHcMO
gEgIdQehTb5Of0R91WN5Oo2TrmJUzPJaAGCUnOwN/bpd2+kTJSZqDt0ZbmymTXbk9vYHhUS7F2Un
bpxl8o81KcIYJ4s4TJLIniWwMAEmm9TlI17P9hY8EGz8J53z3XXfdtN+gPZ6ZJ3psaXRsoclK+Ae
bUH7GS0jSoWsL4MKvmmjYcQ8nMgdZQ4VLFvqPhi5NazCzOK8s07UGPp35CXn00RR0dnVvHUKSYWR
VmPqGDgxRuyb+7PE2XP5COPjZv3a+LMRj4i3+8Jf3mjJzSLTpr8g8QvWikZSsyvrl2cSc4Bne3gf
H2F9zbf9Q0aBXDT+kdhvywZXZYA3LQPIu9tiyvADW86y+tq/5pW9RIwK63HpZ3flRSaHO99r2QMb
QVXtfgryLxkvmwInVck+ayyvNa9DFka++SPRb5T+GgbteuOUK/+/ntxLa15uJ5o3QnMsnwNpfrZS
HtbUl8a5ba2bVe4taEjuEBkFjjFl6e4j+N9gvt+bRmkfJwL7dlo8rL5gVLAdGL8DqcI0XW9JKFlh
VXQvmO2KOzcdAAxSgNN16jCu9vjlX4wASzf0vb5yQp7/BAqog6K7n4bunr7bCnZt6/NqN7ZBMKu0
W98CCoFcnZ26Rjev7VH7bmvecAGjAomO5z/K9gYSoOr4s5rwMEIevB6FmE999Zsx+7+y9T/J1gYQ
vL+TrR83U/7/7N7KVr39nAFA7t5+4+/qNTo0yXvXoXyHXYq7hZZ/DwHo9i8EAEDAE7NGa9q6XX8P
ATi/BOjMeMUtFi2Wh37+WwaAeAC8FTaYLoK4C8r4/yVem9Zf/cgYPhxT1w0DMzTonA9b/k9OWU54
GL0BeEHOMcZ7hLM6Xu0eXFm1lrEn4OKA9DIfrModD35rgzMal+DkG36GpNFOTxCY6ytLUoFKR6R/
LEnUOVhhOa3iwil4UTdZXKoUNc862kyVYWLDdQT88DwN5R1HQxWip5J54gAVGm4BgUjaAZ4zVtyM
wJzxWc2bj6qBESOEuWkDaX2DXCSfGovdpvSUvaMgqfqua0O4+NYnKFLvliDCDFzmfsGf/1C0rnPo
JsfGQlUM9QONFsOZ4b67WjwC5NyaNeVp1sp4wHvyeplc71RDrY2LYlVnu08wDcvBgi7Wru4u5cd5
w/rPhCoEZJpF4SxYd8/dxoDWm+W46r0e62JjpDqdc633/rGqzAdB7CPcetkudQmHJIH3WMzEW1Nf
mdgSy4Ucqp/sOQHVGLgRGfzG6KEPllOYk8QmCtpHfFj11arscu85mneuC/KlScsGa7A9sZ/NdGZv
1lgG4VTJWg5Dz2PnNDwtl+w5IIT7aaodFwubN742BhDgTHbBTl8seC+CB7ceV22GFzQC6W/oVyM1
Iutj05MUHOJ8an0NX9dseGvYVgOD2cD+Cldr08o10h3iIdTJq07xkMdQRr+nfxOk9AlgGuowPKOg
ddOh5kR8BAgxH7y6gWjMYODdznWjHjR2yewTsY1mKgRzaZGHSP+XvTNZbhzJsuivtPUeaZgcw6IX
zZnUQIlSaNrAFKkQ5hlwOPD1faDMro5QqCWrWteizCqrUgQJOHx4795zY8GmGcl7MgM+10gZNKK+
pE+2FP7h9FKD9FZpK0CKKsQuVjVT01yUSUawGL2P0gOyQqdaAtlZgqMrpuLgBkXnNI+lGYhTM1Vk
84BILGMtSdnSlU0yXAddmm8Lcorc8IiPWcphA9hZ76etPVVNh11sNEcObjrqthuNMC6PODg/yYie
McO8V+ZGJ/lUxXwBB6GDugCXNVb1Bl1W0dOK1Y17imXqelD1hHA4KWoseeTfgFHS2PxxivNnyHrb
oqYgLu4uSkWcrkwkV+Oic3J1kRroWqj41C9iCme0KNKMEzsfrVoyk9QIiXEy3AWEZ+WXJFSbxjKv
Rv04ycGRm4zyILr1OqKjaiCOPdBBinZlkWlowVwrXA5eT98D+VO4wFCo7lNK0ViFa8d6qiPbXKHd
Co8zevnokKq07lh2lg7S0GHLF9AvqE+LdQ5Qda2KbNrFY0FnmjinO18BaV64SBlp/dIHnus5RrM3
kyTY46MJKG642rAAfk0dKOwotRqa0aGDNziCd3JKKdMiDh8XBrK/daS33QlZcXGFkDncurW9iAwp
jtALw9sgq9QZRFFwKzXUlcd/67iKLu7GLxZEAwAIyqf/X8e1wacSv/yyFv79N3+vhZ7+Bx/BIoPn
zYZuMZtf/l4LPXcWcjmY7vCWzJwPVrz/VXIZwEWojfoWX0A3EYD9YzHERSdoN6H8Qt/umI4v/hkl
Fyvxz84g5GKWwJYDsQQxNhuzWeb101IY0rhhq0e9xDT7sFtmqY/sHYa+f25TK4IXKZriPIUuwQmF
QuXqp3v1gQHunbEGSTOuN8/g/jApIVybv91PV4e1ORGdoDh6IohZu2PukJRnZqvRjfPdv3Ap3xO6
7rI3Ie3m10s1VsLhgcIXtuqGWAiT4jjth2qNW6n+F34Vt9K3HIxPDs6CXy81GSpFxmN320ypGOPE
VK+aDoB7p9x+//mvmlV2Pxm73m4g6b+6rVsMCqbYXy+FgqpP6VJ3W+gu2AVHEzV177wqyZINU2Hp
lhZZNYjdlhWi2+XnF2cMfnDxmYDDKMYa8e53dioCLlt1HTwj26Ger6J1YVAv+/wqv48R9mqG6aIB
cyApue+u0oaehWQo6LcNMX0EXpkFnRCBUkGukyqnmv755d55AbmjYvaf6rCATIbJLLz8eUiKWpqU
ZyGihCMF2ChtfpDR9OqFZb4gJunMgRX5hb3s99tIcJUJc4Yt8yymfGepDKI0GTyLqIdE57hF3CBt
O90v15//rvk2/TpSuAoyTWhaum8La77NP71qdh+QJFCn/daKJYHtmnYe4tpie0Schp6LL37TR3fx
56u9e2g4gMlSIHV76wEtXgRkBoSSAhIwmrm/41NKStPvn//Ad9nq4u3JIW0lEJozOwPy3VQ2RuSi
wC8l6SNy7KNd2nSbyWbYA7z1duS3pKu+Prly9JY1OsoXym7eAQbwDklYuZW9L9fsY5AqDm71p1KW
th8dNuVm0NU3c9QKgONwaaT19MXEZHzw/C3ddvX5vPSm3P31yXhtCKgJ/dM2HtjeLWyqIu5CKSHX
BHbMWXsEY1RERq4s7h59KGU/UfxRV+BEq0sXRzMFktA/Gqg5v3gXxIdfjfl5fsMF/3n3MiR+huML
LC0uwgg4ZCRWcQNKs6Y3sSYRuP1GFCjK2sEhTqCk930gyKg5xzol01WuOPhIiNHowcDNADFcWPh4
VkFBqakww/Es7M3m0nQmbT+llKNq2ZHF6c552mQ+3PWYeO46KONLHz/QsqEYsCF9nWaY1XjrvlSH
Lm3axaBl/bID2UQkuTiL7PRbP3jtZWrTxRmtKd00Vk+pQ+uO9BWnXR2zkx9tUIoqyAC/wOa915pa
blH0anPS4ms6WqcOTB5I0DDddU7UHfnkYvP5aP39BfEYsci4BTgfJN7vBqtqQ9GLYX7obXSppVQ5
Y0/fG7G67acA+ERPaM6/cEUcIgDJQYkx3/w6zPxGSbjgabdtgmBvgMHLjPBPv7DPGwu/G06Oh8+v
9/u87aHoQqiFhn22o72b1loElAXPptsmI5x7EzDIPqTGv/aQFa4+v9Tvw9QTqDtNHe+rjt/t3TAN
eyGTAXP51gfLeFZqtbGHFeR+cQM/vArFDLYpeL+4h7/eQCLytLwbuIGa0+gcUl1f2+E3864+/zHG
bMb+dabm13gGnmlcoy7L0a/XSfGuGU41Wy6VUa6wMqL8UDle+xYFpR3QilUWA1/n4HJovHusQduS
auVX09JsF37/NdjCkBtliFk/8O751TWFD1KGSY1Smbse8GVuMOd1GxsOlLdEqmtDliG6oNHLH1k5
uCd0btTfkQtf5NNkHShdBl88AfPD7+S6lkeRCCLe+x1HaGsaHFir3UJYLfZ6QydOB982FV19GbRV
v0ThVj1muNOWGXDMYz/jKp0YuqfvoaJxi+wHAbPyMgU/Nk3DU4/lFtVGV92MhHMvKghXOxFGw6EY
ySDRu682Fx//AN9AScqWnvd/fvY/rcKk9fj56A3cVJhKYUP9oh/s8FvELLasajdZBS1N+Nx1Olas
Jj/gdXz2Yve2bRx/36ODXCqvkZwES/+6nNzy1rOnH5MIioPlRf4GC9kImCvRWCu6bINXtPpiSXif
3sgqC9Pjp1/wbnQOHbjwsBxb1KtJeAgmvzjgmihWiaavurhhku8JlUgSfY82XS7bCqHG5y+I9eEo
8PFXCF5Gw33/unsjcwkm9nYObZibw5knvrOtunLttoD6pL+UmVT3rmlEf4JT6HoZLtF+RyvSogAc
he3GRMexahwsK6ToDNSxTMBiERfcKgEf2k5C48dYGAZTpXvjWula6Akmas2/h7FOuo8U+rkmjGw3
Icp2pX7jjFyIgBEsjXilxRf3/PetG5Bv3aAYSblU57T066ARpkfqccKEUMNiKwKSZJJspU3oUcpJ
WF/sEz+Yth32wJw8Kc+yV3x3okCx5BRAxNptFRavCLsCVm2ZQMhC/vz5c5w/6d0Ew5VmkogNUkR/
v7EHwN3DwhaMpCa8TQ0rvE+yCZ5YPnKaEGOKrFh3NO8QOGR6fX7pD1ZfB38UEBiLhYmN9693lBIb
5aMEhlLvjo+AMK6UW58IeHrN3O47R17niwXqbe/5228FkIhliwO3835OJ1igVXHMkOUYXpx6i30P
fqfVWERyaZFVhQH0toxBK4ZjxebG9uKlbEOkIexWPv/pHw4m4disLBbUmffLctx3UhD60yIXLLuV
XrlIIHHwo04t4ZBFyevnl/tg0XTwh/GYDc7eHPJ/vdMOQYZzfZCHTMdriyYtWE5Q4r44I354f6HH
2Ywkbi8ut18vk7RGiJ6uareckZsl8Er0fgVUYifwoIoBY0AYhL4BuXyG5izMEb4YGbZ/7WyanK/m
yN8P5VBWOBVyKLddT7x/XwdMA1PUotKzJPmBoD9wXDYT2VQjGLuccA/6mShB3M5clGmvf/FaGR+9
weyGuNns2yExvZsuOrJ2TKvQ8RcYdvS9chtNgOQOu2NLmRWNt1OS0EZSEJ1JbfRBC0lwhWKlJxUy
lrx2o3Q5aOOACtkiCsXsOvhbxDO2L5+PjA++puc7xErz6rPPMd6NjEjz4lEUTr11IJ1uehuHsk1l
Hj+IiL+4JR9cipaPjRyCRrUHZurX0YG8BI8Slu1th/D11bZG93oqopxIGkf/F34We1CMXc5cUvtt
VquKakKbZddbYcbNNQA0Z1OObnCWNHNH7R+Fxqu/Zo//QIx1Bfy8a//rPz+YxLgSZRG2iEBp3lcq
INeGCJ24Umxhkgq6orqhBm2uWd2oICtMjnZJ/OLnF/3wVnK+ttGOYHH13z21MNRJ2otEvaXELpe5
UDRqcFesGp2kgc8vBSub5/Ju1mSnofs+IduexYz163PzSIjpw8lgiNiNXm+ccSRUEovBMK1ACRQZ
8oPWXDnsyTNo93LQNpwce7XGPQDPLvcEL1dsUWPcB+2Y3ZmVxH1Poo1H5GNG5NECFE30XA5kTqWE
obebMMrgjraFERPpwk+yZtENDBJfisFAKaZb45nQIn8bQwCY1qXdEN4TppFx6/TmZKD7UcLcJEau
nLVFzoz54MOtzX845PYCJqk4wURnKiL7cA4GaCLsqqUx7jPCPMg8jI2cYHm9Mg5oxZW2BX8s20uR
F72HSKsfg2unBUWx4Z+1AV4A4YWKJpifokODpxBeeG4BXrknWyrZ9KLObiSZbTB2C63cGQ2CXAR9
jUnaUoTPC23SLIGFSrR3Q9TWS68vy3QzovQK1zRPiuYc8aOLcM3xqwH6Xzv4gB8lpgUyJvD6neXI
+nXqDnllrir09myuYvzKzy5m/JFOZKcgSILnvMFMprlbeAbJeDUELhq12EaSTMae7550WKBEhI0y
7PdsYtWm9pQfb2xCEUj9rMJpWhLe6W+LhiVqnQVz+Y/4XvozNWqcb2D+s6XK8tJatqTZGURyV2KX
e/01dd5ND2rpnkCt7CHTPP3UFQ7Mohz0qTYic7Vq/9hn46ao242K3OJEnOlC2hFNREghWzQgAwHe
ab4Je3mw5Igsu2qfkxT/ouhhEveJsjaAQl5sSxvWEmAC36Fxt8Ay9bVvx87WRju3YMc84Rj2w7PW
rtR3t8PhD2oHs5grn6faETtpQeORalyIOLsDoLd2NKe+En7erImXjDHxoAPt9dg48/IsugD3g93P
hcLUxsGdmiyxFZpxHcdYHqBzBPvAt9OlStKeTUXrLjNWiVXbutM1rcx93dF/RggHl39Kj6Q+wUux
m0OqFOnKeop0t0N4nBDaBRMvJa3aQrvEk70KPPsEgkOtjcGL8E430xKhVL8KTALx0NjrJ+ICq6fC
a/XzInIRInc4MZTeNa+OVhdLjb7ZyqNgvXXLUiDbgFbg0hPeW3ps7tvR9dYUKQ4m1Dp4/cYmFeND
rvf1QxEHO7y0N3E/PgBcKdYDQFQ8xcFDTtQYUu809/ayd4uN1MjanYR2m/pecGgDi2DpsPTWemJr
PIfZgZn4aHM4N5ziRpNXddigB+vV7H1qz4kHcxeZghEzaiTk1uA68efFeKRzeEowa1/tFiX2GIM7
T1cpjFGMqX1ZF2AFF+w0G0guZeyTv1l62KVNBs99buqWWrk15wgWUyaJJMQMXXHvL+uBUZYQA7zw
UmOv9+EIXacrydaZvDP+S4mKmtsdCFOM7bk3DuHQPhJC5rZ4IMzAHtLVBMDrUTOsjY6nBJmVyXfe
uppZ/qncKa12VooAfJV7DTb3sTRceLua0yVIujykvBk2cO1AeVZvKdLW8a5puFOLLi2y1YTE/Tai
qn9lZol5G+RFGu+HxGnWAorTpYGVcYOPDQEjoV3qEMWt/t3RA/aT1HertTvp2VnFIvsnyrjQWWcj
yUbJgDHpXKnWubFlGrz6FPd7hLYOzuYqkPpqGj31jT5T/tpUDWaLMW+NJ7A6zYojGp3Owqwe4fwM
WGzacduxY7n1Rjt5RJsHnwsSM04nsz4AL82WsSpwRBPnc08VjjYIzPRpBqExEiLLrx+Qytd/1hW6
glRp9YNbQy0lPbZDmg3oZhPjk7oXJdgfaFkDTpNA5N2qn1pejszUBGATO12FjiOWCRuuPXibdOVS
Ql5zKvWbTcq5Kd+Rd8e/35FvdVcHwwxUErGBgRZ/cIyV18YOn9Ma3FfEa89jUBsOoZ9EN3pOM790
gbVsWm6ndgeGh5/ozrzIsxA/7y5xUnknTdUPF2EQhMfYq71VqVfTRdkRr2pHNp9qVfHW1mPnRnao
pBfsROqDU0XREbpJ9UTpzlxTOBPHsOFVJVs8nzYTRorNUGJH2UKmCI+gAaSLqiMSR16impeKp0sR
vj6kuW8f3SiqvjcybMjzaozbNuZ+x0k6EjpWjFsv4qZqjT2eaQzN6won0nfSdFHiFs6Ewiytk3jL
nY13AsMN0x64RaOxa6TZiX8+ybb63o1V8yAj7uvkuvWf4JKxqUw9WU0LEDLBgWTGcdv7XfviD604
2lNNR12WfnhUsYAlA4QnH18gUtnYUSCwEaGAoJa033OUNybabJ8IPy3y6pognigpmKF67AM1STa3
lTGKYyzK4FsFAf/SEX355OBvWnVkYGG6gHRnYFVnEyl6y1yH2MoPI1nKqxC+w1mT8+MJKVHfPC1h
XsSfjciRvwY3EB57v0YBGHmCHXihe3QsrDrbN+nMk+p8ijirOB2CQ0QEQLwIpO8hwhuybpVMVdkv
Jt5zylhFez+OFK09V7Yvbgh6PAjGbG+g1GWU91GF0xhM1Q1B3PLOBvRPBHrJl8yEnp68rqmerSRy
bjR/qgmaL4boODp5YaBCKpqHrJ7Ulee0/Z1eqfQUz4/bxMx2LhIjOJG8zoVSbdz4rounhE1GdLRb
7hpS7/EKl/r4qk9lvNUU3tgFRfvgBLDK3tegis9xYfCJ5ZSe2LKrbz6EjReMIrZ2mBpK4msEMeOr
W1HmWwZ9FJQL6i3IygtHQwHuaCX0MmDJOXBvzQlOdsSRC0cubqd9LiVckahnJE3YcJh6HZuRxpwV
HbM0KVGG4JK40ojHxAU7ZrNVpPUiMqWt0iOLou1eEf1wZpJ6TlZYPtSv6IyNOzsEqCOH1vgBxgSa
Iq9ejW4mm15LM6mapWPCt182ieh/APQB9xBAMdppVcVtwZbdtFtMjoibHLa8t5OZwWDudGYz15E/
VOXV111QzNRps7rs5Ai2I0HJbHReeAwQnWw7v/fA8nmA8hCvAgRCQrcn5Le7r+O40K8bDVSI5ECZ
i30J8+yVHbV7wZk42FR90DCJOaZL3bSzehrClvc0tV53GeQISWSWyZ3t5Dwals1zq7HTHuJGGF85
dlttqsJuvzWVhNE1Ra9dWPI/tajEV4GsrO+kj5BpVEEcq2xIaqaFw1hIy9ka3K8FHU17lXYN7yFI
wvFk5I26YhMC/NlOgjszC+1lppU3JGZcSJcpESZRzFkGk+IAEPGypv5DIpM8JHnVcNnUOeoDRDFo
ecwbqNe2So+1C+UQD1pg+L5xArPc+wr2NpNuPi2MgmZjTbLBnqD7gxxH8lx5Ny/0cGjOi9AtDoAJ
0KKaFltAn/YfJdRnXwCrS91CndJSWi9k8x1qXF9MabB1Jws6S+EYFTkf9plSiX3PfpuULpxb3/1h
7jOV3Saisryv8e7SLYvYkMqETAtPDeFJL6IBpHi1c0qscv6gIdGO63JH5N0z9b/8Mc1dhNBuyU0y
MUsw0XPCWbrjiEuOrM92n2o6gIxAA/yLS3DTQk47i4yeHLdxGK5sLyUnMUnam74G32ENfnjqWy7S
i8C96gFsLShMj1idA/sZaJ5zBzYx28Wxe6cSHeaKDCP2gWzlCBcbCR6Ph+gi9ijclIa5RxxnfI/0
YCBFRNO3nWlMKy/urdUgeRnbChnbgP9+HY6jc8bmwr5PbEFAmSo3vE5MwGXC6TR0an/rZ77/CgHE
vFeVbVz6uT8LDXP7lkiQZKnYw24Ec9dZHrTZnSFc93qUPCUhoTFvXPaFiNcamMFIEX9MtJpwIIZd
fFknDIO4yMKY1LKiYlqrRuweOTnaqiJxjgYC1mPs9b2Ll91E7PyckAtyCIdi16V1hlPY1s7LMVHX
k27ed2jzNryKhGZNCRs1PEIARvrL3BbBN4gabDNsuUmZApNF5XXxydObaUXKrnfWjjNlRY/WkchQ
cVuNOOaVKMtlNPgGTYsMj99YygtHaCw7uaelvHCk8FShIiU7sWZLRQJvc9E0BcfSjLjTinyRQV6Q
4JY85KbtbIVBAZ7SWsmKNVWUNPpYU1d+YNXnI8VsTnUuPt9F3yTpwR9i/SRc+9AkmHMC2S2l16YX
GU/5rC2ggrZ2mdEcxe9RDG13Tt0X7Hyb7Ayl+Q8+PVPOOc9NiaIvj8S0rOeIZoi8kbcAAWc8gBls
9qXpfjcm50eAsP+JHWv2lJGix6TVat/cDCIn5JJw3bl9fj067Fgy0vZoeoN6x+IBIpXtkNpBNpTx
QbPKAXw/rHtgAMRlsMbYTnnUyEqHLzS65ZHyTUkcAn7qkjZAxiQEvyF5yvOkuDZrL792YurIi5hQ
3G0SDd1L1po49tskeiEbkBxcU+MDa1QAB4GZ9mYEeTU8NOx4eG4xhxwQbSRWSM2x9lnlsaL4qnpk
taR2NmUGLsmQguS+DGLzlv0xJ9M0j+xDmKr2BaBF99L2LUWEduzz19QuqCq0Uxc86Vigv6dvbLjS
hqbY1ip4MtOGQ7gdxBq6zSloXzSBJxCjnfTd9ZSK4ibDtshDitRQbtywk+XG9gcqGj28JdJSzJ4N
DqLG8iZyeiyJPpHVT8IQ/I1fKXyGbuITZGoXOsOosDCrrmTLt4QRiFxqVaDScjnEKC6axHbRnsWT
6Dg36oU0cEsiGw03bF755EnzVLm3B8qPq8j2Rw0OybwFwOvG5oXDlH+ewMwqVk6Ts2nNAiheUIFZ
6paZ6vEtNpKgOiBEQF4Be+avZt9z1b7GgroaMDg8/XUzBU4RMDe0J2O4STrKNNeYVLngPFFuLV+E
S6z+LRlMb0UBNOrFjUA/VmyzOKHcg7Ig5oCZqnRXGVSBjmaNzXbTiUmcjQhfbwQ5HBWPkH4ruTI1
vy91BfWQBqNictaiYoDSNCL8wGXSyVfpUBvFiwi9+cLRjOg2HaW5LXpoqznU7evUJUVnWWHDvQUc
2I47RRk+ONo9P3pnStSblNptvjU5LDw8Z8Q1Rv8PXghU4Jh3l9p/NK6oy3AXJTF5HZOE2b7EnF7i
BV/WPx9b2f6IAY7Ah+gbAJ+9j2MW7GZMXHmm8/5gtRf6tCuo/x0GiOnEVZUdOzoR2VWy152GIkpD
byVhconJ9OSd4sDNIsz6BTlrDswtiCOG3zzBdj9G0tKhzrOFzNzCJAUVbeA3A3jQmkQT/UBPutkN
eW9d56GnztEyxXcE1Q/fELnLv9pg/zZlfKVBRa71U+X0t4C7/yZDqiwoHv9fvh3KUf7kbwUqBdQ/
EAgKi6MG7wDar38oUGnr/4HozEERgtrN1x0qrP+rQHVRoPJXHtvEt/+HD/zbjmEZf9DQ8cg6Rhwp
aOz8MwJUlCe/VnnJdxR8r5lkiCPD/k0uSccBHz1hRudGXGWqho49dDmxWJ5g2oDLKj2MFth1u6kn
gCUnB+6+8xAurFPgsu0tpIRuahbInxiUWZM01YDuURZ15d1A1sHGBggJH/9bcxamyMa2BoZ3Ufgj
PLxh0Aj7QTqXy33TZznv12IipLarLooMnTpwt9gDQupVxbmYQ6pKLZf6HvvmeDHaQXCbWHV1wCr+
oLWl3A6ldAmEV/6KUMzqPMnJ3mTb0/P+CWoVhLmQxRdH/TAThmccL918fz2Q9T6ssmZiGXMyR50m
ksyf9cqcX8aulRcxKazNGljz0C8aCFnYviwcqNtCyWyrZJN5K/D38R7ebD2npBHUx6Kjx9ta04Dr
O9XYQW9JYYZpGZWRKLeZEoNm2CQTdWy8ywUfPO/ImQJkANYORcEjjkzjNDhRISndglWJ2lbiJqxG
ppo2HCdoWnmDRa2WDx0n/LtgKpngm7DGkqVKT83J24IfSmp6bz4EOMfOB5rm29akhmQbqVw7YVVz
1jSa86EsDTB9tjus6SYyi3H2FXsHscudz+7sHOQa/e/4jUcevbHJJUMdhBscuWvQJGvzjWJuzUBz
DAhzNRWwANq5mXgu3ujnKHUhoes9WC32LfmunkHpOEVhppszPn2YQer5G1N9NDv46izHWAuNGbvO
yUR/noTBAiF4GzdpEDdrnVSFZyZ+knz8JgfgXqrqxiia6Aw3avZQzqD3QJcQpyqOabtMAqVdmY17
pB4BHH7GxAN5dBH3RUixlvobST4MM/gt0KCg2Tb+UWFt2IK3mxnHYOijNyI9fL70xsksop7I4MEE
BNR7D6HJ3Hc5QHtHuMETbwOU+yIx/O+o8TC+jm0n023Y1ZTysrjfD03ubsyMMOSFXwTtDXHPf+p0
QjhEYF4M3hj7vAHxHliJBTLvjcIfzkD+3OE8lEbCe/Ro/G5lGzkBFobJIOtQ0uXAFwXbv4XyL+ys
uaw9ffqedTnl8joc78DE5bvgLSFA03SIaSBqLAgSsxi1VMVljQJjWHRvGQOmjDF9z8EDxDCW35wQ
n82g+cW+wNd639UZWQVERmen1Abp1FLv3AL33HalxzjkeMMpFjcVMZk1xcG3HISS1W5gZgmM4IyF
Gi6d6KojkF5/g484+wGdd9zXmGOgWtXJXJL3F0XQ/ZlALl9ZHK+WwoNhDtDDX5a2+Qwt5B6EA7Ld
NPQVfSKT3MFVbZGNkgEm5+jXO1cD7OGQy6aCwPvmry7Zv1fFL1ZF9NkO6ql/NEx/WxYvfwz/8Vg2
6c/r4t9/9PfC6Bp/eIJ1z/VQQwARmv0Xf1szXP8PF3EKinP2sLOFkUXr/2yK2AdnIwHyfqTGc1fy
74XR1uHvYnn0DQuG6puh45+A7HL1n7ufOB7Z6dHEtxBs+p7zXhdu0JaXuh6We07amJHTIhRHq6Hs
N2XDV0aMuW37U6f17VpINN7QwDbSw3cdctmSoQLDsti7lEYvJzkalwn+j7uRO3Be1/+s9me+3gwo
BmLsokkHMf9rZ7fRLNNln8z1coNVcMD/F4C/IwanU3Ndqwsca20pz7gdwKjd/jQOrr5snM8XR4ri
kErE02P78+7H1poOtwd71n5quu6FDQW4qsyQ3vnI6eKk0LSBjte/kjt9cIsFd4sIHJw23m+KX3bz
STN4br5vcmOugUXdiyQTh6U8piYW6oCEP/+Zv10Q7SZbOAYRGDp8uO9a9URBqArjob+LtKA8cz0y
I0c6E+vcs7QnK5DO4+fXM94JEmxeIN1Ckoc+kJtrvhfhjEgXpzBQEumiAoLcs3ybx2mqdcmWzmbP
NfaxcelltGXcMTVONeDZO1JKXPIR0ZkXi9Bt3VM3mua8yxE9YOYqas8N5auH0fS+GAUUiN4PeldQ
NODdpzNHOtJ7AUWR+16Y5F2/Y38a2rdazrbnrA0zpAZhSWkir0FvHgxEFBmr2pzBwDs4njQ/w82p
R45zeKvH5mC9nkMLieaCagFjqaUGeZZPnnGpAD1FB6mboHXe8hxoBnIfSEGiD9iDwIBU3cSkOozm
5G0qTqeXQAm0Zt27enlWaaM6GZ2jrgJ4TUA2CdAS3z1pVRwSccRLUiNqAK6NJdSVwyzhrGJPpv5M
YdIQ07FbONX0+xlyQYI1FTweyNGZ3RMZxg9GKTwW4nfiRF10ti/ta1WMw3mhR4SNOIJVWKLcgzY1
TwRE7vCeKmpvV9rQUWFKa5hIKqirx54uyuPU6NbegXVJN1nK6tHLLXmlE8mcL+HeMn0pPfHXidGI
Z6/RSR1tKJ8s2GxW0JA6ddJqzbiFckWNe4qJ1fAB4e+L0VcQTTrqLJykKXG1gVCn3m74pVVqgzcj
B7ZeEhlAKZnSKLsqbxDPb2mn3iS5b41t3JLmOMIzqP07+r/imda6OsUhTtPaGoS1GcuYcAxfkS0B
mzhQp7/GapSElC4iC1PGRTzXczgxcwpHblU9mqNEatYOkoKT1owpaCN2iPk+rbUal4uDDvCN+hrd
R3Lw70ApUNfoUuh6a8SNjBNZOPZz2XrVYxRWvPw1FRN/xPRA3EBCICZ5A8kCF5m2tENVnjVk1NK0
Avtx1ffj3IZwTG4pbzdtApVQF/krOEP2czqcHxl0I6O5WDhU828dbD+jZlI2u7f7b6sOYkbv2RBW
XRdltBa1y7rw9cu3fwdnPHHho54wb0wRQglZXaNVk6sh9P0NAQoM4Gh+PZwupT+ONiMIzoxW6tVS
tkNPS095/gkiodGA02UfSphxBi3zkg5jCwAPSqGpbioHhRphIqUK8OcmMF8DnLcWkOLYgClvdK4k
SznXCF5piabRtqPeJ8OqpqsUnKqqEORrl4IdcBERJnRuTv74iCtoeJGoSsChU2WOr4ZRM4f7ltsf
EerBOaY1I4jViBzoJ3lSowGbUiUWUnCf21u4h9FaxVSLAw6HG99CVRTVoESsGlCRl1iXwitp/ECY
CvxRndEKUbdO3lPQrQBEOqY2EnVCuA2gcuOh1c16VUWjs+jIxDtqGElOA0EVNCYCKZ7ws/s246sd
8O/4sTqTrkYXxitDCmHAPhG/QvbwQPC8kFlhXNIidw9UEJ3LSi98qmyTTQezGHIeuOLsuZiSMN7O
6rMXP444TrZaH8YrBrd/sJHi4N+0ZesvSIoL7ixENAVeY/tbF4X00Jr6uTDc5DLJEMvuaoROM53e
YtDBFmZIjSnyv8jgH8Bu9erEMsdYNoMiineOFrBK07XbcsSoHoXR+Xf5GAHhd0MPY5mQkgMtXsE7
FbG3oNRfPY4ol8hMSodnDorhXcJJ/ywvzfQWFXlynzQTL5Y/Cmsf6BygY2S8OKV9BM++HxQrltHy
1hFAG2IO6C0/I9wYFnKvA6lMun8/tZXxlDeaNu2nyO69vZU3E9Q3o2rVxmpQQh0c07K+T6EUzho9
2CHzq+CcCMDwqqE2vCfJ7Za+NrTfrnmGOz7P/rFx1+Z+v0p67pPyE+Z5NCrxwS8r86nXSJFfZtGg
X1T+4N6YDgg7RDPDXli9JlfWUBtL3kv3zA7KxtugYyiOqqd5v5ls8y6PvGpVqhaZkMwjxEGjWSPO
BNYpF7kVEBDoavb3zLD49ytWrOabiHyTKDNviDGikPZWbiYP/fDCDNMeM0+bauc5pzxuXU4s89SJ
8AF5TbmjruvRsrdAy/CTtq5RNekSKUn7WCqPvUjVzbxHnFfL1JA81hos0TrOWnjYkZ2FzWXjteOe
cBTvUuNsdNdAVs1XGsDbFz2jPikCxNMwACYGTU0L9tSGEJ9Cpc1Dqae/vgqj0riEAsJcWuN7axeJ
z+dI8nm3gOD983bg0SwzwptD0OMEpC9chC+LuEKVjx2zYAgqK/TPnawCQhSaBApmjWx2YySZB6UI
W5JxMQ6c+1UGk8sruXLCYpLDCaCAX1lc3hFDjQhpZB0vGy5sBZP9PI0JE/7bFOhGdEzXrjb3GcZB
z6KrGZFcLPpqsM/JOtBBkAtSXxqiyV8KCLBgbLDkOKystXh2M9bHFgUT+SvouUhXqUuq9FknXHYM
I+ea7V9fyygEgVN1RIPvEGgay5dLI+eszppmJ0f6152c+wr/w96ZddeJpOn6v/Q9uYAAAi7OxdmT
tmZbU6bzhiVbNvMUjMGvP0/IztPWdrXcdV9rVXeV00oBQfDFN7wDyvF7B509feHOboAc06grb7l2
goTRgq2i5tPsdm1K02birrOq5VmRXOSStcq0vPM6rC05LYLBg8RapknHSAS9p0lKRi5ecDEWfY4/
cefr+9hq/E8oGxBYtbLyq7lVKJ4XSOn3HBlO8jDLtdHEzTK48lYRYmAEA+y+RLD9ApVC69ugmOzR
36Kzzz2T5bxaUrkLCnhoeCpO8i4anAehOjPLUguWakp6OEIlS2ZWtGt446UPcgxhzZBZG4Pzob6P
zRvNwXA8r2NljLV6XqPloEi/GVyjPbLze1xS91BBYvvJsbSHvQVHpZzvA8HA934KlhKgN7PMJA3v
ygJoMkdVG60IrIZJpzFcg3iVOI95SLacnC3zgDSyQ7pR2o2/zyAHFNu4rLLdMDORmwMgb5UVkYNI
N7UvCpCgN6IaJvAIKSgupCJ2wB6iixK4xjWvv7trgEWcF0g7/8U0jeHWALia3glHjw6rYwKhdaMX
aR3KcfZ5DpBzNf38jS2jS0/3MUgE8RGIV7YTKhkPjp1gmogs/0YtC0b100Brbiidu9ojxGDUMSgU
fpEhcwoykiGoim9W5vlo2TfxEVBiBfi1m5jX41mwJSp8qxU4h1LfRgtEPfY1icHY2YhLtzYy23ra
AYdAu1dXxwVoKT4CSXy/0M845Byiu7xL5/3iAWKxB+8aAbT6I2+bc7leygtOPkSlUMSj0YgqfQjL
P4nK6xFiKETkVN/auk0eWysYP6nGFTfNVBlPw8QmgVy6szIqmSRNH0Tl3JH51XvXmu1vPqihCyEm
L8s2lRvlEE1rOXtxeLTy9SvSHbwQb+QTPoDTxiGQ0QZC02QEyAVbnMD9Ro+TiSAMsxl6piPRkA7g
JQAMCyiI7trrvkA3clOlRJssACC1XSc4o5t4KdP+gy7mHJIGaffu/TLKO61KjECLhMUAQYkWxGnZ
j/BQHnHitccWTRSS/mlhsoZV/HL3/nV+qX5CQzJEp8BIU0BVOCkPkXcZxrwZ2mMJqCbbjID0H7re
eBl68A4vcRKhdHkNh+9f11TXb1oNXFca7lZAZQr31Tz/TxQ4SvJS5LRKEcAsg+fBqtSx6hes9WZp
mtxNVeu7IEiJxd1kstz3r34ybPC4OIwjqmI+cG7ilHWg0c8vZydojjM9QFTfQwWC0ETd/NW5cMBA
wHhqKMoSk3mjX0Fwf72F/3TsftOxQ6GHydP/3LD7v+Xz5+fq7Rzr9V/5R0mFWRXCYIyraFA59I/Y
sf8oqYR/eEywhDEahnrz2r/6Z47lM8fig4IvSCMkgEnw/9t1wv4DSQQRkQ6A0rRhlP47g6zT79Yk
FfTrHBesEJDe0xZa7rSu1wvPOkaWhVIjMvfrcYy8/uGnNfkXzavTrqC5jKS1SA+JJqN7KpmygoJD
Sn2yjv1KbVs0aBOK0Q5vq3lihP7+tU47SFzrlenpYURGv+yVn/Hzp+o5WNdMIj5qp4lu7UAZrIoj
LnDaIpOiIvkdL0+ckpdefYuxaPdt2nLoDti0eH+ODihd+p0jVYyIkoqpD7tmuGrIHMEhWRWeWmFE
QY3UjkBxakwmgWJwmeuzoJkZ+3d+App4mjiVMbrIzto8U8eoWQhvOlIAP5ZMXdHdjxipJNHZa9FS
cZIjurEYFI1TfSyLMjorLTU80nipL6JJtQcL47ybWIMtAizk1ztBHnuGRW11ThtB77uhrz6C1Fq/
RqSrSFd56gnk4rU96mw/yxJXrLa0j6srimv6KUG4Tck0P7o9oJBVrM0ttUn+6NooX3Pilwe/S+st
rJEJZHk9H+0mRhth7Vy0NHCoUJ2e9066tBtMfvtL6QzNjWpDRib4rT7bZWIdy2Dudquy5mMHeIF2
whLFOIkZUHgfVtVVsFbLR3Qj03FjdzOocRV6B9sAybPCAnm6g6EigZgjDWsA57RiDPw8rdv8IGuJ
y+ocs8+3dgraeGOLqv48wmT+lI9J+CcQE/cuSuwIxIjdRy85MuBYiEUKwGblYvOxAcW0HBSgWeJs
KFJwMCRtQCK88tYuJ9yPAvjFV3KcR9x36vkp1Gu5NQO3neuW7L0cJdSNl+UAc4Vzly6ZjXY82mtp
FwV7WpDqU4Wg5qGBd0C2EwDkXBAnflFVlZ6ldfpFK6zUEug+lwltGjL31U9x5mRx0jourxkqrX8i
U2h9FJjFXtlrzPi3x4/iPKgn29oVWY7NlYWJnYcsPH4dtnec5rrfC50VV6Dwx5eEkfPnwjEMkzXB
MmBvDVl0wRL0uzQOvnSwlWZnVjd1aYoZyQBPgPULCu8ytlBXLYrkMeqtjE3almcWmBAANxUz1wXo
awPrcIsrQbCR7XCZA61GyWJIYLnbYf7sh3jMrZakvQskL20CxP9l0N3Fc+leBWQt8LVmXK1CQGDR
xNcDXWm6Fig005oDhlqRf/rKGq4Lt14/DwupPm/W/wz8t7gFd+/uinUY7jofufB6CO+6Lsr2QG//
skYlbugrwj7Ta3+D7Oq6n6NgvmfMDkjKiSZMKbyPtCv+pK3QuMesCEH7InY3pfoLVilQD+NpHGFZ
jziIkZCFrWvEfXMw4klV+PvAHYHX6hLQ9FU4l3o5h+mdaHpRSWfbG+qnZH0q+tljRk3+2c8I4VpN
t4NY1OcPnspD0mMjUhRO84PU6JlEDqY0Ox8+BXLjcZHRquiwVIuGsK7PKKACSabuJeGBZrWLOCS0
fXuXAZQJD33eZ51Hf2oIDmgVrsndVPj8JHD7CZh4h13QpqlUPX9IIKiEgolz16eXUWxNSOH08ex/
ctsUUN7GrmMLGwQF9vQpBxbgH7oFb/cXaZolmxTPNuuiID0e1X0BzKnqzpyoLz6BDSvuowkQrIIf
ZC4mwZjaQ/kkMRdU21i4mALNYwCwbZlAX0FYYcT/yl3zByEuZjfu6Kwv/pFpLbivBWdCjUdJ5Dy4
WNxCgmNMAgo1DuJ7rcf5C/DmGAE+p24PXkE/pilpbsM+q/WuGEvvvAUndpEt1KoDjmF0EI3qFF22
mYLWg9gJJEM6ByeAeV+qrN77bTRs694Gs2bptOINxNHfi+J/dYzy79fejkFi1paBtU5z9XERXvvV
g/pLTREbpJbr0SHXUbXuxiAp073Sc3OOl3F0W/pZ8FxWHfcnysnBDF5WH42qTrEtwop7s4KWv/Ot
AeRZqMonYVOxgw0PwLKuVXOfVCmJP81rcBtLg/oZ3225+08W+L9S1ANU9FMW8svYliywL06SQPNv
/ANmcqM/MB2FgRpKVJN+kpaFHorqLNLCKGmhbhP9NLJl0Au7gx+XzP4EkEcSnR8jW5+/8hHEMpIu
hg6P0N6/MbJ91e/47+LG3A5SfmiK4+DMc4JCepu+hHLSFZWm9zUFXZp/4yyJ6bXNs2t1w24Yclc/
5SCTh0OvRVlBbNS+/wUlora+wjEUUctDaxn0X9GFFmcljV7TAwjLIl0elV2hbIkQUhuswSaLwa5Y
GIBNEDG2ohw1Nn1ZDt70lhYvrO9NYiPr/UiVR1VVcjijCu7pKHMNewbc15nokUHgdOQojdQWCycL
JdZ6yntc3zSmYkja//Qi/0XqeqIdYsaQkTAOEPyfzxF6ujp4/DiQQFf/a8vshJlElcgUZDRnGKkR
PIKISy5OVlffKN8z/YBCBf3HrUuk5HlqZ06Wx/dv6VXu4OcXBjcFIRnpMdAPBBPwkxcmcxeL2l4l
L2iU+sV162VJcbF6jDkytD2DbC42lcygweFG3YbjpsiXFnmu3G6b4pmWrYY2JEcA3Bcc5j1Yb1jZ
K/ZF5cKr2A/YEpIRqiC2lj1N0S64WVekTNM9XBoy3Q3q6yOc0/cf6m0lgpIYi4yABxWPj33wL0pP
gDBxvi/K+qs9405579eZ1dxVZdysH96/0Nti2lwIcIKp4X3QddRmJ1N8TYwFs7/EL4K37Yh9W8aF
Bx7b5gtfhMy927lvfCMRHPilNWxB4crpjpO2/p3MxNuq6PVOUIAyzQwmD8EvTQXEQ7QdLXnwMmFk
Gdz4eAQOiMwBRJLignwMduq/u8g+o25CCTWnTbfGhKifCxXLSSzZlFJ8KcdONQjE69aa8DYM15h2
9fvr/LYOM09H4PIQlDSSLJRi7ttrubAZijbz3ZfFSfA8/OoaTDLmNe3IvmNUbZa41ME4/g5C8MtO
ImGEt8t/UP0h6J4gJYQqwQ/kRf9lsaEfQWKWxpE8dq2M1X3/GU8qP/OQwGZcSjffZUdF9smC5iAA
ixng/0vP3KOSR0be9WPJXKDDSVniEdHeLtEa29VVk6k6sPf+lBbrU97LthVMggmI8cbGnC76iEK0
FAzXptotrwq4iaE+orPk0Wp6/6Z/eTFGHAsdc0QYHPT7TgOaExV44jLS/1JruHRio6yoyL9Njrb8
v5qmCtD9B33XDL8TwjrRDGSx/Ii3Qq2IMib47NOwFVuQ5lrlW5/hOjsuwzLpoy6zBeSRIhztCOw1
SsxdvEI+azQNFipIpVQEu8Ja3OkBZtSMlH4aLuvwOcEtLDqIOnARN2A+3f+uo8l3wQb9KcpKbhBs
iPlMsBgNaQS93cB+whyhGlXzOQ0zhAY32CwM64cetx421arJ46ezqAeqe2OJOONr6mljcxjUSD4Q
LKPCS/QXNmCVfwuwneI3ZDFDAxAKDvoF374HYC9uiS7+MibBX6jPwZHZTpUs2KkT5mG8nVoNAccw
UuEYRG3SKjYh2sKagwu6einDj+Dnh+UT1HhSiA1sC/wxd4g1A8/d2GsWdPnB9RiTzBva3ZlpgXg5
4g7z6OCFJDCdWj/w+Uc+hHWshZ8U5hXco9PmUT3CRBudv4q+afN6PzKNWJ/WQcjpYVJdMN31Of9k
3qR1TgTZpGnQ8M5cqB5cusJ5odDbHNVvPnTq0YaHAV6ap8lBp3VQo/c95y4/GTjYpqW4a8q+ghuE
DM7wcZilQSHrbsHRdtsr5mh6nycRl7ayGQOxDf0HczUL7aHgRkRF1n3qwsyfjrE3ddl1ycxQn81O
v9SXOBPr8WJcxoW9tISQfLTRBnD0Zcgsg8PSjgdzZnZh7PK1QWsceiyLcXLEbOjHA/g5BhgQAKUd
BfnORlaPBfXtmu2HfrsJYmUlbavaIx4e8F+ZbDVMzL7FTeif39G1HSgZkcEcTrdsuWZeNiJdfdZg
FJnm0kubEhxReeeZku+r6hUAFsTGD9uRH5jnAYOjulQjiGgnRbO92gtLkrXpFvQZyvuQpXk8Ar3Z
Lk00cGqJAvZTv8/jIK/uaow9pDzkgjZXsGkhq/FNTXUUsWsSF5NsvRUL3j7fULV1YnkYkqEIxYXl
gTH40lXLxBo2y5RzfZ/A6MT3YWkHrMkqx7Ccz3EynmiAJyuszXCXO4vg7zRuJuYh8ghsx3UHjqtO
9o2lzHuXAGa5O4bd9AL3yL2b/atAL/AnqtBOTBdRP3n8FhiiHp/CmANwzHnzwC3Iw5Ah5ZZwUDYX
mkfmkvnOi1L6qtsAKrj+osMO+/mdWIOArgcdSm4vr7LQ5G3Q94vspvdC9n82evwB4U4tua3ci8wa
d1PFCo7LDGCDxjsER0pBUkDgtID+WB9c6MwWNan19NCGNf+/c8KSD1jmA7GB1HEly/DmjO9cK72a
4JHikPKcd0KZT9qj2Yeym+05vAm/J2+sN0PriOlB0mFgFcBbG2IOM5U+r64hdjIh2XfKjD229JVG
s6txx1ID+KJodfwj5pT+AsrdfkD1JoumnRN60kSmtEzz9RDYNExwFm7FYSh04qGBl5rJawIcZv3g
a72w/cOerjVukBiz6ppEYW7wDfX9qVCblJK9s5GpykV22zhpBhuZXN284RqdXnzqXb7lyTpHXQGe
3mZR3dBAZCyh082XBZUt9xhbwPG/dIiGNf5z3TtwIelo5ggu3EeU4V590/RNtIT0iDIPc1gCMeFm
P4gk13gstCOKvJuRvH3BqcJlCn+MsYwAwowsBWE2+LKCC/dSE2w1zxzlS7FSP6t0SVN8Hpt0dCS4
TfqqbB7cpc1OhDzQtYdCoxDNDBMBMPYQahxdkVxiJLTyd50LXAmsqS8IlX2HagiIO1h+4NQW23LG
7qafA5eQi1nAyFtCWhrQ3b7R1czvijrbRMGRxWfnwmiLh+lgD+3MT1LCdPzdoGITlwp7Mu3OAatY
9Jy9MSE8tR6M4fkSz06iw8Qq8i1gcdWzoaZOCWyXefud9i9DnbDTwxJseXKZLtbIpT0HlgpdYZpP
nPXMmDnlq9iHfb4PAbyzCMMwdmzHJfCzxuJQVpr4oMPU8m4XW6sWwq+uANq03QDabh82qlGbtYLA
h3ATjQr9pQpRk7j+UYcQ9c3izE0nmugMq06wbPskzVGLOB9zdFgYYSP+u0Ngoo73HprH3X3cLTw8
zpAl0R5esOSOZT4jwXJoqlTyYefjSjqN1STKxwX0mddtXWWQ+ggyXiPYuCuOO9x50Fgm3PdWyKHF
bB2Jwr2AnaAgKAONxMACqETGl+uFsS9xSgPoghVgRtjd9VEBSmIjV0cHf0MzKdW9XS3lQwRPCGcz
BQ4ARYoa68ZD0Exj+6WtOGMuFdAvPDu5U7Ft6jbr/qbtGkC8kHVTvngIBaq7ynjOPc+rU863a2Rh
KYqK5kBTSPhzC30IxR2jJYz6fT8e5tkPpxvVYVgHH6ayK+dKlByr+zgcJmfb8Y4UQX4JuxUqZT0p
bwGSUEwmpV/VrJmKghdxo02rLD18ilxn9OBgDNpDXLLzUBDZRCWafs0GAFDqIAOj42Q4H1JOsnIr
GTquKxoE4JPUIXZXumJ03OIR87fierZtpz1A80wYZ5CgrQ8JflYNB18wyIue9lu4ER5U6612iHBw
cpOhj3YWVFvEl0Eao27nl8lRumLYoVsxr5dxVKNm6cxO6h7idnFqMACyXLETjIVvfWiZG3mPY99B
ej2zW4lVxz5q7GV5WKBJDNcWmAvrzrO8fn0aanb1BlhPoB5XOSWI0JZDIFV7Fi5+si4Ybco22EWw
BYuzOBvy5bBiMVZh2Fg0wk23Uq19F352qjysX1K3baZlB0NGd8xLfIGSwijbRm5g4PsDjPK47vxw
Nxa2XwZncWUVwQ3OqVaBW00A4rFMv6ZhbSxltk1YjG6zc3ys0JFMEoOwkhvl8jD5hx/Zt42+QwCL
KakaoEYzejUcS20l4GE/oiHatt6ujWcVI5wA1J4cRU/SJxuL7ZkPRi3a5Jq1pej3nikB04pjJSKQ
8HF3oUkfFQc4n0PqBSbCVb5tMswMkKITHxA+hv9sHqydw8sV7CIpKWSUiaOHmUPOKTPUPmIuZ1pK
fudh9BuT/UFpNZWDzB0DnNXeVDGTGrsqC/7y677mVpzWkkV0llgDvYYW5RnCpN/3ZPZhQXPTPfNc
nywY6JLJorEGbYlleQgddGbGMMeobYuq9+395KDDIo6RB0JZHWvmmsSUaqxsHpS8JKTf5PuVMgGx
Kl3O6JkZKKnJrKOBBWpr1AXLbdjNC3eqklRy7VEiTLveT57f8XdNHC38MgRUY76l3m8U999HuYmT
hScNHc3NnYg7quMWKthzhEQuPxLFoGuf3GFUwecZZ0L4si5c86ukySeOxaHFVk5c1K00KUsawRiM
IP7UweB8G61eF9FuBtM/Yqjk1PQNGJfEC2sbIRrM8hPDtUmRXts9QV+ZU+rHCQbQmHUsgDgR0YJo
NnfviNhiIdsE9ajmTGeg3r7hBsTCEmZycwdjb6Vsn39WAhEa2LtjK1YyUhjy/MaGYQE24IVT67Dc
kBCZrZjZ5AF3frXE/l+lcug9fX+NHJiO80T5Nw4PYRcvPLHIa9QzsLamj87sKCmmOf2wzrkdR58m
eMt5cUzbIKnmc490dHpYpWuyWGdtTfNJKdAu6TnYUZNU2AOTSrQuXG0K+TDo2CwV/TqIwNlsKzns
sDQlS0nc2GTzEyZDyj9iXdpP4Qc8Ot0muwpiaXM/+Fyb70AIFPo6IJ0kmQ/gBc0n0lWdaXjVeccP
xJNnEjWnpDTOOsZ0SMLEIzqsZ50rS/JsQILmdE2nKeHQxM6URHUrREsWGAjEeo/TEJj9CJEQeaGt
zQrk3+IVfrfe8s/NT5OVqPXDXIaS49JJuS93m8Kj415o4qMTtHNEa+72++dRDEy/HsBbodhxpnoC
X3UlFjElf0/hnDA69h1ZQGmsOvYCelKanCA/eMoze7es3ai+rmYnmYZdUvahM17wCypBUjs3gMm2
AD8rrlWvikew24nZMDqlJrWOpoaSL5FRpp4nNWaigks5tji+U1t64sqbHSS4Nuh+sc8q2zVFYN76
VGyQBM0L6b2I9JLCk/c8aH/Vl2J2qZ+AP+hlOltc0RXPU+qA7tsiFWEyH4CYE7lG34QgBs+yJSpI
DH5UxOGKSsp0WFB3pPqqk07wp4SaBZkZFLeXL2g2dOsH24KPtIWdmVKOTKlKeusYBq0YH/CiBue6
tWaH9Ucf0RTdEKtMFqYWxxT5MlImkU/ahv0R93HCWxsqGrrNbgmtNQKDDBuEHCXyG+Z4JCHEAKQf
qXnPO4kyERD1qWI7BbDv+UUqXk2obInJwbGVWKBgPiIXtv4R8AgzRV2E5FHfP716Kk1qVVpVVOM+
BRyz73bDNPVmY9Sz6R9ZsdBmSyKIPNe3trcsdceCrKbi9iNrYCFnB/p/caRaTtrrgHEtyaue8+Qs
Tutl/BgguNafh+OCLnTIMB1F6BHYLvkBcmLYLB8C1EL4NZGHvF50lne1yURdnBCIM/P3qnEpkoKv
tEOdliBFwj8CJqdz5ZZ73DBNFfi9sCjj1dx0s8I/TLZ8ZZp51RCuVLzeFOZsdIokJvrbOa1rXink
Z3PrY40ATbVfgLcOwx51FK+4li3NEX5w1ewo7RYmYA28RmjRgDGQFtqADutXJgOpqItn0SymQtff
I0e09CbRhcNlduX7vbV/0TMCsgOdjoEORJ3TBmsIMnzGC2X+vMSDqTNBTpYYUFgeGr7Rph8Vz/ub
S562O2lTgQ7zAYl5hhZ42mfVbY03xcDw3g9mM735vjVK1KA4ut5/ul8vZbBKhvrGwMgged52xFx4
H7DsRPM582ITn5rAExNJIcGa2PX+tV67gW/bbwCGkEd2Jez6X6dSvW1IzMBDPi+iGilkxtRox2z9
wUv5DNEhcTgL16AhaIy15wP9GKeyC5GkH1zqbroQZrIRUfKa2PM9Mv+YfdQqMSVCLX0M5a7AGsz8
6f3b/2WpcPUADgQ7EZ8q4FXm739CIS0qroZklv4zGPyF++CAMmUhhysl1PuX+mXPYdmE+SQQK5Tv
vPC0300ahXoICdRzlIZQy4+xDvP5yVml+USCOJl/u+VORyhgnFCwR4CQa6IycArnQsJDhAn9++cW
DTN++7DwsX0YMyL7XeIi4aJ3cUS+TzKh+fPXEkqluiXaIfP1/rOfLjNTUx8oqJmq8rmBCX27zDPG
vpCVEvE3PQlKR52mdKlC8D5EwPevdLrKri9snhYKEFejOXYycytIDFH7zZ2/cVGUxfXQluaAgtwv
OORT12SN71/wLdSVoQk6xbSdGfJCzSVpOtlBQx6uBBOt/kZHyfST0d81YY6gqHmvseoweNykWaLT
aCsLXKn1/v0beKUS/vwFkmrBabBxDZHQjX+RBKdKhOPfyho7QVsn9Z5ZFlajdD3SKD/7nrZMKjWp
MY5UJn7/aIpbPoqhYl8FePqm5/P3xakAobFGtP41X3GDlD/VwlqGNUdCj5NO2O9CMQC9wGiyGIjW
cvbNYQmnoAHyncZgtIFGEJ3IRQaJ7OgXBwTKjBJ4QYtuj3RD5g7nGaNlpACawjK5VQ+MhmBhKRdh
3y3wF3Ocg6Mgt5G9MEd8C2qW25LfG/Q9qT1RsyjgRNDDCYfXjM+FHdRu47zKiSR2D7yM9liSKzqT
7rRANbpMa2xBL95f/l82HAxP4KI+QiYwwH/Z2iOVRYr/sv7UpB1coGPSDqYEQgXMZAA/WtbvX9J8
LW9eOKEWMxpmNGjBA+g+2eMMyqAw9OH8KUqAs4o9WkdBcW0MoArrxu5t7mDjlUDscTB1YpMUWvCQ
+Yfv38bpkwsBTpbIaXCcfHOv4++fYify6vXMu0w/FQ3tzwtEhobq0S1mV125/XDz/sVOIwigVKPk
EkI5xvraOxWeD+AkoEDc939PXZuvT34uzbbI89ZkVu9fyj35pPntOMEZHz/J5E0I+2SiZHwLy7Ke
3EeYbDCMYtqXQ3JIaKNS6Wb5zOkAuXCt+C9Jw4Z9ufjQWEmFfRVuWtq6tGAoecz8vp1FSR7qrJ5J
1LOECiXF7Et/SZs8NW2txTJtgHAIGj7CKQxMmxg0Fj89Ib3Lw1mFz1mUJJaZFDlTZeI1BUEBM8Oy
iKPloW7sxLt+fxFO1ps1wOZM2HynnsQQ8nQNfD8ZoioYl0coMeZkhrdiPjlrxorr6f1LiZP9bN4p
wQtOArhj+vqn+3luWnqqjhc/IOj9eq3Rp3VaTJ1J9UdCPSHo++y9BKTDKtRLbbqkP/6EaI3pEFiz
zeL6njT9TGrBlkjnVn1MR8Eqcux18Q5rU+Q7EQkp5jMtRgomdH5iyuNsJahNhx+DP6ZFZohkIU3M
t7OiMcLfTU1lXvjq51zFep2Oy++tCVRYTI/X8lPzJqHBJvzLciLwNzvUKU1j+ccIjS+SvQvTyBTP
MeZv/ELtVDMtkPeXNHz7+tDORY8JsDiAJRgoNlT9twduxxOAgm3jL+Uk5F+5QoXo4DIePQZF2Hr0
+NPhkHhLdKnDrIx3rRfXx8otyqcpwXD6VaWLoWkiNhGQxH4Dy6Z7jKlf+w/l0k8phjYTOMso/1gx
avsytV7fbgIF32bLLCe4nXxUAVI76685kdKVaj1F09rqc/Hnyhx5uojVnKOVA8zS29E1LJ6s1cJh
eiiBJm77SH3wOJWKg1da4lpqNe2GVnd7ZuLlU8oM/wL/Z6YEuaEUcojMjPAGp/wb1IR/qRf856Gw
drazE62SDy7n83MLNRDZVBWktDAMj8/N6xrGmRifMiFQjAttC1E5i77dp2KMoGRbrbpHo7QnLYrH
IzpL+YExgW4BpzJcRtc8yqzN6FXTRVk3+2GOJho2aZ7/OaK3Qdc8HpHynVXzsOZAT0k/LXT/ge9v
7cD+6A3a/uzqof8b92fvEYlZ+OALzt+F7LO9l+ns8v0d8TZYsyEYKxPMUPxgpk+icLIhUDYuJBD2
+oX3BcMeem2xD0q0l3htdvD4/sXeftDfLyYBypljnhxOuG93H4xHUjsV1S/4gFRghBb7AWyn22+q
qriePIEj3ZI01UdGhOAm37/2Lzv/9THB6jCyIYifwiZGv48aUPLVS1fXFK6ibIsFHX0H4Nv7F3r9
Tf99DL8+pYfKCHlf5HAgnxaRiwvZHImj9MWZG74Z8WoeirGWkwFyL+Vd7VbxXdbHFkD20o/anZja
rDybMh/h+nIA9gVYL7hVgYouaquTj5y3PXnSWA5PVUXy4g51hbvd4Hgf7SmvvyGFF17VtGc/Tq52
/4xy6tSN0ziw42GT3ooqYh9bsgro3hTM4pw5orGmIv2SN/jv5t2oDk7i28/2Mojtyvv7TS50AsJj
SUwaQBrEumBB5p6mBI4l+8UDVP/ijWbx00ykZwjYlsdlXWCBR+UnYSFlNOLQiMI2hLsjGF9YD++/
Gd9s5jdvRhqwpsGDIP3GMX6SIDnoXDM+SOVLMjI4oJ2mis1iHAV3PVOSYTd51XKU1bCMm8xqK6Y9
TXVs6FtdT22Afz3EBut2dRLvKFAaZz4BfLjK6KdvVWFdY8Etr7TQZ7WoxAM90PK2sXhpm4DBmN6u
w8LYJW+gVco2knekjQgyzl72TQd5diMksukFneJjhtrxLa7B6G43cT9+1mU6Ptq+W3y0asgLm2Bx
5oNwB7DVQmXQY8sozbdpZ/MA6eLgJjGgBMX8ussZhHAm3nu+FV5lqfb+dOhqx3gXFP7ym21v1u50
bTFWptwPqGblqW0nIo6M12wZv3RQPm+sTuRPbSY0SO2utlHuN4jx91+nY3g5J5ckN6DEgYUFBO9U
U8dB4kRVHJ1f8zb3LmibQUaKR21d0qjMDwwiBiK9n6iXVtjlU5Ysw1WWRfZHa4rE4f17eWVIvr0X
Uk3Cpxu62Ao5pwxDNVd+HyZ1/RV2s8QkJkYHtVFrOu26CteLznYLOhyVYYYj6oLiJhLo/jEFDruj
TxLhGgXXCKOYBgZANpSTaf3SQq+tPr0ugqw/dkIsN8GYJucJMtkeOv1GObrHTBdV09aukK9xwgai
6+q3ZxbLcsiLwbqG9zTxA7O0roIeiXS9oIqDgF7WHpKZ03vbOFBIKsa8ZJSigshQdmUNpGTOmeEy
9HzyJ0pTcpH+fnCX+jytSqE2SgKXYScyLjJeh/0HEWU1I1cQdejBLsyVhqAsk20P9uF6xliyR9O5
xUqZ9Wucc8ApszqzYZP/Oagm+wvOzfDNy1xUg/spB8P//tv5Nf6g4hcBmgO6hrrWL3094TIJLZa5
+AoT1EaaFv39z6A8NFNDXhk1lXxZe2PbW1ufNb6emEAEU/s7atu/2rChgSBz9IURpMKTdgdIqb7q
V1l+jWGAjbvXFxJgK1BeZWUwHGxkdx86VY8HHSDU1yK89ylFrLFln6zOw2/W5F98sMi101smdIC1
jNy3h/FajbgwLEX+NZF2cN8FTn+HQLyFdD1JBufieDOW3XDRIqJ0Xi7CuR5qyXzpVWkgk2kIILme
pyuI7uIbyPkOlZUuK+5/c5e/pAwSYp6AmueCmTZiYW/vcqpiXUWdN36l690lj2QWfr+lk6g3Y29P
OPki6LGZ+xVV4FD5zbcUmeRis8ZuO58J2fRPflQmV7aci0dXeSMTEk6BA4qdJcud5HLrdYx7v++3
/7BtH3T79f/81/NLldXo/lOkfBl+lrrDMYoY/Q7bVhVggZ77X/+df+i20R9QPjHviyJk8IwE7H/9
Q7eNvD8Iq5i3ubQKQc5HJHj/0G2DP5hx07H3UNQC9m009X5QLYT4A4FXfjo09FXkXv8t3Vjg3W+O
HNOi5D8UTqBLqa790zAPcMT1Wnf0zv0yDLdg8MF31MN0tsbpclEmnX+EAMbAEPMW/eI3vbzyC68D
1OQ4813TjDbbtrWeS1na1wXIVSaVsXgI8hxVrAB9ol3Se/ImLaf+TudT9sDAvDwrGKOeV/R0/m7a
OIRXIfML0F37QffdZ1pk+REaBbILtCAWxZSiXb/YLXa0WZwEtBqXwr2ny4cWe13Wl7EU5dkoUEFY
hvq6wTFuG5Uxeio51HsHNaXzOqtQNanQH9+5ViIvqg4u6SYul9umDcuztgyNJnSCQacMFvcjI9To
Bqibfe3ozL7+f+ydyXLcSBZlf6Wt90jD4JjarDdAIObgJFIitYFRpIh5cMzA1/cBpcxKqbKlrl7X
psyqSmQwAIfD33v3nssBSIHYUxlyy06c75hsR48azP8rDda8Nln9JdQJo1AJbtAs1CilFK6CKbQ2
3jguxN5YzBhHNXTUfkPr6MZFgIKHzkb/I8yp9ZqVMWPmav06jnyI0ZBxJBOgJmVfZQ9SpJYklluk
u7qY0r3brgHfYiyItZw1qkG9/1Q5SXhNmsp420H+eGGiPj+WDTzpKEO0bcxpc2UZoPhptCU+rZBk
K0OzP6mTJb/AFp+IeYzsLcFuAzCbjK9BHIAnyC/aD+WoezIT/aviGl7SmKgx3fqkl9FBrBPxPkEx
lKkVBCEzvBRZXRwUwiLzzCbVR1aYQFHm7iSQujcSeSqvTbvk1Fli3FmqGx70Ii5umAws0F8V4Pq0
kkMlICOgP9XI5D5Gc+I+2dIqAljB9TGsMUPWwyjv3VAkl4UC8zK2Koo7nJPJp7AT7TkFUfGB3Pp6
V3C6c70RLc/eJH0Z80luGLfLbCeXCFz5Fr0I6ahYQ6lgklqjGdAB5EpaYzhbDP5u3Ia1Qj1hhX66
iPyln6b6KrSsfD9PvXGyaLnvitpKnnrHTh5lHWsICmrztkDhtZ+IELti1muc9NGs9k1fRdegY9r7
dDFcfyra/FAoPYlF4RjCjjWdK/Az+lNJ6/0iI5EdEho7+zTNSf4tsjbnXE12UF6PJz0eBctRNntF
7QLOT90zQw/YX+QvaIFeh/YzTLavppyKQzTXwI+QyR0qJIzbb/hCEOQfDZG9zKNRE9oTCf3Jdsr7
ajCQELY1oUMqUSgVaD5EhHGoHE2FyZXHFE69igeqb5ItLflMPl16Q7o7mTdYj9yXJHTiXTnwQ9GS
5A9OAupkMBAYA78qTmnETRwNA7xyn1sb1FDFB9touy8cLIaGsCztHuHJIdJH61iNcscQESmCZRel
l+RpdktHOr8zw3xvzWN3tMKlPIisqDbkVQNJZLN86io3OdhEGm7nxJAbXu0TCLIpvatbrGQL+Vq+
kVFALPGcrUKA7BFV2fRgU2fe1npR+dxQjoBNnOkbDg/1jdKA08gteZIN42AfbpvZpcUubAFUMQEF
OpTfDmE4PCprHzyzDO02VSNjX6K9bbGC8TYHtNS8GKDLPCzOm1GdCPDTxikYcq1XgBMbzmNno/H0
anXJE2+05wqpwxxdL22VkfnTrSFqs2n7zTBZLu7zsfKicA76cuEAulQ9qD/XHR6ihfwuL8+ovXPY
0Wxz1H+eWzfqCTp0fZnLUA00TXlMCUhwyECCFpzkLo5VC+GsixMEdn3yCTuxeshprAcI46UHDbD6
klsxSrgqdm/NwrEObUvGlLcwbr9NOoWsLpukGvjgzxZxGLsUS9yN2loFNqXCUK8Gp1J9JywWBFxO
bgUIO9yPLm+Nq0XE8Scs88m5WIbPDBGsPW9EsvDSdrhqIwGFjRP7uU2t0u9mxT0XvWhuOjJELimy
so9KmORXbUbcFTHLkMvcKtoselwHDF6NTzTK9L3V8S1JWqq2RKHoXxc76i8j7YlnYcj15QL87ZHD
f/KAKHDIPezTGDhSN9r16KGRHkajr2hhfKOtQZajC/J6iOT0Qe259CXRHRuSNOugnXTn5IBkSOl1
kFKEY2tkoQGsdhVmdNzZHmlaZPS7Mpm6VRJbP+R9uEtwNASoF5ebbDBEUA+Inb25U5cUzUtJNmI0
bS1ZDVfaEOlHl7bW51Hq2WbEz4KImNdtwiN+ApNZ75mSI8gEJuk+ZZaVbIpyVB/zEAAEOxMWp07f
zLpl3ix9qrzUGGOOdecoW2Tj7TVOwfxAWEu4BRnQ3ubz6Dwwog23mirVD/GQqHycHSr+PCvW1kAI
dNXMkviPZX5Rl57tn+bMguB6EgCfjFHbLNS2nt4qJ7NUdZoMALQmSsVqRJa5GjhUWENZot4y0F89
lWka3fcmBxEYmTKf/dJwu1sZyXxfxTzS3lTbGQfgtqGIsUNHvrlNnR0IIdU9MY3KOdGLYHbK4mYY
ymzfmf2T2ZjwGqpW0uyEgPAl66wnLA7Pati/od98cqrprtQW7NLLSJfTkLA9S3sOkNHe6zKqj3Vs
2/cDuXgfM0qnlxXy+QmtzJMDclJhqScYlTISZvgW/bGWrRy6HcR5uVgXjlpkbnqLjvQySPACiGAd
eJwnfQ0VHafeuZGdnDHXWOFbD8jMgWk+cuPwb+vooaGS+GGl7vqZU8+uiOvqkmDTqJ5qNlDOXqt4
fgqzrUQoXxxhGjebtee+4ZCXnbRoLo99k9hP5mzKzzQvovQmpEd3smNTa+7XvLVwly9Zjn97ascF
OWfUmekrAYkky5ho5EywGANZimA6swrRUGJsSkWdd+idCIa02k/Y/UmNnKJ8o8LGhz0gPk2KPu6t
pLb9GRDsFf9y2rq5zXEyj49JI849nFtAFUplelnEW0axQa9wFnkolzgPYipcIFSu8iEmxukMy0Hz
sVPNV7De5VXD3TwuHWiOOBmf4T3Ox8a1FNRbSr/TSuI+0eZw3DIWgLeuaTSnJDlQEaF+mjdwujqE
59jY8AKjmARggzND3BZES4PbUqLDIhAY92FIwCtBc8dOjc6Wluc+5M36DGii28yRLT/3hoVCczLn
XSKHZIuTwg2USAU+n+QVYdiipksQ40Xo0F/62Kecfa/WhLnkerEz1VB9Ez1mAr/GgggLzmV0/2o5
peV8atWeMvSlFzZA24dQirWDyWA4KfL/FnHfwjp+U8TpGiPrX1Vxl6rsnn/M/vj+M3/65VXxB4UY
ghaEISpFofFXFYfaiVwQxoZoguiX0Q/+q4oTJIaoMJHBj73Tz1eY0fcqTog/6HGbro0oB9EK3N3/
xDAvfnLMm4zbVAvRo8Z4kYqQsfGPTYV6qTJ8SnN8jY0TTTcaPSXFQaCbPgy3bN7bVWaUW1RLAG29
xKgvEZ0RP0+i+LUN0XVAGS10Yq7UGFJrvEhOXZR6eFYaHdR1mTjEYJNmfEbc1OSfkkXIc9Uu6msK
3wsaKjNaKDgIPYFfKMNg7MgTrB7srrNJpJUwUo74gZrx0lAQBnGXTbSj9Hz2splxfk0Oi68hpkO3
qZxVeIOJhzsj8rW0XDiKoTgZep3gDj3ODwLT0cwhwSFA0FR705uBTm+JqQWagnHDjH1hxcklH6rx
0Oe9TWxm3xwYaaa1BzBjuh2kwkSs1zeV7n4ay8nAoE6uApkV5CZw1lrST5PZ1nAajRrsyXSOXQ0R
a7poDdEMZA+GGL6qPKVus8kiYyyB9tCDNNu0/gIAZcHDiKExwerYazc0AM0VttPeoF5PrRPqR/OF
KzKfMtTbYXO/WPVy6BrRKuJkN3glgrTRcNaM1lTvGoyoeYA3drxUqcgTke9RRFDPl1trDZblIM4p
qjP2wICACQO3yWoCfE8L3KaGs5SG/FmfgjHO+jQePDdqJn04aPiD3OFEj5aaqvMmehROBq1Vse16
U+umeBrwod9BVQDnIV1lenXL1dDnplr7RmK1PgKpKVuz0D7ARdW2VpfQlvJqO7QfibjuBUNQdziT
LwYhtuxrLhR5nDHUmT49JMItOZTl2a2mVZQGa2ATVvvxmmjxAQdSQtJIPlGCziDkfEXXtKPDKTRA
VEuoapJkO5xSnFnq6a6zekHKIZF1m8RtoD3R3IuOjtPZwhcGVxtJvBPuqWWGLsiNGfjMhG9kcZf2
udLr/EXvJJG/bsZbASAUSaSdEyIqj0DMYxxrXe3YGrx3hBHlJCcmqcYMp/8cp4LMN8wZ5o3CFTQ9
Ss3oc9QIjtqpKLYMZJQdJ7pyY/Nxl9wy6p22aNNtWXXajqm/k14TaGV7hXQYeGS6mp10LZKrkLwd
Ng65rodhVM2rZA0jAUuUizOS7eVYhosKn1hdUTHxM39junVw4Gz7HFhOTMz5phcWjUG7fYynLPwc
N7GLTWkZIHhxwMxkxtkAT9EDVOcrE63h7bqyr0MNII+tGmVgSe2ypPbMNKsGMGnUgC6TWm+4ArX6
RsS6el2ZWfQYEbt8aqQYz9WQ5fsWJChhzla0S1PCUUIGgRDH6vZVH7N2R4vc/RAJAFLoXfQzRN+P
i65elwawVFsJrXO2DOYZb5JCsduOn0xZjcy76W2fp8TQnwqS0slnn5cq8sZcNe5op/WBVrbGm2I7
gG4ggsfbbEl5i3f5i8VJ3G8wADobpZ+l62WDJT7UxjjFvm4P1QtDu+jeTEWkkvLZmF+6gnDVknY+
vwOVdO6QgIheXvEk6s3DqFoVmd6yQByfpsjv8eUYZeTsJ8iZgMHLwfF6hgZb2MAaC72nu6G5cX/f
rTyknOtzD3yTTPG0unP0+YyriSSdLHT3ig0Jw3MMaR8dMtldzxW58zpZZXzj5k6yH8KqfLUT1d3k
KoJiry5UEs0xnK4ZmRqu1vSuKxoHivBqBGJ1f9CUiga/BgV/7/ZG6I/d8gAxXNsQYRgBIbJlApp6
YGfvVeNzlXOMK+Je2UyjJqhdUH49mVByN4ZWL3cV6fG+sJvxUxa3DAaBTV50JswttcD0guh5CAaM
Um9RNkI5NuUSgGdtdxMQvEeoVwVDxcS9HjCL3MylWW21POpu9KapV+eM+gHzxZL5OKcyucVTFKGo
l+ozluJmI6a+uiMjuer8eYwNMG896UdaF71NS6Tuy6G0n5gVLspmYWkFC1uOH3fzgLQogvpcVuz8
ztgwunEG66LLJUK0pBhbEWn6QyRpXkG3j48VVcSN5Ky76aQ6cGXdeP4KLq/7wHhIElmrE2zU4nyS
Xqy1BU1HMrU0bdDJu8BL5gtdfi2KxAi0qXI9VMPVZWJq5yNeas5LWY23ua0E0LbcCwROkwi9OYnD
g2Ep2SVWNYlTUqakOg76fdrm9cWunfmDOmotJCcrdu+EO3X7wemmA3D3hOkYQeWotxP1mvFJ9qlw
K/kpcsrmpuzz8GMN2u3UT3LyYtS1D4Q/z0GsVukORckcQN2Tngr0ON4Ivi2xPJ2udgeiMwfwwXb/
wJCZ/lEiWnQhcEXILRBVQMKweiM57huB7YTVsRwV0fkoigAcpAQZYDYg+NqphMF17MZHMdkrpzy2
dvNUoJxJZbgc8fRbLzq/H0x8WCY3UYfsxUpV99O8mO1eFQsveqdUV4sRVI4tRbh1tpO6vg/tAbS9
YjZWRsuDvKCNM07nXlbNtq2Zun9TU/x3wvGbw7GNDf1XZ2O/yqvm+bX6+4Tj28/8dTbWOQDTpeNU
zAEUhfC/zsZrZh4jBcg2GNYpcDkA/5n/ozHG0FGUWMzAUJXqf5twWH+gMyHdAdqFibBbdf+js/GP
EglTRSkM6tN1bYePE0xMfzwaEwFfA0dYlBMZVxJEB1Fjztw/NsRylM2RrF6bzgOJzSiadvQMwRGe
DTcvxiCCLmTanEqrmTf8UbihkxmXUtHRZc+e0hFExqESQHNCgGSWdlO4ywA+JMkZUsdA72Hhf0VQ
FUqmoAK9A33rBb50X/RTTCwsb7YlAyFukzFOY89XQAGUxRFZANTezBhXpzr4t0F90ssGtXBlQUeZ
P6SSjDADkzQj8Fvq9j52r5OkI3nNFcziCweJqm/2JePvvMeBMrPzcC7F3ErcxH8pvN/zH3/31DB6
+/VTw5T9pUte+h/GiWCy+LHvDw48NepS5vc4iq31uaFy/E7itY0/kNtTahrfU7UoX/98cHja8NYg
iGYs+G3+91dRqf7BVNAC3mQyzmPY+J8VlT/J7fkQm6YLKicYsjbCyp81TqY+M73E7LuvSjDpepzQ
qsHjhuOle6Rw+wL8nuC5aumCsp9cH/Jf603TnB0djUBYtXPuncHJjpRX2WXq8/PggCq3FYtJBwfs
XFXo56WDS6CRmGjUlctWGIVKOgli0Rh3/rYm38B3rR4/gavf1jwKGyIc8dSSzh1o0ibbROMz6cOQ
oIzuzldpWW4gLT0OuUtPMQHhXld4Tsz0C9nm6iYv+OeZRouNhMnmUA/NowaaGhPAYHgpVoCgCO2P
HFDuUkP7MnAu42frx7xK3ujKwAit7MTHiHKrwRLAdcb3seqpC9RGPlrwf6AlQGgd3yNYInRtU1Gq
m0GxDw0ntajELhZSovmDGwZRV6CxTbM3pOyTZ1lcSkyF7UaV/NJ84BIICKZ8BS6D6hyKpG03YcO/
GlT+BnSojA9ChIY9NtJ9KgDscqLLN5a0+H8zcTs6fResP5lCc/cSlySRhdwDL5q5BHVudIHZactt
VOW3LqVXkLd8ZI4N6WQKSfkzGnrQS/4go7ayDcqCBypWxhhAVTY0+N7mkrR1aTS6b4YzXelspgxG
mfAS5orGdXDvaYx0gVHmMA+g7BCXCfVCdI6DSXxgEpq67X3ohBkoYQZseB6Wbb2QuTs6LA6j5UNH
0z44mnL/vkgSOZO8JWS7qW3WgTYbt8XgYJdW3fuR4aqvk7XhF6p5OyT8UVGaiQPDJ/Z7rKob8mCm
o+12OhmJ6yrq+Lcks14lrUbQYNXqgT0gObNCa+IysbD6vADzZJpXrOc3bJ40tAlz9fIx+QJfjHu/
8N9SePK04pVyM3YO3Cgcvn5RcJVajZgw3a6Xiypb6pG2eXy/38T7IkRi0uJ3I9+XbozroR/l1kve
F73l5EdVi954yFnVvA2Q2bI6HZulUq3PQiS7+SGP+a9UhF8MjT+EJ4/+fA00pudyoRq6nxfu/Ch5
Tmx7DI8jAqpLzJQLvFX7aAPgA0PDHXZ6FhNpV1fvF4PIG/J+FP5pnRVfCkDQQaja8ggCywxIbcCq
m7XhcWY+eVe0JKIjR6HDBEXbN3CRb+Fu6CQiV+qmaASXdK25xyhuT06rTDum9pAiZJiAJV30ILN5
KJk+npORMHim3KwycKQojcvs4ug8qIbKRuAMdD9oc+eBynMC1ji5HWLz6v3xMiB27FWt18lLILe1
JymVuoYBM7qxdiMwzx7JJCh3E23xAH8+j2GGmOz93qIlW62q5dkiqIothCVQ1tL1CTjAkbCu8sXO
li12bXfHJCoLZmzxW5Ts+QY2Bq2hdQGsK5xH/DYRS7kzZrYx0q27QNBe2L/f5q4fV3oKywi5QhcM
qRY+g59T9mbMV8UZyuSh1xRCkAx2LzP5wiyAW6Bl1FT8fTg62VdgJ/qF0bm+XmrhUW36ksOxOl2Z
k7lzxvQLxBCOIvZYnsNMzwJ67uiBFlXZRybPaUXY6nm2aQPYFousLIzyrLQUdgucGPbeAm0Lm4NG
aFwyiR3WxJYm/cQv08bBF61h+XanGhts660n9bY5jBaFtU3Vu5mSQoWqbRqBAorTtyONzW3k1r0z
FcJev41RVWI+Ludd3bGZYEEf6EbytcOBPwHcF08RzIo9Jxb+gzyDb3uT7k568P7QDok1MJ5W7vnd
8Y3ZsCQaU9zq84oqDxXHMxn58toZWUxyqrctIwg/q3J1g3S0PE+WmK56O3vjGMelmXkC3q+15ZrZ
Jiv4lb3GfRUlwbekebUbBcuZBzZPIglTwhudCdEGO2e+c0L5Jm3+Z6J0oFaZFE0J+4lQ8mSrNc0L
inoTYSPxs5W0PxYVxVOmxDfK2F/Zq/DcAA9+nJMJILCSt7kGnnlWAwxEIIXLSYGMS8jL58zMi8Ej
a1FYgetoreIBpUm/6MQ8bJgVuuC9Vf3ejLJ8gyWqTi9z1PZHSAPcQkMNCUIJI43eSKqSuRoTWXUT
RwK7JTyzHHUH1nzyjOesUwMyh5o2YAJba74lpXKsw/5Z6arqFVD9i0jUqvciY8reHGkoUFKxli8t
ZoVp3HdlU23dIgNlA6dPGn6dEhtT0BNTCAGBI4JPN7wAoljIYDEwnF9leuzYZM2KttiDGOmURwhP
gx/Dnc+JOncNbOjE2Fm+nDM6FOYAQS+IwBMrd2XP8QHMzv3fjmI33zSs/6Psi5sqwaHwv//neuL/
l7L1/VyDpBfBPNJIWvo/i/ZzV9EXAQ5/byczg60lfgMM57AFOfdAnaCCUQT4glTCza8/90d94vfP
FQz/mQeo9r+5rdxZ6AA/6n6vje+bHc+gkWSv1NWItuvs7def9qMP4vunoTWkH6a5xIP/5INYxkgR
5GT3+3xmgawnATdDWxOh5fj2vf5bOv+mCGABrYOW/7s68FPSvlSQZMq/F8/ff+pPfaD1B7p9Hc+K
jhfvR32g/gcgZAs4L9W1sK3VLfZnEUCsPLpbDub8P5hc4C3/VQTAb0YZiB3KguS1Rn38J9Xzj0uW
oh0vIrYqHce7gDf8s8cE2xWzAzO2Tniomz2Oj+nGJJx7v8wzaVNd05pAqP+6QP/wbP7TB9qodxET
U7pb78jOv1ktodHotV4X5omOGvSRYYRf4RLiZZHltI/mVvuN2/LHp+TbF0Tgz/WCkYCa8qenxIVW
3q46zJON3umZMymxammq3bfmkOx+/dV+3HbeP4pbzb1m4Idp++eg1CYmNavPNHHKCuI1ExsOI75k
zCOWHpHYuxCYa2epdvX/kFL0D9+SlWSyGtCLu8j5f+yBjDKDgkfKwanVU3EonZrQHsUsQcVBoiq+
ddJepv8Vfa3+4Rb+JAp//6IrKYGGD6ZdWBAszh9QA4BBCntKxAlEHx9ko0IavDEFvecPnU0AHc3/
Oj4W09Q6/tzEQ/sILgje35QTmafqpXv+9ZX/969vqSwmoA1QAhjRrnfmb4sqJfecIUko6Pyi/fbB
+SU7lTTo3f/nZ2nUywZTSyTe4qcFhXeWpLt5FiejJaexF2Tb2V0x3b3nu/76a63X8V/vsfU6M3Jm
1ku1j6wK0fuPXyvpoKhZVS9OQxi/tTqKhJ4Ygt/czX+6dmxCdMX4MHapn24mJb6wOz0XpwXqKvSr
gSQncDWKD1YL9+Gvv5H2Y7Pu21citFrDkSu4hD/H/zghVNkFN/ApxTlR4CPjMzVgHkRLN8S0As40
n4VFrraRuNMdQczGIRpC4zem0n9YwRYtTToe66PKSP+nBYOcl2n6GiUyOZ1+NLJSYx4Uus65VlpW
qHSLIsCT38AjXPo1lXZ9eM0a8AA7yO/wyP90B8Rqu+OcCvlA/WlFEaVjTQhreXjXXF1VVZkUUjOd
BPVJ8Ovr/08fRaCYw6SeVwssix9X1FQ7MBQpDk+JyeV13YhHVmEcu/gOkRO/MWr+uNWzfdP1x4ey
ph/zcf+2fAEQVbmUtXIMicldPEVp6qcSF+PTMhIxOZQzu8Ovv5724xa8fqSNrQqpBo0rbvD6Rv37
RlBnC1ZKzXaPakjSqoC4ytiBg/GdNSpE/LYh99Uwl+kmdlL9/j3euJiAIdpKSQ6lk1hyv0hef+87
CNmzNfl3i07WYkjKLymNWvW7i0QP/YenHBc3uCkMAIRI4dAHVv3T7S+dKRVTYYhjm6sFFo+YyjSx
lC3zxqynl1JgAybpM22q0K/SerYChP7WbQNSDl1cmvM3hkXIjQxxur8uxCu+TohAiWiJlzVsE1BI
vFGbFP2zqY3ktmmRK54lVOs7tK/NnjCe7hXnrHGwmUOiNkt14zDqqXzqBrs6OZEwjk3KBSTfNp1v
IrJdGjCCuvsRbL9C38cNpbbXWibHHpG+DXmeLkHlPn3zkJKvTwxrl5eSz3C40u8OIikdwmjEIHCC
9Sizr1oYAqAxhEbobWV3y04hXt46juSQntouKkgHbTRCjt/z4LM0l0/ArvT6iEN1voNkNd0oeoeI
f0FUkHzWyG+ApbUYFrrCET7SR5lXrL0us55hdrDaRaqbzzMZMa90ctY39DCYzwUBNi81Rpz9QDF4
11jkMZqjzRg7oaBB8OgOJjJRkzeMhkjjnkkgD+nkOGf6J4pvTIIrGhKyTR2Q7ELDaF+bFhgVBEq0
zwgG6Z+NoY3wggwefSAruHbXmOvCGt2P2tS0r1kR6TpzdOLnlzbUDN+ZSbvuIUNY9DNm4wDsnd9S
pDN2hI7rJnqVzJj3txxyarLRW4syey7iJt1jiifKBw08K1vEFv6jopwXm3qLg4mCmPdboLaa6tNd
Vs3WFNCxJTLcLHPtCrUmqyZD7PhsWxlXcwZQASm8cubSH9SQjNZ63S+VwZbtroWAne/QsfDHwEfI
iqDpeC9aFdIbVnA0R8F70HusFGvQq1kQJR5WUAA39kyRijg8ZLIBgZC1DOjZ/UisDb/W6ehxTIoB
QlxzeBchN8IBPYMjRncHB4Di1IiWC/Y0ZsBEgZnPqOaJLo+RI3otCpl8Y85a8wFFor5fKJjsjR5Z
4nOJkPTeWZL5kssh38h2qrSV46g5Wy1RmyOKv+EQIcTht+TTBHYMIfZGhbN9n0MHHRm1OmXmAROc
rxzcaqdCxBURmBmmyMRsjXUeLfwZnfd9Bvwk6Ku4ro+ZOiecjKyMwZHalrdd3dIAZIBUfK3Mpntz
xFIdgFOhr7QY7/jzlIaT32fsTP6Ss3GNao2quVPm+hFIWtNuW3O2XqbF1jaASEsEW2SFb8ncs0fP
7etko6VVuRuqvrpyQaWNPpry+HNkINWga4Fm3GKUK8uZXPK5s+XOgST8RFxwt6WVsny2orE6GqKI
4CmPYvlc5jILTBOMfouautlAsR18WOHlZ8bisBDLAckldmB7tx5GaT9NstVpLRVKIDkD4gbXEc84
erduTKEH6iO867NWOZSZrA9pE7fb2eznr2FUjQFCUeV2dqviMckG4dPc6by6xGyZEjni2VnzbHeC
5yNBJgBDPfb7odG2RV3xixzlSkyxyvZPhhaq6caI6cjQf0JxkEkke6iB6MJE0P7bqR7PnHSdPVbw
2dxAk0YPFIZ8ENiZcAMHOT44UD188G/xZqlmJcBJ0D/UmSXp85ftFrYykuZYfcnttnp080SnGa9N
2xZW3gZ9rAqjsytueSsxDKT/HZ8tgRaojlTuqB3p6RlfbHmjdn19k7cdi1qxOJE9z2FHdq+e8ki0
LX3ooKo7PT2RI8IBW8cKJdcA9e41Itqq8Ks1kmpWF5as2g3ux8bupyhw+gl6Kaw8lG8dAgysInZI
aLhuojcONYH+a5Kgl9eIZwSvvI+d3iSjPV9ToyqaNvw2barbXZZ0bEHvqdBGXbHbAt68ItOeI5w1
YPRcsRlEEcem3ItJpNPeZEL0VNcsW7+ibc5QJi/zJ72SmIEHgo9hhVZrersWt3Xx2UyJ9n6b60Fg
prW7kD5nBxIyFeNX8sRkhKJGMT8xRnAPaJ7aPSDMCATFFCW9l2tp/KUdumccH0ZggiqN/HBm+3jM
F6VXPiQLMMW9Q5PqamjIorVycMYxrNR9qoBKRlhePyxuVOCxtcX4MNCGvLOi+k3Pl8eJ1st11und
nn0Vj7TuNn0g+lp/ReYQvSJXGz9Evc2d44lPAwmZyfVEZI9QpNYwAk/mrX2Eb02c1zTmNVFGFvu4
n/UwnfadO6knATz/ItvOuLMW8mi8psh6zbO4CynyHMf9qJTDVAaT1uWXqWnE9ZIs+bWkD3gHUV76
De6IF5pzeVDhhvhSudaA/apedM8MdfLvWsdI/AypmDf2y+giSqM92bqhuUkLRxzncfgS1sr4Yewi
JHt9r14w6Jufs9FCntfkoL4ERFVSyNFhXrliTi4NiKAjAYiu5cVD1D7ryVifCoBxQZngOSOtVwHa
RNpjs9PY8rYKh9lhM2m6HqJACe1pG+clDsKsrnGfGcsHUsbCszr3y22HpMVzh2h8AkIg+0BtW5Ec
p4QANh+jiUKnMhyd7Mqa1LGmnd23e6pc5ZwSt/2gMhZyfSXr0bbqiq0CcmTxXI284d+0QbaXvq6B
fvIiPJVpW+Sb2o1DTN5wpQ4xm9suE6EG9piTheJHgz3cRvpAi798bwi3bHlP2cSMsJlzE+mazjZq
qPT7fFljogPQ0/QhgIZKv3Q22heyNKXmBE5uCzZEbfxa6VYf4oKTzIVA5B6EkHpg5NayJ9wouWsL
TT702tx+xOUtgmFCP7Wka6w4hCdPqHFMyhrqPeZ1IwNCLVziV7UALeN1KkMaMvOSfCO4VDfDQp2C
9sdufLMKk2sYB9OD2ozKxUyg2SMPlsbWUYzG9sq6JEqvtc3Rr/TERefA2n0L83j6VMMReiH+134d
LfqlW7W2iE6huW3mfkqkD7JOx6jelm6RyaaJl5l2a1e/mfEU3ZAaAPVhwY97XIV5pJJWpdwQQiln
AOFNwxCmbK6VfEwDXbUQ3LpQXo94nFACkpdpAxPtmSSesh7VkiLs4TG25qpnCLGk15gecHGFdZlf
l24OrKLUJ+U2hqXg885uNbEvkIxN/ccJrXMovlWw/+2F/qYX6mBY+Fsx9m+BdJuv+fP43Hz9eyf0
28/8qYYgYZgKF4anoD9lvwfP/amGMBFK0P904K99lwp974Ma7h+08VFKEOpEE8RYJRR/+qQJMwZ0
iY3aou5DZm/8J31QUqJ+KsNWCh2+a2grdNGwcf9UhmUp82FtceV+tub4sUu7st5Y6Ep7njq8g5Pd
cDCq5XyTV4Dp/TxmwEzxS4SECrhiSErm78aiPYZJX/BuKjPLh9wxfp06S1knnSk2OXy/q0yyBJXq
NX3+WSgNYwkqoG0Z8fDNhhoFZFyiPuIiJvuQ+fSHtGP4N2EUvMpTE7Wy0zND59AdihUQ2BwtjWD5
vmLQqdg5Eue4kR5+puY0SUaCVmHggJ3MdDfyx+ngV6z6YC9JeCAMpbsr3UgccVp/Tm2pPCZ5wSxO
lpYn5FTuOEVHQb2KNWqnra8XunmbYmpvByd6NRWOsSXJA7zB9VvmHtnWdbOYs72heClKiB2c+Lca
0y6nZbcDW64iIzERFm912RFrsfDp8aDfWsakeondXTifEFShM3DVnPtw6C8adH6Pk8sHVFXaeWIg
hv/x/7B3Js1xG9u2/is37hwOINFH3PcGhepZZJHFRqQmCIqk0DeZ6PHr3wdZbqRzjx1+4zNx2CGr
OgCZO9de+1sl5zBvWP5BwNVUnCyvfgZ8SgiD0Y5EgEafqRIOy1jdapkFzqbss7Tpg7tVdT+m2vxC
HaKvazBZa/Bh3ZYFpg/A9wbcgg+jGW5CN3VWGZU+H4GkIJuX9iVDBNDa9bOZadq27TOyLxs/f6ow
tnBwM+kPLy4IGYXmFsV0ZM4YP2asF1+bub7VHWsmI0g7tjB5XyvLUA81HGlM2CHFnlnnm4GW+G0+
EFHizViG7VaeJ8DRz1bmPThNUu2qETXDaCZGl8LM3cyAJ/a+dDx89t5jjq1ZYuEeHiMrxMZGUJ/L
SrmkLfth96bp8DkCV+rmHTKfeVMkknJ4IDQJo0aMrzePy3tTM8YNiD4Vr0VlXpq89beNFxLibMaw
sXlyVikBRusYWiVxUaP0d0qaTOlFtWHQLJ0qaHG2h8G+d6obYYzdVcQEKYESSrMfqauSK6tw9M8W
X3zdkBEdYLcXyZp0lwrvsKdCxXT/pF+Rh2K3h4ox05VNAtL0VSvtWdshW1Xh18l3h+tcUM+vIqDM
VImJqVY0P5lFTY37b8vXfxb6v1noIZcsI06/93T+ZaV/+lAF81R/Xui//53fVnqDmHmTNcbU0Xlx
jf5hGMX3Bp4WYA0DUcjN4Aj+aHmxPyA/f6MRoXmjiP2+1FsCtxwslUUJJxYNyeyfLPU/quq2gCOI
2E1PbeFuIFH+JHhjJermpPLIdPGAwxRxjM8nYu3502/yvzRJflIioSIbJt8RcpfJZvIv5Oqw66Uw
qyjcd9D5DExduHi8Maw+w94YbwsAy4d8ZtgKD0dbv/z1ey/X60+NA1rDvDnCtgcTnNAPfuwfZdAY
kNFoZp6PBgRCbuuqZlj3IypZYevZJTVE9Rr5RQ0fvGT8k0Hf5GPUkBA2jgKhQcICek+XJru2h25t
Sk0eu2UqpyEsRgvSPCRqcFJMRjNmft01bngpnHxY/398CXo55I6yNXMj/aTR68qq0TJnfy9nDCOj
Vc3bQiusQ+IO06M0sQSGRgZjQytYwg2C/l4G0hfXdhVNfD7aB7cOleFt1WDk0vuZrAx0hy2Gxfww
kuWz9frBeCiSbpE7ZkwcGmNwf9MR/FFu//U6UNj49DmWBq/4qaZoMPp2kzv4eybyhrUCAbAaezXt
XAIL/vrX+llEXq44vT8M0N5Cmvm5r2L3jDDUBu/Um8xQMA7AxSNZ4KhaU97pdvR3PcCfHqJvdxja
Ps1pbvEFj/jjHSaMpiwLLef9SIC4Y0UBVtBF/6yv9+33ox5Dx0fVx939c6/NVywX+aB5eyXoE3v8
ajXUrn3WeA9//fN9a/j80Wr79k42zW4WpmVd+JdFIWV2xF8G7/eCoKTD7GIYjH3umWniwk0FEZ8U
Opj2qqrNLlNv0ynKcTBamL4uMc7WK0o1eacmUgAQk3FT1SiJaF6GOe+jvA6PVY5PKuHefOwjtwSy
MuuWtorSYWb8KuJNxpp4eWD4yb4RTGEPzpzs//pLguv4eV1AVsc7brvCpdam9f/jVQtFmDMhrsb9
gP2VXGEmaYgMbQ4aczrbKmsW7bn6OuZKW9tZrpjKctN9XqTdtjfqdpvVSt3gRASB3ZYmDI1S/2QI
nIk21pfP7lAUTHc5G2UM4t6ghZKvFOkyAbm++QNTcP42nqE0tSD/HuOoFOuSwmGXwXZICRNhOcsg
Otj2Oeqgu/YJrRZ2l5jTXMg5OXKSvVb6cIrshIA6hJldY1beA8309JCCAlqXhozbFUXYW8zGExRN
BsIG1+O5zmEIkk/lWicCw8BWho69qXthBY5Vd4HTOVUOZieq9pmqsqe2WSYNyxw73aSdwUlM79M0
NQwCxO0mylpzZ4dW2qxSJ6bszAh10gCf3tmxqT/UXVN8cqOY0teI4cpluj9N4DdiEIaYwXB5lvH4
DIwFrkYh8Af4fn5Ip3Q8zbhkz8i63rr1kpKBIzLGzl1bAmJIc/sVmylJFD7dljD70DLNu9bKXFtb
URJtNFcdiwKMRu4YcpMJ/zD2Gml2YR2u4N8N5InQLOJ4UO6IWTwtv+eaAVd8jr7HmH01NCujMF9w
gaB9Ipweoqygsg7r6VHLUb/4U32+gWeCRk9dKjY6+0uQFoO5E5XvHbrZMl9V6DS3Kb9TeWh1DN3S
bcyHzCIPo+aO6Mmv7uABvkK1qbZZLDRkjNErVhWjD490ArugYiKQSzOmK+T4aD9M3TaOzTsRFt2G
ta0/tKh+KwiDrQfCRbybimuuHKO+m1R+TcRlDDcZNG8f5d26C5nUj2EVYB+GhSGQTAFLW6vUH6P7
Mo2u4Ux9jik496Sk6JfQmAn7VM6nqc1eRVHi91UNo16pQ5PLDj2QTco4uWM3HEsIDauqn0esyGgp
HYyBVUtDBJuvFrNEdUNgQIdHNavGK82LSKIjETSYSA1/0ep44sOM4TYWGcG7mYk8TSBQz83VD+6a
bSjbJpEHVCsdkmRNRKvYqWYBbcxVdWo1WCuob9NrChPprksa11sBHfVQadGJzzOKOstUY8iraTIs
RK0x3xtmojMdzuPiaFOlZytfijnrNoITwAp+NzHnbRwGo56Wb6q3ouc0NLp30hSnZ7NXw7HwvP6Q
9T7xsFFtnZSu1TtJvwZXuN4fOqz2Z23KavzUEwwUAqzcxoDH5bszE3AL16nQo2I1avP4aPXMNdOU
jw96FtUbK6+sIJ066EgcgXcGEPZTMiIVl8haDOXwn2nZZfU6Abxx9GuOuZghph2+acyqjZ5tw7Sf
vvatGqob4Mz5OqwpCmaaDytVAVKB+QPtKWLnMGYcckLvalBFGJ/5xuroOpjF8TdnDD7o09Xc6s2n
2R+ss+BBvYELJrt1FrZQtvW66j+MlMamn3P2phOm3mJ3jIjiS9ynGJrqqWRe40HTqS9oNMZnuiJU
Jz0lH8OKQCchY/Hp0NqhpMAA3TCLmV3yyJLPpObiVdXngTQ06kLNrqddnhk0YC2ZbevI757Igs8P
kr7SO55ifZ+nzA+kii8pa8ovyMfhcfY5Yk6TWd+Q7hoe3YbjIvZrF/eniReWNlC98VXPN6cXcPb1
YljbHZbdb2Zty7bAERH8hUhv0UxC5c6bTxGySwB0i0+Sdb6+6/t2ERkdI1q1pku/rc1Se2MS93k2
WBhwHCM60qHAtJ1C0vDdLjxSq9gBKbHwXZmiOvY0XdD94+krNXD/lPSKdb0S8pgyn5AzYmkJFONC
7sJSs6+gbGqXiTeI11rOzjuHLv1Ce4rtz0NoMzkYOnF70V1iIsMs6i5KF3Kt3Nh41j37qskMpr16
We1oZ88kEZu6eWWPBOdJFgUDdNpNb0prW6MRHqAfO0Gfp/G2MkOyM8vuAU8KaT9tm6zsbLA3eLJv
VVj6Pfn2Ub9TdT/FO35+N3tTlifjk2oKict7ghfQjmU3rZjdxc1sChWefHScmpUVAh04cmHFN+Mg
xmL+1dTynwPr3xxYyUOnzvn359X1d+zjf1Vf/4thx674kuBZ/BUscnj/P//969//7ezKbCKByhw1
vV9Htijpf1Mp3V/wfXk+MiQ81EWo/P3sanpMNFrMFfompT6VPn/0h0zJMQw3BOOO1F2CP/q///OD
1a756b//7Gxe9M4fTnbM1NgYWxafFk4Sc/nmfza4TEaZGYDn9D0BwyAtvubgnccpPKSety4HyPeJ
fqR5vkH5eTYypDiz+Ztz2TLQ9i8fAYMNKBK+M8ezn85lFbST2vM4ZVQsQjeh9Tz59anps01ZbKNM
gAindbP266ikhxpe13XEkyiscjOIF4vBoDlmGkOLrvVZW3EO37Y+w+8uloOYiXvL7ld44ddaT4NP
r99wxvA/4RIp4YFnn1Pq8uVfJ/Zy0PKPzUxIW0GHVNtMtr+3qpYxm4gJY6njL6Ld2uJ011Rjmms9
64LJLJ8mjwhn7on9CGarYAu3hHkVdYMLjHKGZg/+38sZqPJol9gpzvvWbDZNdoJGdIdU1m3Gkv6r
BsLK8V8MU+MU7L4Ca2O0LDVWiCIASlzC8Hw6GTGt/5yTdxGoLruMWviQykFtsqbY9G39GYFV3yV5
dxs17hXzbV/mqAvaNAukM+Q70uK8FUsQK2NZvhWjpe8yEuGhAwxvpRWtI/oxp7IZbCbt6qB2Gt5s
3iaZeY6KNPrVWfWfxeVvFheCtBaB6N+vLruPSkU/Lijf/85vBnD9l6WpQPiILhYz55IZ8n1F8exf
HIzQAmQHzmsYbvzRb42PP9QvU/+FE5uFkIaBHBFV/JMFhLXn58d3ab3wYjreawIcnUWz+JNX1hdV
ybC/l+9J1HoZsnhctQ38FcfVn0vNuVeAu5jWl89eYTxPwwB+xJ22jJYc28n1NrMmxcEEeHpocn9e
lcZgH/wuy3esBfXa1SQwv95XYGR6Z13FLjNKXqOfNM7An2nA6BcN3v+OhIxubRL2G9RekmxJDQU0
GrkX2ije7TAnaPNtcUUmz8CrQQ4wByk3jSag3A2WOuqtCmRfnImlInmjtdpVmo8H1bjznY1VYl25
gxsY09A90NNkMHoaw0NM5s7K0oy7YTbtHZ6yT45VJCsx8KS5RR5ft3piXKUmn0nX4RgYTqM2NhjM
WwyHxFjkTx0kss4ckcYkHPTC7V+rjuSD3uyRdsCDfeHYFl1lWGXov0BcqnPp7GxYkhtlYYoZOOWA
88mxWZnmO/m/ECs6Ea7hIVjL1OWrIH86IHn6mPoZRpmEaiedkaTmluh6winAPbnlpZDNtv2GAdfO
Ie6/TafJcY8sMqxGtzIufi3y57a360+0PbaFP9zRGSkumY1NLck91a1SD9xegGEaWpMZDRvh9Xog
S5k9d3OV3GVmbB3MhkAf0yQIEaNKr+6lqYX3nLntKyvDQ4ZWZpMP1TqSAZ86uVFVPjxD02/emVrw
n3AzkssJO3igYne9U9z7BcExDGzKLvfu3IEUnjI3cbLl2OD2renVL26SkiGaun3+VGYlQ6pYD7Bv
Y0WzSgDZK2QZlMwIC9TJlUwOQOo3+PF8gVsi7iisG1GXtLLCkD5cpZdHqc00cCTRbBLAKBQT8iWK
hGFIdIWJZudWDG762RU9lrcxJGwMrnD4lIq8usc3RPxjkVT3sHKxIjsjPr8h9U9Qc9PPNeGDAN4M
XIGstjOuoxRObqtjU5sYKrjp2oytr8N+t2kSiuJ5IEvLbAfOZjZh9WslPeyXupk/TQnRKapDCtZM
s0uDqGn5VRVpP/ilUC4rwkL7ccJ9R1mAyaayyyNzbAnbKfTANdmu063Aj/lkd4zo7m38wylGjWi6
uFj5gDCSVX0h0hUPJbt2FpgT1wEgMi9ItyyWGyya5Wbqi2k9tkX9EvP87RJ8qmBDAdytwzHBQIrJ
KH+qjTK5mRhdfk/k3O8M4Fkf9qjG27Aj+uHbJ0vDtPa2fWfw8jmpC3cR9lD8cAoxhrLau/vVKqm1
xde8iC1O0tTZDR4fwAeTQ7d0+eKtWUyXqbPbR3cs+B9zEEkHG9vhEtZWTRvdb/pdOljp5293Gh1R
3m2O/L5bGZMg04owG9AJfnUesHdwwo3SLrBnmT9Z6HvwwLSEhJvCcu9ASFqHKsNxbYzQXZWi0ycw
85A3j6Np23VWeWRclqsmGHvc5gO+2taNk5tSr5wz0xjTlQwNcQn11LsMUkOU4o7E4uXb4Wdf0IUF
hxnj+AtHXqj3eEd3Iggoj2LtvpolBG4nre7hYPq7in7b5tvVKoaiuidiDytWk4VlGxho8Nh+eXon
17JPhmyscOWgRfVrJ+LluyXa1M2RTeaZfySe9+IBhwmErJKgSeebpoxvetrWxD0/9DKqVr1NEyLx
VhFE/8D3rkXbnfUhuo171IG8RXBL1Vd78K8IzCP6QaPFLdzL2Jhbs49RleenSDXYRPXROzkOL1iH
NiWNthL1RJqDKKtLyz7WYVKrADjCh7lYdfrYEGV44/Ss4ZnhRfjxajMw3NIKkmK6IbBkPYzpugFD
Y5ZueGu02ng2RgECC82UQWTPiXdOlTHR7PfWBnhYwdwJ7uW+p/PaepnkmKiM9zIaAzovH7IkJlTC
ubpK5yVdWBREOAj7TRntvvTsO0Kn8iDrO/MMDxRlJhLPjea9Ef0H+7Zsii0nUppDExgkrTDJvmiI
X1kJJXoqLae67xCRofWk83vR24GYYxBKICe3dTuiL3X10XeznZm2McHgMxc4cYztKNE60mHKTplj
PDqTzuiMLw/ZOBUHHfl7P7AIr3UPmWIsMxL3fNij0QwztKpepA53bcQ0eZoy3T0qbvxdOjn62u7D
F90oZMDUM+rC9NWc6kudeO5HIvAQWIPUP7uOBvM7yx5ao0lf4bwSxZ6iOuEE8gLwlDjIG79dCCjW
IpTOrAdmn++jdEYmZjLFAoe2ppt8L4vmPZ4w6OmlN92MmL1rpNk+aYmSEnh1SHHuNnMvMKMazk3O
mn/HbQUGzgmNWxJoLA4BxFkGRael+6xE3AGM1zNOL+qPhryYDWPmh6mospVZ168dVou19BqfELT+
WSfLONArdntfSBsZqHvTLf1FxuZOn2T4OBj1tDLNDJu7OWQB/DbtWlkQN6dSDxweQ1rYZfRMCHYT
QBdbt0Q3nKAoRBuKBO/dcokYd+3EeMzoQVND4EkJSKufjgMxiKCBReiN+MLSx9SFSG01VvHR4Bb4
aJluPfoKA2EZNeG66rV+y54+bLOGvxsV5oahWP3GDdPqjpbkyBitpLJabLhDrbybuq+HzyUgqs+D
MMwbB4h4YFNhYVJN5nXOU8RK3iadG8SlLYMwKzx/BZIsOvUjVO1jI0IDLBSBEjfCl93Wi2Sh80hE
T60zamfHUB60GTFKLiICYqgibdMTI3dybWVxx5RMEGObhmVqzQPbIHium4pBq6MFansTSrsAaiHD
J18m7WXI5iTFnE4k1ar1S+2mjTz7QKWQId1UcpOMOSa4wa6sTazGryXUgLNB0N/joJJhD3ZXfnJk
W5FLNJEcMPtxMLgDk9lWDbfenQ9ZQRVW9L121CsWMObY5L4KCdCoVZsGKcZOhiOw1YUSw95k5V/c
hlNSo8LhnDka5sWwVMwlV2onBQ6dbkCppGa4HisiyTVtF2EAD3JvfkmVqup1SuY1VAKp8I9kxioh
kW1bWDosHpVZu7mar0dCiHZIUWwDHfYOG6DX7YxOBneuati5eu88DTK/l7Dt9h4GkRfc+zewSpoP
bHoUIM7Ubn0S58H4hTWBNUQrKLWIuwoTNFKDQBzTL+yg1Zlk7m5V+6hHjT7YTyjku3EYo3WDSXJy
TPcG1yHoDc8D+1Ui6A4JvmRDbaq+ij4IbNqZLVseole+6ZOUk6o+jseE1mDQpU14ABlxSiJ5sULb
XgNaTg/T7IxXYerFfrtOtRi6vGPOFz9jdTWu3A44Qb9hko9M1h0zjWl0RwKnxDvSNUO04gtbhO/4
msY4QxRJJjpwu0dTEbhDPo2Hkfp3PtmUKlmQRkVmb6YmxQjqIcfj78vGFIB535EoVwAFw2qPMZgw
yQx7j0UfKqzEnt3w01hYd5ru99ui9LsgsrrhPnTneWNMc3MTpaDn0t62rlt7fpazmWzm2rkkfkWf
em6xGPn0mXLY3Wfp1vYXWgtTkMKv+4JM3l4PhattE6P/UNGEGGyL/tqDbrrGrWYdYU8PrH5xc+sP
uTgNriMvEaXKhhA9cz1p7mfCe0JYmF36int2ChIGMLGLQhouNJy3UUoMfCbpJvV9MgZh7cVslUQK
jC3wcyZ7HwhMH9EXGb0zKbQZ8Xl3Bd4mSxbEORgLXtB6iwF0rEPa2ccpmoGrpsZS9Edw7L7o1tC+
E8SbnoahbKjjG2tvgrc6gF6513tUWyRipu3WWd9mhxkNHBV1tqaTlSiI+Hkxf8qVnl83cfHGAZTI
c8TYrkZzABIDUL5aJ2X8JouCXV+TxbvbO8uaRSj6lky0fqsMXb1QvjgbMtTGSxtCJKUGuphJap/h
d0T0lXAcHbEFQuufZp40UpOeHIjdV2RnlKc57z1sU1Obn7NSunZAdmX8pUTbR9MFebotaKIRgOsv
0B2OhhV1QO5774hPLBx9ZBuXpIu8T0B5GCozCwSUuAKyzsCgpbHk46sPOn0oH0qK/o1tzB6c+7ba
AgEbN54xH5IJiEpN0Bcb9JzdJMhALwZRwlB2XLx6dhnDn0lTmPyCNz/LiKIkrTxiIOlwtA+YElUU
bnCulbOJA4p9cJ6CMRlm+lBEHxBwJZv+a9wUxd4122Sv5FCTfFJ+ZCPc/2YCEtqbzSlTXcE5S3kX
p9D72yhu6wuc+nmdYX2DIUSj2I4q3F6hmaxTWLhHPtgjB79w7fpxtaX76R1yR4vUryaW/6g+f6P6
YCtw0E3+vepz8/FFvTbZDzry97/0Xfbx7V9MBBaaJxxEsCwtr/dd9jEW2DRuVt0B5LWM/v2u+lhk
/+jEbUHGc+HZ2csc93cd2dL/ieyDi+pH2QfXLRBprBSLfO3YfLAfZZ/c7IC8h3F/MovZ7+PrOcNc
AXnRtGQ6lafeTayJbJeEUeMPoKEeyLwkGx5sTxEJMbfhfV54Ifc9H/9aGalzFhwCTmPqCwsGugYv
qOFMQs2vtG05J90zOJDiRnmuTNe98LutT1/7RoyeCU1URUzz9ICC6JIDU8c0Sh1R2AHGbrnVe6+4
zTK9vG2Hobv4pcN+kUxR9qTQo4CyKA9PrnLKZ10y2tfpsUaCjVf5lzz2iosS7ZPjZfOhYSxw5xpu
dOtIe77oRq4uY2SGWxMowHkO23GjDWZ7zGrWrXEws6B3cEFa8UL/SUg9eeiSdHx13ULuGeCgSrLY
Lm8l5Ntbx3XiT5JRjYmKNCUPM+rF1o9d496FgHOxRyfd9PqyPWp6OZ5UNIiTJ5tHwihaBjCZK8f1
0Zsi0M16ZnnqsoBBmy/ZyBTgyuyzZk+yTHKSuIqRSmq7+ZyU8xATyjeFj3mWFjfskvEWRuF8VIWF
sTdmPmPNeuoGaZl9Q1dpya3wm3QPvuc8ZGm6ddMxW8+xnTKF4vt7fahA8KJonyDbJDexUSCIt8Tm
3WMf6rYQYLKgdTJx9tTY7Cchy2tX6sMJiOi05/xrvqaWWaFWGe09YZo5HfFMowsg6haFPRYwzWqr
u54NqW+l4WrrMszLOw2h5L6drPYFNF3+dRKN/iD6Llk7QMPPhEdpjH6728jWW1IFo3oKsCL7t4SE
F8+mYtcxvLpcL6eNDTCpeTfoQN2YZRjf5dA0Z6Otq1M6tmMAdWlJnODGWWoU338zzbRDN1TYRFba
jGN3yQ6GDASR965slsOv48t2MxFmsir0qt96DQs9qXivvei9K4ZYmCg27frGUoCAOrrU4Ktnwm4b
gjxGgzTQTQ8w+lQTkL3Po9rb672Tf6QlEQ16jZc5yaL5zHZd16vUDrU3rzJxQIRRQwCmHJwcRp7L
AE2ZODC+6phkBVjsGEHClOIsJ9oZH8YnNabjyfEzfRNbTXedUNUAxqplf6eow15kDuAbCFE9XtU2
SZu+ldlnT1orUOPRru/d8pbsw/YiFh9HZpstmmY/c5g2jNJdmu7dvIrb0V47DcOWqwbBZEBUwFMN
NYM4J99QB5sIl5zoPIMqGGouNaujwuKJZaSGBUw0UkkxuOm7gnwMoHzX9GTLYdf1dY0NOWEbiyd5
LqIiOqvYEuy1jvk5J6yGQxWJPJ+aMHYjQk676d5xMhNzL06XzQzkYQ+TuTh2c8/howCKFQa9hrt7
W9aQq1PQAkbAOFBW3GgZpx/XKMndcR18MIElZchKktTzGjP/e44TzAPHVozX5uxy1EoyO6FPPvXa
U9Q3gBZwM/scZLRoXJsJc5SM4pRSbMdRzmzVXj3eiVw3PqE3lhSltVC13OZOhShyjYTvjYTzmFHR
jWILzRfQaBANk+NFlORdo9+HzQR78TFyi7q9tGbcgWCUQCvK41yLRgO84qXFyOG4hyF1r9Ix8t6s
CMZ6GcRIe4P9WBD5KN2NV2PE32pd16bvE9EARraDGqkUGxeb23/qgL+pAwy2Srbgf18H7Jl5SZI/
d5O//5XvVYBhW+B/2HIZKjVhAC1+59+qAEf/RVgOmZoMnVANLC7p780fIX5h3BTLs03exLdUwd/L
AINOM+gfj7AKAkr+KQLU/rGXu5iTvW8FCtQB+tb4MX6sCghkyufUjsQ9sWA1Z8+5aCZMi3zOZeTY
P9VWpO7ggqo3MnrEQxxn2gWRYdqVFmPI5Et4dpA3QM1XWI+GNfaQoPU1MprGvn5pdJ3XoSwFHKn1
VXKbKihY5LHZ5qGCYL/tLJiCtYGwLjSivDmrYYNJs2lXMU9ymVO8kwyGNfC5te6jnDWskrE1WGeN
Q/l5LFkzkD3a4dVnm3h1MZYkaCv8bAEeDeRvlal5y+Mij+RO1F86EaevLc/hrZaB9BAIQS+TmlVA
qzpzEcfn9gMitYGOmVvklOnGXRQ7dyiRSbICeSMel+5P9jftdPPHwuzbJQAz5XJViRLxYBX8eAkK
dotUCxvnflamf7DNDm+ioLxZ+dUIN8xkXIbWtCj8W4JpxYm4Pr5a7XgVuLhMR0WOib11Xbs6+HPX
X88Y4W5EZ1XvpORqn0ppN5d4yeW1kzS9Rlg3YqCTKPpI694uiuGKdhgpz56nHtvctPf2MhFNvfIg
YrEDLfieSkIE//SQ/C/meH8xmv5ht+VLWwsfbel40l6lRv7JQ1DDKohCvSbnuSrCF2O5+lFVGc+G
sDBBubo6EKiuDkU6QFyMUZFY79t523CqhDQ76l/qzFiaMPYwnpdRkONQmfZ9OPFv0hTiQ9SVcRWR
WnSOOwcyJbFet7YXPtGUETs/oWWSkQQbOFmu7xN8E2SEKI0xTdNZT5VqN7OOn5LWv95f6bP5Xjrd
aVDC2LddaO8nD6wDU+LmOgEeuhltLGVs8PHWTl7y2k+PllUNb0kMaS5vzeGt5twGW4MZawWWFJQI
wlTdd9s2GcYLD2V24/YU0HmTYW02GepMUkUCt3IYp4dZewUJuiAZ0xu7dZI0khzllNYYyS2BSOjS
uGU5XsaSq4QrN0mvi9iUp8nLBW7Gsv7wcuQEcK+U64zUMN+2AAOwZTbN3h/r5CrHAHkd4im59Uqj
v7ZRLFrK+A64iIzndA+/KfUDUpTERUva8dy0Bj+oWJpfswfN1V6eTS2bobUOzScrJuDTJ8P9ZFnK
D3Q6Zn8H9PpxzYJT7Amg4ihjhomvBu/5jw+MgAcUMp6rXeJWZ2TY78qdZjR008bBwwCG9xR+GveO
qua3QXjgCvB0TIE1TPF7yvD6Te2I8ChbXX5ypUWeXpzrO8jZzyPF0lpSFTySHwp3sld2zqGe8a6c
a3+qwhBLShvNm4boNpihlbgQAJJZ8Lf5qlOnTdfWgv5kuZq2vYXyxYJaZWj1dWts7FYTm4TOOq85
9uMNLNX57tttW6ewSZPEma6VhOdp1Iw6VbmnP3ta0XxaUlk+ldosYdkmTPQVdUzqNopr8qXUsx24
fHDg3eh38crsOmdnAR13N5kXe2dPZ7h889eP7reZhT8e3eXnZwrTcxfcllgcCT95yAcJuDKaVXih
5mGysTVcYzUpqd2ns883MFKB2i4b7SGdEnK87bH2aybX8T3vPD1hezF5BmkO5TI8ellfvxLgoaaV
jzRCqWeo8IX2FV9m6f1ie+y07T//Alh6+FjMY5hQuH+6f0o4V8qIcRswet1uxtQYb3BSRluJTZ0s
2pJ1JpQD64VYzPzkAGobcB814XK6fWUMpLrx7EEwFlP1ao6uQZboCMVS1Ex3y9wLH3JXFuEqLiOU
6b/+7N/2459+fAvELwdEAREbC9iP9z6d5ETN1mBfqs62AVFDhvjK3RwyIdGo/MkADnCdjs14zt2+
3LXFQk0RZekcvDrpj1UBPXagN3nI7UEdKmY+H1qn8HfYXhnJU7Irz7PXJCdkyPF2KPwczkozNF8Z
RqS34ifWlyYcuoM+zx7oD+ZybjtryEqMlsya16k9r8al8dl2XfhJxAZnT0/zjg0RxJuQOZlt3pjR
tma6/IXj+7xTQx+iwcVqM5du6QWtEOOHweSiWonCYtKwqYWxmc2a2MYq+2LQR29is5QrE3bAIbfo
fJUujzo1wXj77dELfS16V6EW9xvoXnw8+mjHeVTigoxKy7xIQfDSPmJ0vm7mbQpt/IU7r/8grXRZ
QZafJnXDY8dx+9rCoZYQi8XKVyeKWBZRZA96LWaUACjcz26RvplVUR1kFI+HbBBNoJYGoWYhF8cj
bQ2bxuxNaqDb/s2NQJH4ww7KY8hENDUDQdH2t3Lwp7KBtbromqyXF9T5llw+nQds9W1tzoeR1kgo
48Al2zVZEQkIFUav6leHVBXsIKxJZB80h1iTLhOdaX6UCa06sEF6ggiipUlBgGi5bSUdrBVPkv5l
GvT8keW//SIQ/T+6xLW0NZiawl03sbcE7FCOXfdla28KV5+4DyxIX4zg5mG+zQ3yDlc+8e17DwV1
Pc21exit4pG++/9j7zyW41aydf1EuAGXMNOyqKItenGCICUK3tvE058P3H06xGI1Geo7PYPe0Uat
LACJxFr/+g0eR3ZINBStNAKtylIOTETksGo6tftVCT4r7K9wVReYkY/a1GzN2TDBTqO55JyfazlE
7WMzwn5QEsgVI2Zda9eQj1oJTIBAxFjwe8KMXGJeCNTObNZYb5B+ECrxE30gGoK+T/aFFqve5KZS
YfQwVduJ8VFxAVWftKGyS8IHvgPRQ6PEBAqTSGPA7I6y+LGBagDbIamswAupW8BAMDygbw7L8JeC
UeON0g9zgVOPxV51EFUrTWatagDiYEHf167hYWB7TLgTR15aNNyoZqj5937b8RrIUJ/8pWM1prlK
sVq+C4K22fmqyVdn0mLjNTT8SC4DzSqTM6Vt5/LHlYegjQpaZtrw1wxCOmTtCir8zHpRl0qOmjoQ
Q7IncimBBjBAiFFMGTJ1hPP5pBVThGsjoaaHOIdGutDAjW5qakuvRYCDx1czTb+BDp2d003KGsJt
gi8HA140FvU0rLGBJsgWr+ZwCS5gL5AAswujiipzMQb1qsWeGUC79NVVZEzpb0zMb4DQMTDD9KFA
J5OQOJsOtPFAb+G1ntkDDlcp04zGldPh/UT9v872u852LsH/+Ph8UvlevET524fG9p//x78aWwue
9IwjW5Am3mFs8OT/5UmT/ELPC+4NXVoDsvp3X2va/8+kYqB6cNV/WTb8G94G+RZ0KfTKmBlDK/4r
ie/ctv7xmSTYguE8DdXcXVErHutfJWcnyJYyMTom92kt5AWZbH/cjRMtzOclgDhnOTJSYnTLxz62
fAYBh3S84Bk2LRJk+4rEzd/ilv4bTfgvVpl/xR9kzdp3sb5BiOjZ+XOjPBfjWyv+YfZ+oJj/SSn/
7kLAO/5cwo4KMy96luCFt9UDPXQ1fdPuzX/Fh8dBxa7aMP/w/0TBaB8tYY2pnveKU3sDWokFIGmw
jMrikCH1EKGZ/a3o9n21mdUP496yjicd9ijGVhR27ckiEAu14R8RdrVrINn0m+b9071jKUKOiGnB
3Rl5ylEbqzaEg+ijxoWFTnCHj2PF1LfXLlQ8Ir754n/smOmQ35ciScZEZ8CKR/dQSwQMEYOl8hrE
PiFyxbNq8mb9cRoRPY7ZtuiZQf/l9mNROCcc+0BUSBiOFhURBDeliED/E+6ibvIPqyYqFG/+f/nq
/MdteExLnq+PgRNvLpa6lnms9k4MpZzKUqm9TPJNW6Q+BCGlgqOQ6OrIbLyurksJz4Vk4/Ciw5Xv
m/s7z7+O96hu8MF3+fIzuJ3/9z/eNBmYZYgsrfGcDLDEyrlAqxruv76fR63r+0NkvIcAiTYK1rf+
cZFRK1rZUn97+INoW3sIUdIGtuFfpjrCsknqpI10zBGKOqs3Xy99av8YuiX0GWSa1Ssfl3aFOWoB
0zkvJsllXRqCOVSsSJxCFJUIPCMIcawKYXZ9vSx9+bxJPt7Z2VaHi4XnjmHPscFww3AwDnqoekLJ
65+FbakDfTCYCcL4yRN+kt6QBkL4BaHpe6NRuw1cQx5BPGoEzfXDNirr+kEP4aIto6mJV3VrH3QB
724V9qRIuvCkNoWP3MpoR+ZDwAO3kapTQ81xDncycUaiMOz4rLF6Gxux8jlzYP7g/rBOC63HoAGf
LLcK1YXiatYqIbjxIi3pd5KqKwiNrzEtrUk2DdXUPlOdyfqhZDaWDiFaNOJfFOuMXB65JJSjwbZQ
YL82A/8LvMLSFQlhHeHY2XRP7ZyuqAp1OM7VT4uqZu9HcMMcpcIRxZ6yrak35yZJIvdjLon38Ttt
q3Q2vm4oXXdmNpMzO83cNAlnqD2W2oWjYrQZ007TdY39jYEN9RbLmPbcnoAEi8nRwXIxxLrwfZDU
IubYDYouPCCbHH66bSYP/WTg6WX5I9uA/JKtEk1vQ275TyFBjTE+rul0bw2WMFbDpL3V9aikS9GY
7W+lQii8hMHTPrh65ISbEdragYR7/qL5BgtTuyikwOsxg1i8tKSwVuiO2/PU8o0WGzjIJj4RpeWS
35csXUEL06WxchkH5ltLVu5ikG33K55Vo5P+5uau+DHqIlianRI9kS8c71RZcUvqkBcpH8y3qS1q
l3DEavLiihMDX1wegvCnlgkxf1828jvi0U72mSuah2je+ggy7bPM6cKLMht8jIFrbQu1KTzA94mJ
czL6FSGS9QYUSQWTRje74IMTLF1oaGsH9XAMSk7yh5Am/qLU4FCLJnIuqrjdDhly9ljE/S04T3fb
lj5/uHZJf5wz5A5pgGWOmvpkaXH2MvgqunWP3urKcbmdyBUht2d1qa+wsLYv28GNUbnrVkb3jDXr
YqwizUee6Ws3ZucHBxlE6u2slh2hs0TiCuwk3oZk6m41s/ZffVsYLrtE8S/1wcVHOAltu1uYWo4c
wPfNK3pwtBVERy3J4MQVsKyr80qhfdGIl91Z8NeufQzWtk0ZGtc2hL7zwRQPflYBwNG/DTie9qrX
hZWl76oayVLXjQyEUZv6ry3RYAu3HIp2YSidsi1k6Pw248T5rQSk3jVKM5zVeHC+hq6qrYOuMpFR
ARyvlaZ1Fz4Kc+6HrybWSpvGXynOVwyw+5GssqBU8R3WJAkzrn6eBoF5p+JlTRwmJi8sJrStY+f1
Vgzm8OTofv+cg44fkJiq+AvoqYW/5xgtIzvqjQVTdOenlmBZB6MruwTrx+4MmO0ix9fiit7TuEvd
VtLbNY6yHiu0EIMOAZ9p/WzoVzvXcVTnL+hTB3wggFPHOGwvx6ayzrXRlheEQouzBNrTVmNmuSxl
a92W0kDvP8nJq3C5ID1HZfCxqLT58Ep1vz3USB9yZGy4Pi1yFLmrCBb8pvcH4uYj/IkXYVqEtxWx
Yb/EZDWe1nMIJcCGW7aGWI3ogDalxMCzLWCirpoyalYUlOa6U82KhGhrmpNkqvBu0jMIDiS28HcK
P7SgGdn+Urfzac+vDe502sK9hBl7JmJdLlP8KatljAEEVL4sdncOzcKmiGNrBZGMMUbjFhtYVgUJ
ZYGyrcMETCG3DPaEA4a/oUEg/EjW9U6BgcZlVI7c+MAVa9vvfKLA1dRd9vTAIZFsFDg6LtnXOUXA
61C1LcdYnxxgxznbkLjkZcsp8BxFLhm1vW172KT2b7ZK3JwOOfWMZKV8OxSIX8i5iUtoPYX22to5
2EbqRv7vxu2AfppxuHKxUtu//3E9t8QtIoV6J8eA6cMk7OFqwI4RDxxJ1pODYfKaPUykmcTh2dQC
mvX3JbEbpTenYYd8KuFfLIy0VV+TpG0ebbQbq16E/FGzRjj4DvnmyCPhzoAxmfno/4hxEn7ooyzb
vgPbkMf9dTRpKt9q+AZDpYKpjx2520X3ghq13QGrIWgMulhgyJuo8+cdz2tZ95cuPgx4tM34Za25
0QUEi/5CU9rAXUitGL1CcaW+cErE5rVuQFVRnT7bx40GfmGTRdnhbkIGFzMEfrA6Aru4aJVutbFR
n9qmn0jGanh05QwqitIBWBlmwHQqO5aFO+TvR8DEBVpr0vhmqLGMrGHAjI5H72BGh+8t2F2XGuEv
l8AcvL1j6zarLXHma4VLpBiBeJDzwZAr6s0tjWi9I7c5eRjcyN3mDDxuZ8AIy1fQd6dt822QkDvF
sAVHTZfwqXeP68EipZfQAXdZuA2xgwTAXRu1NF+gzKdr/C+nveUzNprY0UtCPdo1/N/8DcJqt4Ob
0tw1CYoHNhI0olAJrtq4c2H4ZwyPzMbdRnWZ405mWE8tvWiLm7nun6cDypxlA2F1q/vKeA0uA+6m
qP1bT+rRfYbWfgk5leTmOZ7tn+eUEC/6W6r82BErt41qltqlwGr9LvATDhkjkfs41bu1IsboR941
zsEt+nGjqJ14NDppPhJmaD7GopSXfKmsTViFykpGkbJSSjP0bN8vLqZAqW+KMMvXep1nayUxxsv3
u96iVFnNRklXeqJu1Dwv+PA18ZmoMcauCqChHPNYTIY1dTOKQj2zqzBf5y6Z3JlsjXVZZdpyrFWT
l9h25b7TZXrlO1qw07IQ+u/7Xp5gXB5cxcREEKjhbHKi8dJucn+dpTb23WbbVwtA7eSKeKtsZ8nR
enJJR922wF1iMQeVr9TJ5PFP1XRBVsV0gRhmJla4RrZUZRJyBGraDc7Rr3UiGbCEldzppZ9f2fU0
raJCdMFCMgp6UMdCCLQK2I9OnWw2tpa456mLzKRL7BiXv1DZYI+Q7E04LGdY9IzXmj0oa78uR3jE
DZ9uO8Ti0K4KhczIKbMxkWByES0cLXSxbk37nVsH2A74ZlNeDG2aa0sQ7uKuK8Z803HgUAPldnOm
mXoLrRRhQ92RhRaE6XQhETLsK98aNobOJGlBrLty988s3cl6KmbTmAMkOTbUd6i8FTgjYvkqYmwm
8TGD8wv0r+Xpg9qxnTIc7fe4JmmvOKAwoUJAuDKHAUzXdZjDjBFjSsUk+i9seDEjlOcA5sN0qBMb
6+KBnGkHs6+dI3WypMnBK6tFhskwstG+4KRDSTEdVIuUWrjtOLQsff7DnalUUPzcmW/YtWQE+PzR
69hAvb5A+uR7iIHMbaQaE8J139oO2FXNV3RlhyMCcZcRNqMM8PQuym71MYHijvUY1O5Q2dLbt5gF
Cqk/y1w6Md+G6tboDZnCWFTOAr+/7kppLwoTBHyIlTeHAfpGM/MnZpraIo2lf85lJKtULTg5RdDU
G4bfA/nmgb7F+rtHx+G3Z7Dk6w4jIBWWTQcZq5wEWfQhirsyKjCwtbKfdq78bCZxhe+9sdHHIZvr
tmrnhDbKnim6G4pwWmJHHnicVltuxOxTZqJ78Gnv0Jw8KblRI/iebWAY7PoEYENWS4y6RQXUYowu
ShOTw5LrhQNoUlXhxsWJnV+MJcL6PAwYUqJctDCsh6Jg9N12mmIs3jtUlcmopbON29ivCWkvbkuI
JkDVgVo1i0wPz8LYKq+xKS2flAC1Jl/17EejlN3PsretW1urzXGVOlg8dr2c9rOQFuw97DxkAmIk
b7Myr02nnq7jwKpvywBT7T7rbOjPY40p+GRZayxTfeQmYbhFKhxv+ioBjSMkaB9AYgdXbpkU11N2
prmK4U1JKtx6NRSBgdoO4/IkOWvyV8p77Qf8EudCc7sW+xtdFIe+ivEz0tGXXvuTLHatRCuKfgFl
rNPxKmYZJPAEP55ZasFTRN8pXuF1VnPA+iSvTK2NDznhgpsukvUPq6a+WowYmV5Kx22xCA3tfWJG
+aMv7Znhn3fGgzp/IS0tw94gdEJvzPPuLIwc8yLMmvYxb2FOYMk+7FMR9GcDljg/WzNmYBwSGbIo
uta/7u0y+5U1tjrzTM0X3NMLnVektPdaopvndUsHbik02Jgs5Sa9bkPWn1Ra897IbeJofDzVF1Hf
h5eFIt+S3nae9MLOkUROzjIIiBsVTYpGBjnnghpv4lPIpLhbdMqIDlfWnGRxGntxiddKidybx8vX
di/pKlBqG9Ni0JxV0ECRa6LsjujDpzFvAbQ45RdgtvhL4GVFuG75WBuxsUqw/IsWqmlj9iCojLdY
j2d3RZJhVDSl+q6ufUopBk3SD/BESEqnUzyjIYLUo12ylDdo/7PYoBY7rbOcByQG2L2WnbOlixlw
WIhguhpKe85HMb2mVIxfRkzj7+MqqZ7KrhztbakIiWjHr6KEmAPhi0VCSi3NVJsf8NAY8mVTROMz
WSh6v+jqId73evcWkAiy6EB2z0lWzc8MKtufealaS+j4zcpSksup6NNi0RhKum0T8j8GHtU5o2oI
uG5VtpcAgcFlTDFEUHEaN2vHEdVFHZBy29SxfsP7/6vNVUwr+Ka5i87WofH47bR3i6a7TlRABjNI
w4exJipClba21vLMPzTY678Cgz1jLjY8m3K8nTomVUR7ovVU8kHbxhVRpG2pGFiwduktViVDuwzD
qr4RKpFcSyy4NoRfqJupRw8r2PEMYAtzG4aWfa4nluRwqTt7F2YuvWmsB69Qr/Fb4iREM6cESMdG
+45Wh+8J/pDPPrO8FR5Ej3j6D2cqYqwtfwuSvLFqb83I/GUjKEf828rXYPL7TZ8MDrIGQ8YXrjvh
5oUdDzQmx9lWQTzW4CvcFMO3H+0+NO+ivqg3cQfvUq9d7OlzaioZWu5GKGILKVK/pgd5mLMYrsZy
svZVZZHKOrTWukxz/6VwyXFJ68EBJjRiLOF9Uk6FQhej11S3Y4NWLuiH/IbUi4AKVwFvztpd68js
4EeKdW1XKjLU2NIvtbA3fmtBniO0RdBYd1Gw9/Owu8rFGJ6nIhG3KFjdPFjKyVe6H7hgwuJJmm3G
cbvuS6NcTe2oHny/s7x0wFMOl8BiK3sjvW05cRfdOBswub26rdPuLuhQfo22au2NoJDbdqifob7Z
XhyEfLEoBPccpIqXGW5/Tiln7wdm0JdNUCXUvyQzQ/bEijdty1ejiqHZEZNS0QJUYfJaEMSsnmlQ
Ec6IvYlXoCWEvwSNftfpyiiXiqsL9xI+X6AvsWSvxoWBDA4L+BwYeemEtXuZY6d2l2fwlcmvd7dh
1ASrEgjrztKbN3you4U6UarUlYERwzT8RDaZ7UWqE/QgBE1S1eO7oiUxidautqad8PBtiGHZO4KJ
ufWQBdTGpo/FG1VhugLu+NnAY1oVUNuXKgFDjH8HrxstEj44uWMkZLV6oIaa3QGAiZTO0X6abjqc
mXM4rVUxVlQT7OQDX/N6V/F/h5heXQtV0Q/N6P6uRhNSL6/ePZwK/I1FU1Qwx+rRX6EQwMogF8VW
dUcs0aIqX1lt0C8cwke/oS19RkFhKpkqH2ggbh33nI/4q9GQtD7bFXsIItK9lvX3FtNML7Dobl0b
IP9r3PXUZMJg2AK7Disj7Z11+AecHdSVqimkB3l204q7Sq+2dADjukJh8c24RZuR44/4LlfmYkhE
Gc7ERT1GlqfpX6C2NXXDz+YdpJd+9wsS/rhQCAy4AFdSt5YzqS+hP3eUA3jc15d7Cr3HrRDZhWmQ
mvlpemAb7TQEKj4LdoAVI4E7F2UATvr1KqduKo9wxrBVBp/HYZkmbIDOzJjBvI9D+tgHj3TluNBM
zBS/XurUBZnv6Z4Qhxkxzj/lj+eXoJTrZTowWUJcusKS7hnG5/P/3xpH051ItLrF21p7mt5eTFZN
YE72z3j9P051Tm4O9h9UPbYiLOfjzeHGDsRJbC1KPmAXQafqewxoQMsJ/nwKFUYtKPXVq6AGa8WN
RN1hkv/daOfzq2fgmgWOyvuHm/DxAMIUZWcoBczHQENP0RattSSFuzpPlRj1PcqM1d/eV9bDKMzl
MCX57vjdq6itHFkalZfhn3KGgvyAAsL+5jz5vBdxSnSglIPvIBh7Nwr7Y4O4ATrFOkmRJrWYRjUl
Yumi7M/hakTfbMUTK3ERDgpQSxOGaR9tE7eJItJgncLjaEOGqTRnhrTvyjp++Pq2nXhMmm1Cq+ZZ
cXJh8v1hy1tllhgoPQtvirDMSV8UvKfjJF9GEAW/Xkn/PGyEtfTHUkdzWxpVhCQWS3V4NK5M3LQW
2WC37QJj6I4Yn3y6l4LBtAAErVeVCcSn1pX/w6JuXZPk1q5jRkBbvaGXzmoDFCwzp2QvnLjct8ao
7IIhnC78lGLQrHJiDQIgY4qrdp3qJEvscbkZL4eiA8aSHW6J9NpIW5H7f3OhxywxBo6MMgH3CY2E
vCOOp36klSmGS5akR/JX++hmuXqp9c4NdivRSzZ19r5LsbWoU0iXI0a8diJpnEZrZ2HcGQnGM1pV
Jku9u898qiPMMJd5kcG5cuCZ011i1IAvU0JIThUZ9sKvY+TsEIr6BWaT9l6JlW6JcbfpMeAaVm3r
6EvWiVf08fZ5YsJliBNkNjgOhETAEHNmo7cx+frg4RLoCsXj1Kivtg9B++sdcGKv6cS3wuDgm8V3
/2iv+VlfMYaV3JdYac570kJ2PPURx4s6hqXkG4P39YKfJ7/w1hBzoLaAdeoeT36rAlbUUGaF5zqt
uQN0gV0d1O25ZZTt1neC9jwEf7kzIyykvl75xOvLWFuFrQsX5zP5AmV7r0CCzz16XfnUW4P2DNlZ
u0N8Gr99vdSJi2TKy2lEw8O/jmfoDEcoOmWHC2FfA432Gkg+cDD2DnFe7yz47bjaMGWTC7iS7t8f
U9RVhMUgtuUmH3ut23iA0nvmuYeHTLStUH0HY8C8N5b/UkX/x4/a5zuKnxvvE5nSqo0r29GBSCPY
BPAFU093nEcp5+wnuPm8RYbx19uUcgPCFMQoaBifMmnKBguoAAM0hot4aU0W6IsRXw2DsHCesn59
/fROXRaJDdQ35BYw0z0iJ+AjVeZmWnFZIjM8pZR5wSABYLfBqqv5ppT6/AKaqkFpQ2kgmGodf74q
BsSh1WVcmWLehYbyWE3Or3g07oLB+qYGmd/lj/UpS8HPsbg0znxxdF0kUUUyV5jGzlErBoCJW8Dr
t9MeaX3e78EqvqtGT69I1hE0tvmlO/68mKXtFPOKldbvE7d8KaR2Z9QJ/jxEM2BXpv9V/vVMDjJV
Cm8UNVQdrHi0I0VD39H6duKhBNxjpuuZZnIVWeo3y3wuSudl4MgQIUn1ccyswqdkjCL+aq9XdOVO
wbxpV458Eb/eh59PEVbRsCfkZEaA9m5i/0dlMyr6mJPQnni1QVtLu7dM4+63nVuHuMKDuEPRYcjv
Ynj1mS99vEvmg4MgXvImiBL/WH0g+m1d+C+J5wroy9hM0Ivn5AlfjC6juilnktXImRCvFGYCtXpy
S7Bv1d62I5mGKcOkzUBZNElR3WCImKyCsqQ4mMuCqsCYDG6Mde/qg4VtXiO+OeNPPhjHnZsfDUHy
8YNhLhmmwJupB0SFRYhEg6SMgB1fP5hTBwR+BZx5RL+TH338IploY/KgSL28tYl1LXpPTbQ7x26/
q1pOPQrI47AqLYu8pKNHAWneyEsM+D19LA2m2X64Gy113Hx9NadOINSX8BGdOcPimCM6xao+Bp2S
wCBocHG0+UyNAkJ206SvfWz+fRVNzwhNlE8GtjBYP3zcX04bWT2si4Te0f8137s6sg5Z7T9+fVWn
Xh7EoaRYCIhsyDo/LjM2RJlPBS9PGgnnOpEaOLsvfoG4Fps6EM7PIS3jHSyW5ptP1akzD0asSV0N
ZfBT0wN+ooaG2SdeEOhXba68TDFSj/ihjKdbXsRvVju14Wl70L/iaOF8YgumXKNtlU3iEU+WbDOc
lw8kViurr2/mbLfx6VDgJiISMtH1wmH4eDfdTh87Ae7mOd2gPkSkU24UGMeY02CPBkBvD/ex5hTL
rmj7qwp3v0uR2sYWGwpjPckSwV2AOYRW+d06HRyGsl0Xf9fdaifvvD2L4dBUojA+euS136iC6A2+
NqMJVthWL1rrFngdOw1ZOc5jN4JO2PgJnBO7GT0kQ4+CwC2eQ8a6k1W2+3IgVQcUCVcxdLKk83Id
X9/IE/eRwRYlKKlL7lwffryPqc1vQCtZ4HA3/Sonrd2oJYwqP2WILV++XuvE7dDeiYZEEcOUPS5j
dE0iOSVp3Jt87ZcK4LDKhPqCxCT38AOK13CG228qjBMvnaYB21PR8MX6xG/ua+yuavSrxKqIpzAK
lKXO6B4ws8YKVpfVfVUPFUq5vPf+/lo1DToniBQF4vFJaWI3EdVOU3j0apeYRiMbrdMDtORgESbB
g3RE8Pd1GwvOMICOAwJH2ccnybsytA2ZtZ6iBtVSaj2jydxoD0PlZl5m0Uh/fYUnvjmsRw2FsTrE
1fc39I9iIPNrMyQJBvFPj+YyNQlhQNRYrQxocf/NUkiqcN+hYEQN//HSStuM2iynRdPcIr8WKdZL
td1aZ1Gnad8cX6f2qMELNesQZsrz0Ze0hxeTTyADXpN1d11YvAlR3SHBqhf4sx2cDt/Pv7+N5JDp
ukA5SIV49Ni0EcBdb6bcm2b1moripu7qVTnbrn690ImDGW6xKnCmpwzBweDoJk4DNBCfFjANxCPi
360zVXdfL/Eucjwq1T6scXwqK3ESmyZrwOrVsIGPyn0jGnGjdxjIY0OAe0+gDgskjuWqseLgvhhq
G8YAA5vOqRPAvw5KVE7oY4G9POYxmkYEo0xJ6WrrPXr88KC7+IjmEoEhmSL5NmtgaNDdyiVcOLyk
BcLnCXO9a6ERILKImeHdTC4KQjXXGpKUsqbeqn3l49kMf+wqTlWqwwIbgTyJ6qtwtMOtVjcSGSY8
rd4Is4teqXvPSdy7iBimJXc42WRgRXOIjV16MJSIyhmmcu2TsQ1jMBnOC5Ng5wGbv83Xt/fU3uQr
bmvsE4M5xdHeRLpbtdJib8IVfKnG9sUJyyvTUDZGVqx9BS+0r9c79YZTc1PsAd/DjD9aT4Qyr4xA
5h7W/TPmdDnoyW5o82+K18+QH+7UyCcA/sAILPdoGXNMQkyC3NyDSXoo0XNCHHJ+Vsk9k6gLptLL
TujPQZ1/0zIZp9cFpeWO0lwfF2RumVXEEQswkUJOT+GoohKqTeUA211N1wzO6XGw2MRFDjHnKiUr
kAlXzkFe6f1OQPUV8aDsDBUdtNaa+dKHHcaGK7cIPxhjufGr0Hoa9RE+UEIuy8ptNQvsxZ5WgYZn
d2I2S2cS2Hm1sUlW9FQG65jfs2rT8g3it3YdO+m0LTHB3KDo4r/PJoGnURuvbcXWHypDfPcoTj1x
i3BEFMzADIY237I/znT8h0SWJ33uqaTcowtZoC7dJhqRqF/vrFNn0R/rHBdGfdkjfnQJxXBEqi5z
8IYlaY/rrxc5VdpYhk23qjNvs5yjr4ZaYTVRmXXuMXRCNokom2b8sUhCiLWN/EZ0dnIx8Ep6Fhd1
23ETYdUcRnnKu6KEVkYnOm17s9xAA4NQSVTN11d26iCwgP35WiDZ+1T8kueE2ydUCq+O64Pe2NZS
8+VjkdZvqEsPWWh9cye1U/vCpkuigUVLZR/PaaaGSD3HpE6LMeZC6qFre2eqh50OFr8qDCX0zLJq
lxgKGDeR6oeeDGA2B0WUXziBQwBxYcp71L68UY0fYE719f04+fM4EIGRwG+xnvi4bYfRbwg9pswZ
qvLNcIOHUO9vU4Nh8n+xDsmKsN1Rr30qDppekWEJKcejEy1Bc9qXXCrDqujqbz6kp8pWwCnUa+r8
D/voPTQGFxo3BCyvhTgeNvDchvxQF2IfO9pVWlR3Wep+A1Sc2sB/LHlcsMaTmULUUTNPGcZt0BVv
rpnCcLX2ddF/03MYp/YvHSlDMspHeuGjvqgdHNL/RjvjmNHlcxuWv4fInXOeNAzVNRJSlFIhh5gT
eR1VM+FY0WZ6Vg3zx+2bRxNQ5dHHfdrrdGjLSFsQG4RtfYtrcbFyciLwMr9xNqM9OA+O4NRcWHkz
G5M14wpHNaDNQv+tYteztguHeEf1OS66SzSJ5bql5IuIfMNgHMfaLpP6bQnzko895m1f76ZTd8Gd
lbpAHOzb4wFsmpZNk0NS9qZy2k14my5a1XwUpTgDM31sIzl8s+CpRzzLM95NrcQnHL6MtUBWFENe
VLkYTZcdDkMT3S8eiX7qY/UNMfWvL5Hv+qw2dhHifOouXUs6JIAbqZeg78d2WloXeUiFJuOieYwJ
s/XgIb1+veY7X+OoCIV7gxONzitKa3u0uwJFpkxm08yz8NNchkNn3Zqh1i9zQ4qzsEiJTJjj52IT
ytY7T/nddCnrsBxp4RJtlWGAMvvNjzoBYsJKAPWZT22CTPWPR1Qwiqn0e97oZvLhsxmBuYGVZmwa
v262LiE0C3YK9CmRrt2gDpeSmQz0a1Nbff1DjBNn5awLh46h0eaYx1ChCjXCwrMc29s8NhiNzOTm
yEinAwRLwj14XPaujaEkorNoFgHetWtNyZijRiRfXA/GoG6k9NWn0KTwxrVCfaIsxqVpYEshm0g2
MHvEFl7um4SRyZHdr00rDolWUcxVreStF1rY441hZ6+c4EwvEuM2Ic7kitcWJQpWX9Nj6HTuPlXt
HyoO1d805qeunwkYGnSSDuZwn48PArgtThuyLHCqSMbbEH0ucVNj9BhpSrj5+l6fWgr2JVyD2Y3n
U9vK0Kmqsvmz5BZGuCorZ5b04LO2d8M0ePx6rffndrzrZ/TXoHvlM3jc/hMQlHZDFtEc9MRiLrCI
lCg+JtIlfUISV7mdamcaMZTX7agPl7quBAd9TpAwjbTcljm+Xu8/6P/sG76zb8ADyPjj2X2yb9j9
egmLD/YN//w//teXUMOkwQR94P1krshr+m/7Bo5R3AdJmKN75w1mu/3LldB0MSeeXepQaSN2Ryb9
b1dCUyP/DsAZV8LZjsZWjb8xK/6H6vHHNuP4YpbFz0IywzDyE66VaH7VCdu3LpGqQabw87E6y22J
R7viaFLM9qB48Rik4ZDll95OUSncV0x138JiEremnRhiqRXGHdOF8TGxlehMGKiv0NQ5fILK3MJ3
FWoB33HFmGR7o6R6UJEVA9nqXs2RGy3yPkqN7AxBUbMlYiSOL209dMl0weFpEzVhvst8iXdN3FXL
TGrBKucYXYFkiU0YgcGsY7c7wC2ig4/VAUkQeRbnTae3W2n11V536+EXkUbPZtYSPeE26o90KOyt
Wkblc50l6pLwBWgYRvOC+hdnldEJkafYeh2eTTIcPbUszA0PSrnMcQ8cV7bdb0LVQYSyrF0s0moQ
3w6W4cwJh7KpR0N8pYSh/tjL8dzsYKxq0VguGzDtGzJ7iWzpID/2rfqYisi9H8UocVgcjW2pu4/j
6FjrHqGdb/TZAbvCyjO7Wr+sswwBF2lJQJ1RdJ715EkLK4wuXCV9cdtKYIAG8VWUVnKGWbK7TQul
f20S299JXxgbZhXpG5bIsAQoOd9m37EK55galoQevXWdXq/dIRqfgA6GfBFEpPhWpRMsqyx1nnW9
S9bCjlEIOsVjFmWPlcLSeL5OUPSH/offKgSUGnmxNpPIRqJmZ/nCHvIe9QzicW1hRG52a0+jaS18
NSx38468r/rG2jiaH2HB06WJZ+sdFX5o2y2/viejVyEgAHDHsOSqTMcB89tEC27MREuuST+ervwh
VJch6N55aOgKWJQ6ClYxCjK8bHNrxin8h0wxotvBatJzkZXyPJSWcYE/Qgx92x/+h70zaY4bybb0
X2l760Ya5mHRGwAxk8FJIkVuYBQlYgYckzuAX99fKKuqlVS/kuVb10aZZiIVCAyO6/ee851b1Xf9
thmG+W287IdCPAFjNJWaeA+YVU0obFhwa69QV2RI5PvZaYarMcHkEc6uSr9lZqVFONidfWaQHYYH
RHhogiHFh/no6WfVLGTS9gFp9H1j6k3UucjUU3+YHq15mS5hqYu5La2yw82he3lsphni7sx0Iqyl
WhG2tRmcZF2TNzQKGnERkRMYWtR8lXcclNe5dOTWZficAu6vQ1ma2XtLuBhCeRLjPaQLV72jfXNX
RweClBVFiGzbRYqsKRM7FbRDS1gCXrUePJGYVYYIyU8YufJb0ogzEpQc/Sseimpr5ob7VnbJimWp
lvCGZIaZqCeloDdG9YUNoXWrlYkXMzhPttPYYoFvSrWcWiSoY+QThHf03VKJuIYZtlkmc731HLvd
rB3RAa470w6ZLfMwmGV/X+kOJUelpkcnw4SSE46w4J6GZeQFaX7ShLXghQ38OvJxa4cu9lQdzF0w
RBCMiFnu5bIxVlns5jFZNrny189yRoEtQeptMweDRRZgYupHO7nO/Ka/dV0ilBO//wTI070PrGnf
N9Z6o4g0iNrZOzoTjzVGd3M+5ElN+ohy29uiZsNhKAOjuS/85aFkE3ldDxKep9kVL7ludGBaSRea
FFtrf8GhfWgoYx7mojMjZNKRxVblmmAMMn5adUdIcX+1FKKIWDz18zBxuckhYzhe5xaLQhfEOHb0
w9oZ3wyEKWdBX/tgGtI81MPkhrmBMQH5Ox4ILvKuN5MsTnKBekAsCUg1a3wgBWb5jmVHRKvmLZTt
JH54S1dDcEWZD+rQzCIjd8odYyTSoBMWct1cx1OeTfNnzAv2thNo811futf6jDafeYE6BGmm4qQM
/Ger1ekVCAVkbEZZ1tuggQh0ctxnXoLrHt6K9t0oyPGeVWZRE9vTe5Fo7dl28vYe/7YRCdqvIKr0
13St001nVEhyWyl3vhw0wHew1p7pq49XfV3dXzQ7xywgjt3qe3Eyq3S8XdGYbxU2rFvdyIObIbto
QWCJrhsb99SutlFvmtbsx8AdZDx5mf2djqjcKG9+m8DqRyVrZkXOscoiDLLaVaaBmkG4r57EjOfV
NsR67/oqID+tdZ8nP+PZsFxsCY5fHQDBzuyIJo0FK1WhcnL7pawkjUhw3GcDZd9u1VvjVdWpTRDc
+pl8E7zfajH3jkSWGepa4jzkuTHHQl/BugfV/aobB6oHsG69ZbibUl+4wA3mghgz/Z0SZfqkzRjm
iqkewgXE+i0FMYQkfIHqUU9dAr2tzjumNJd9VtAk2LNuaqA69avB06z7dZ1upzQfw47e+WnihAGe
mCagkmZ9ROAV8khAnQuM5spd0+xAkv19SbxdNKu+JbTVumizm9Tf57M7bVN/rDaDNeET9ZOrgnyb
XesOEyC1ggT1Vc9jtHn2gQcq20418rF0nDAWzlWHdy6pwaX1LN8qUa9ZroudJnX3tMrBezO8qvra
D0I7O0N/N1i187D69md9sYczysaOZBbLO/SjtrJZ8ZCWOp78PODKOjpu/VqsGGizwoM9WebtTl72
IdPKvjKctXQ4YiWeSJ5M7fshbdrbFRxejAPUkWFR3BmpMJ811cA/4a2MrcZI5JOB33dfrdK5qkVe
YNrDk28VXaSbOvFI9uOsKRubd11t8gbIjoff/1PgpwJvot/dCH/ExYsNaat3yXefFMOIiDlC7Qe0
LopopP3QVutVZmMGEk6ZfpFog0NvkG0s1qqLbddZ3x1yE3AYN5FZFt5DmXAIo1GOEce3hG5hXUtW
1Y3IjJdkINekbu3sBiornmnwqeyRrpbEsD9XmF6PHWyTDUh4ics6C7b5XCYv/bTMO3vO+xdiVMjY
CaYA0z+tck8xCSEn/EUZrCtEnBvblCyd8kIaqabsVZscYhUXSw89v8CKFSwhksHqNI8nzO42rrG2
lmcy6dMo8/U2ynCdfS40t3mgqCpPTefzqncMeHa5KqGJte1osKVOxZkc922NjnPnQ4O9VhYGz2Z2
NNAEdr3VMzNFlN2w7JjFtE+JtSFKTBXubeeI+ZDZFblwPrM4UuWdCE7Fy0D8MX753hE7pYz1RhBT
eYnMMI7t2jdbx1fz6+QnfhUO3UqRghMV31uV4p5zCWiMHXgJb02ZiRd3IS+NMve1ToMk5kDeAVt0
2wJfOvKARgNuMOh+VBeltofoWrqR15V1gZ2hbK4BWxEYWdruRskaJ61mp9+SEUoIcZyKV5rbjyFC
KvIly+KGujca88uQy3TXrc5ecLOqxDjCQkgZslFtZnSM9oml6e/sYZ1wRKQWTiO5i4AG0o2Rgxig
9Og3Q1XeOd5aWrTRF7KpEDeQTQqNRedSv7TGkKIKSpKN10yCxsEygNcdYNgQqjjEnaoIyeu8xPsC
zqcPtsbkAf9a9TtP8EJiGJcWZ0ONxtssvOpmnQlm1qVZEU9ZmtukWfFpP/hzMhVJnEg/a9/yqZZY
buumwgDlzVlZ2sfE8fPyNM5+0H5Si+SsteO3WcOpHTRUymHRu8BCyDY1PNpBSAJiB3CCFy9Z2sTa
mGCnhNQ1fxcujEiFIA0MxeB84XfaFy1VyfbitD6AmMExZ0h/jvXBz4+T9LvrTvDT7eC2zxZPHkyA
nkQCgqrLgISliQyrXe45og1TMTdgUHUgPPnsH1zTWHmCSZo5e5P7ac2Iwu16x/1m0x1MwtVbxSlx
ArUhqrC/72tM5IVb98RfivpOV1kWu2RvkhJHm2tvVyOx1Mw2Yqo+M8ZmDZ5DDRdkaH5hklX2xqsc
86Q3g33sdUDmOZrCjQ/1NXbcpQbIqfF5einaz3Mu7ScAQERYDLkgQW8wLlkuekUcCmfuHs4mlPNq
XJ6Vk9ykhc9phQwyP8wqSGNZpHkSjdOqXy8CQ1sxQoxAjT8TBotTaSJaQwBB5i2MvovwxQNmNGrk
QTT1ca6L4lPqV+PzSOnJnmmQ56VZ04faWYetfznZSZ0VO3K+2X05Zp2dtUQyoG8bDNXuJPQDKRjd
Q5LU+ghbgB+d8K0fyqFv7kFs9PjxjO6xz3qg5sLvvjRtCi/H069sE0IPylMdN6x5ge43AW7lSQJV
CGrxILN5aOIkEY13Pc2Zfddk3au39sj06WYTiq5l+hr5Sue1n8PqUReKkHtTVkv1VOjkbPqFSnbA
1sgoWSYcm2yFxs/YPtU3qUFbFVDcTkOdipgjarbo3XkIwTMjdnBHh9DBrqfWgTFkxknmqK8rVR8V
v0abDlvlctt5fkmAe1Dl930aUIl1K8RfWUzmBi6OsTFRRh6I+s0PGebIKyeT+QEno3euHHYO3uxy
M+na18pv189ZiskeU7XLlyO1st3oTrk8kV5DMqYhlU7ohrfeaEtLDOIkkt1oyuq+udRJ1sp9BQkZ
ZzIuzmNilmQFUvmC0Q7afVMkBs4C45JN2lwKWcPpr5wLISBvdOeyghGovHQKd+qQF3X3pWVYUN9g
WhysTYUowrruDN4CIRF/mR8h2iWPDz+tu36D8qirWxzrxd7NyArNARsuT2Mzi/nTqjSSaUNtZMM7
3k76AH16M2H/9RBVMXxWJ05J7/tbzPMZmbiD0RIk+b9rWw6ZTd7peU3nXaJ5SEGqev5Nk9z4MO2B
N4dC2GGeR1VGd+ejal10syoACKpzqg1OjBE0Cw1s0cTsHjSfrN/0xaytnSzMo1U6W83ut05mbHwP
0MAE8rwdN3zVHUb+uITW8FNv6vbPzs6/YVD+eWwo1wwbBx+2qQ9D1NqQXaMndAyF6M+eoFZM9vnv
BkIfGqU/PuSSyOVhTECF+fEEOMU4s+mV6pybOoEKbIG1att47Z/92P+0JH/bkmTm89Nl/7UlSWu9
ARb5167kj1/6R1fShw/LaBVTgEN8Nt1H/r1/QGUD4w9HZ6JgoQKj1Y36+P/1JU3+ilBqH9sCgjSI
A//qS1pQahFe+KS5MQdE1m3+nb4kMjDa9j/1JTEymggYeY4C0mCBcF6GbT8rF9yc9o0xZMe5I/47
VKJ10Gcs7kl0Hq2eZTZskGJF8CDKDs7/mEDQpMLwAWakAxvIfW/UCTzntnKP6+rZyYZxKJiYUdfn
u8mya3tnFN6i3ZVB0T91DRV1hL0caceSVC7BhuYgqZRrnK1Vwm4lnGqQODDSJveKUDOPl5vqGfMZ
6wiZpWiDDbsJq99Ig2FmZKk2OUKMF0RM+hrwDXRLb7yXZTz6QbpJV926EBiqcYhQDppObNBoMq8C
c8ziIajda0WqR1jL6X6oTG3rDQavYwo53eLFbuQPoiiWuznTxzP28vr+EovebLy51bKo8OcU4o6j
p+z2CnFfOYIQ8VR1dETaZY/pIziaos9PLLs7Uk7Be2Rt3m6dhvBwc8hKTia6ICOenaTb2qNnPpEX
ZRJg3FcPhjm7myCzX1K5iBunXYKYPEbrdjKL/iDbxY4zw7zN3BUge+N6G20hnXMWWnVreVp1thp1
7+jUtA6UUdAYqLPe3MQUO9trrYgOVnky6rqKc3fu7mXPoo6NI0c0NA32Gb09nHNqkOkKrGVntu05
EX39XkhABrIEiDQ4uJ5ohA33qJLeHDhMNHWA97la1sEJ44/MWZ8CWzOQG9ZNxHTuKFVLimoeNA8F
jIh7aw7mkyU8dZsPencnyuxrYVrZq9O6uILS+URraokdkI0hYQBkfblCu5PtXD9UfVnT8aqGswnV
CMA+rMskKO/6qhjP2lxOUc4T+5k4yiS0B3M+L/lQx2J2zI3hcKSgQ9JYl0n6afU9rQ4rvzMnEuZa
dtqYNAh2FsI4WVmnHxeA7RU/f5NOdnXnyabK4mVOgnsvd8Sdb9qSFlhS0H5P1/Vsa7Q0C8EbpYTG
tFvRPN3rJne0504jrArbPi2YLURv2VtK9+G6na31mT6gk2/gnGdHu8iMWNjlhV1qSTvuypKMMeaO
W62bTq4VDEc9c6+lHDovBMBfwbHyC+xgM3VXU8HnHbgH41lf6nBKtDEiDOJR441AkPK9ny86JKuT
LQMq064hrnkqbhGQ3Wgk5xjEfcRBZd9Te4AQ88XbIDyPsJr2cbEIAidq4KX2+mpb5ua4RHVunhyb
7hPZ5Kdq+Qb1UIQtQXXhOulPNrzXSC5BgndDatcK4Q8iP5HGhW4/sxgON6ao4XzRFY8qKLyHpRvs
R9vVYC4W8EpQyAIuxXaJVufoUbKFSW4+Sy/pNpNX9zvCKEwK3+M65ldjPQJTG6ECNcTYJ2whiK0M
Sa2tY3q59UYpkW9LVczgWorhHit2dQe2IT3IgtNMroh1gBE839UzirFmLM1Y8MLerThGr+1eHpfe
UgfYakkZ04BUd8oGvmks2l7rFudM0zpreMDawVY6CDViEoK4M9gX3y6Jsuor1Trnuve/wvp3Nq67
Bp8KqsKtbUKNyvw8uUXSnt8QyPva2IJuDYlp4Zobry7DyDHMen18GQDn7vQ6E3EvKvOUVg1bcPxs
NK7SCmqKXVHfZeBkWHaZkrLeVW3ftpHXLC/rFOREx7I+y4l7MF/m5QV3f443ONe7h64n2V0nZCf1
m/qmBQ4YhDKgLr1NnYRweaw3A9MSm2KvciSw+rVoD6KUCV33BvZrK5rgfiy8d9HSv03BRm9V5lc0
FXwDmZ/msq0SLvrjJLJzALJsnCeHZj/UPKR/a7ZufXOst0vWgSGAB6WqeXrMKvip9h5g0HjE3JtN
vFu07q3UinYhK6uYdGbgbMpvyt5vYX22s78vJxogV7Pdu3czL+wHq094RErFrUenSjpfBiPvj9la
L+BWVsv5OnL355ExEXMRGVriAWd1hXffVZrPJsHQ+2Nr6v6xWxJtOwbkHe6TbjwsuZXeZNWFU6MV
mIN7qXm7rERBGsGGyZ6Fbw8badr13sjT7PXiJw3C2iduN0qX0b5Krd6gu4SXzg1XNSUHKdjpKktK
0J7zSoAxS/t7U9qU5pZtqutRDsMtER6dHnvQ43ooJMAViVoE5Rna8zo96YnVvXa9nj/zTk6JT6mn
a/Bl9U0ineBdRy2wkoeRWIQ2lPJJAzV9rnXvQJIMY6racr85cGiJMsisDqySI8lhDtjoOK081Ky2
0UD9sMQEPV3GiwlnkUZd5j8C0HIA3w7VN61AGQHdxTSH0BW5uks6233kPRJsBHOP7cSIU6P5cwEE
GiUhNYc+n+e3kl2NzWKUEsJeNvJ2vqBr0A5l2m1euIMITavunwGblWerIsqGu3i0vciEO3wIYMN8
s4nywLXdPFRDpUz2jU1yYGBVx0aZ8bCKduxu1s7qABgpAJehOTBQ2ICv1K9Ja1HPjlrU98SHson+
gLxFrWCDq6UBKMm5W7QjqT/ytnFYb0Jr6LU3W1+Gm6WHoxZa2kVB5UGU3XuaEi8Iq0l6gaMzHYQx
Wiou8qKjdUKYylPn4y4M/dYa7wub6RusSKs7u6OoDjxzOVtsUxdLtNjs8DnyYGN5vf6cBGNib5pc
L+cY/qmzmyo7v08CHCYMsjzQhVNTEBBrk5puZTR8EcwyYSpN72rBLXNE1OXGrrD1eJGYwCr8HbhD
BZmwCHU3nQ5HyC2w/DtZE9ihMYg7YxrGeGASDkJCEt3skSodz14hDoOHFDSsq6Z/LvtipFmYToNB
PNPQfgFNJZrNCDGkC4l8Wr+7FFDXic70yTLdr3aaBZ/BCtavbTq0WyurZAX+xkuQq8iSPHMVIA8v
GMzq2Hp07zpYbe9FOj2uv0wsaWSmDgSkxVqsr55iTjwmhvUYkAgPlrC2ZhpjPaPPpjXbferP/G8J
ndrfF+Tm3ftl0sloJrPnVQbSJHLTES/szsc7JxgZhRWzqT+DgCRPAWn9xL2kDxOYHM/4FgCXKTbg
FFLtSEh28oVk7OYzChtgVBahNKdpmBb2lZqWxWs/MC4nWvtQpOWtvk75l67xzljUIZCBf5JgEhSq
HqT3Y3Bnj4F+nuDJxmlQM4Z0AmHeuBW1IWRJb0cEjyNCFPT218BbTZcOrkgfG3vxGMvViuaygbR/
iYwh13cBdODzMJrrRpGockCeQ3Ke7YzxKqxqO+n6dIU0h8ZOX3/PCpOg2Hxyve8u/poslAMRNKU7
9p9TVAlfXVJKtrLVSQjnaq5DJHpybjM4haQGXqzSSeLQ0sn7tLDDtLSLb4L8+iZk80nauJZVLC2W
um4ZGz1VyVx9okGW7fTc0dgfJNNVz0yHLmzp+qeyv0SH6tSItUpRwyIu3DZ9R5BODrGcgUtafhl8
z8AnkCimABlQl2QjkI+C+lnXU6nBklTIP674htWViVniLVnzcVvDI9/XopPbNLCaQ1elVmyW65Mg
RW2KDGiWrykDmlvERQzH9Pw/wp3/9b0Z83H5zS4Z/7n9b4U716/D8PqWTcP3cfzLVvkfv/nP/JXg
j8D0XcPAr2zhLAhomfwzf8W67IcR4qB8Jf3C+SlY1Db/QO+LdotfwwSHjPxfW2UkPGy8UZVjtXIv
+QDu39kqf+i18E9f6AjYEZmg+hzdByFiYC1w9IQmuE+r96xN0Tv6RPvkPi/rn3oIv28d/fgkE0cf
5keQTL/YVaoGess6G3ySyUaaKfKLaNo5VAm10N//JD4DmyXmN7Bal+/80+Y/HbVk7UUp4Fexb0om
/WaQTEvcbv1Nq+7/c/Loc8CYuigH9V908BIRXdD2q9gz3Xgvq/KdFK/3gv/+7e/Dxzi0TXDE4Hv7
cI2AuQCFIZ5vT0kWbAK/o20OniAq5/x/cOq4V5ELgsugdfPRxZcKnRF3xjeSkE+vZp22J340/6pv
it98Kfdjh4YEVReLG2YM5s6wz/56kTxJ5N0YKLHPlCLQe1rul3R+BKP7KKT0fyNz/dBSvdx7PtpO
14WrQtvyY0dRM5yWZ7MV+6AbyOEkt25f+F1Ctzx/1f1LaCec75B55N+38/HBZI3TN79ojz9eOrdv
J7PKGrEXXd4+TLD4mMVBxgZoZf3m+bqcsL+0vC7fEeMUqwLicZ7qv57QdSqmBVqNAC1BhEcNWndT
mHry8PfvxZ8/5SJs/unZ8tEQS22q+JRghtjez4+yVs2x6f9np+6n7/PhridWLGvpTXCDVNMSu3Px
urakWvz+8fpVA42BA7sllmzPg2bx8aYXQH6IyZnKfVbXNvO7oX5vLUCYoRrVoDMvswHyVRXawjAr
jPFMWDw3C4PbG2E0FOl9/VrPbXP0zY7sNpMry4ysqaNqmZyTDZD3qsGZc1W6xJWPssvFRVHiMGJG
v2AREIHuzauTB6Bo9qvlIqQOA/7YMaTx7hiy+1aYLDOWxTxHFgREMmrQAfmRWpFr/eYmolX7y22E
Tf/Shw28wAa4dHluf7rAbVI7ft2KGuGwiVxAl0QbL2Kcb1e7XjZBotMVC3pjS0iCs9dJy4sZVlDg
d3ZzlB28ggh55EzoBrCzvm3ATmY5LTJC3w+YHozt5JXvi29bh3QlxFZ4jDV7sRJ5awZth1KGH1ky
9jR6yf5n4u259+auvqOTYyIQNduDQ2vqRdZECKp6dvYJM+iwXSC4q4Jnu2RwlUYkSNIDKxsGULJL
7QN9qGYzlRVVPUkJD4Cu7SMDd/XWJbzxjNHl2EEG3y2F3Z6UP8iC+HbGypvFrvSvBZhxGAIcj4bS
+rVO+NKlHMUWlZq4Sc21jUfHpv8prSShHpwYfCLNG4Md2cBi2+ncPkVHALDWCy2qdb7dWrOI12Ay
I2/kFko8FtoszSFEg4WFQE7PAR9MO0YS7+fRrmW+w6Pengx9xNJCAP3OD2otIjPbfELz55zm1Che
UvrVj64qoSoNlnju3Np8SvjuAjWlIZ5RzkwrxyRRKGUektfIsugEoUW0iQNgkFQ9DoocBp/owzui
AMeXhFMDf7oTN+5UvOsG13SCw/pEksD7PKjkYXTX9qAurwliittLJ7Att31FPhPrXFAhJqIZe1/M
uX3g7TZGiazznUx5fiiJUG4Cym+OeQoRMLRREZ1TSwQ3hZs27y4ZP2eDLJydO1W4IE1N+X74Ywmo
BpJPiNrwrzKXU1bmnATstsS22BldPDJiP/krWGISm/LyJQCSHtYdw1MiRYoaHCstJQj5vVvtclSV
4tqYpAhiBJ3yS5YILdiYhhx8AGplvoau3vRXRGutTz4A0k9zU9bvppcRElmmywbuchISIYXOtjCC
xxae6CeErNw/sFAdwM62QwMTRI0EYT2T095DSsEManIJxmQuHfTRguknZG8Nba4bPA5dz2N3STSN
pM3rfoX+DmRXXDjBlRLZI8iOVOKPborXAM/SNriEQTNRYPqdB7LaDTKZ7xVbmC9rv5Y7mIojcg+t
N/NtISxnvUh4EbX1Q4pOxp1L4yuEnOGbufJs2VpC4HqlnOGz9EbxzL7IOf0IxGaB42D7SbOOrm7n
C2T6XKP1wZVwsrR86VITkXcC47yfBzNiT/1u+llwlRiudeRAjC3JG0usLUOn4qx2szMZEPNmSqsL
EJwrNFmUAeAfK1Q9vR+TpZc8FLKHEp6JOfveiMDZN6Ur0agxILiyjemLGBa5w+xMMyMgBxYli9+A
4M3fBzJPwk6DQj4Y1Q7A//dx6klQHWgMduZ+bOXXiQx6GnEuc99EuCfKAu8um3gojYbD0o1KXsux
DzZpyXMOpSIhbN4rn3z0eycYtNt69aooXWcxRrUqhxKkfYHQY6y4qVkV59usEkvcMGK6sSiwt53G
U19OFWIMKWi2DAQ/EU7s7Gs1MmC51CDC5nubdfGaDxpqCPQor9VMfIQlR+Pcpsr4RK/FOs4TdxQY
wuRlChLYFdXSxhKP/MYZVh4jRk4BWJcL4FXriUlO0bxFGWlTd4bL/N/Wq1fHYaHse9YPgjK8uxW9
FijmfokTr2uS0LEm/44cgP7KUPS8yZDjNpyCvttVej3FxVKwiJlTG7uKj6Yp2+9/vJXAsaq3DBOy
aJBCp0jluYN1c9Pn1Q3wvHaboRLhItTiZuguewwaHKfKENxMqsumPKwNG2c0ZydPAhXX7mRsfqy6
KsufxxLdua5YreTlHnH01TiXyZif6bOkW7ng4vWY6tOeZapPOJWzHQhFiSBXm5FjrayIY0v7fnXb
z/nMGVq9pGGmQBqyTawRrCrkPmGl9z3UJ7f5JEV6SXNtmmOyTvXdMLH2aCmrhwp46EtZc86Ddtpa
BYbtFA/C2UpM/WtgTOOJzha1eTvd+Eh694Ory12RYVusg1S7Hvv8xsot+UUrCjpvczZeJ8X6RMKC
evLLxY/9harAXg2HkFsSchGV1Dek7SW3VfnsIfkgihWNdnpRTY75Z57nx17qaK1oJ5OzVHfRqFtg
AJbBpIG/pDsW96+aQ0vZ9HjpXYx3By3PqkdY+c2xb1hx9No3PiE3FhfKjFqYdlzqLEJTsANyDbbs
Q1VYukSP8d5GQr7Qz97jf7T7XZMFoWlkgsHoQD+ZGWPFYlaw4aV7ZBbMnoxULw+N6mgZ+4JJbEOj
BA2dRIwSVsLC4mWl3agTZaS6S0SNiegS4ajqrPrYeqMuotafuqNVDVOMTWIxqzjpZphCp0WZM21T
8o571j+U28l9Zyoo2npZkD5h57LOjqoILBIwyEyS/tGWU9uEiTtZnoWKN8DsFqKj8t6Hhe5v6Muy
/i4ckCz0uck99tGiRWohX4XqxtE33TCzri/+xUoVjf043jKjJLigYDIE2NVPi80ost6OyWq7NC4H
Y3jxSx1JZTtXD6qwZmaWhktdyUbDzkPhLfLYVEUZ50L/avvTnrksCvvFqkPbwX5mujxfLBzyznEK
7dqwaOfGo1cDa7bNZcdzalphWxCPNFX+uDc7oFhzl7yWmVNuPKawG5PkjJhIH+MLRr75PPGONkKi
ffW4sc1Ji4LKWs88rulbWnkQqEoi48PKmwPKbE075DNi961HBHXJAIrlm9bnFLFzRMykbEzJjJWy
njkFVKPIXxz5G7XJry42TEz0QRjjQzm8OIz+WowOK7qpadCrfccLNHZNJa+B6DLb9nvqBALN8vOC
3TwLzZW6ogz69sQD75ww9KU5WQi/27ReZAN/2WNdjoduCewsiIi/cPW8lBwxCH/Vvq+Nx0lfTn3J
mqq8/LWppvtk4TX377dbv+yS2ZoghuCTDOpxpBMfToAtnTpVotrLjiKsIXKLF1RFtmiT/ciCbv+0
6f23xMxfrf2XD/Sciy8YJNMvhq6mp8Cx3fKCzCTp7JKo0cb50EhyGNnmjNCZNyWZ2Tcu8tbbH68d
RdiQu8tMhTfCwM9CTKTzSnaM3M0D7/V/fz6MX4QdHJ9DFXWx+Fzy1D+ckHQCls+KXe5HeDGhow1t
OM5YxJVlf+lyYPwapVLoF5m5dfrAYZ7/t6F3MNQxqSOZZcvIpflwBCBXGKrlRr4P2G/vHC1tT8JW
v7v1f+lY8Ck0KuCkgj+GSPJhGzblk0xcRDp716ZgdOHfATl0x6gzA2prtyQLaEFVec5KCr1/f47N
X88xr2Xr0v+BV/UrR3oxShtSloLiMKg02Vd2G1xpSRK81BPl4NAqZ7kJNCe4tPAfS6Yk7xoGh824
SHIfx7ZhjsEag+y4q/CcbdJRUELZZb+n5gyuirYZvnUIK8aDlgDA+rP59x9V12/61di3fVok/8qs
/lXV1XxjGXr9IOq6/M4/RV32H3T9fG44rr5teXQG/tGo9n2CwrkdXfjEP8RZ/NU/vabGH6wWrNCQ
bxEF/ujjIU8es//zX5b3B/0U/fJr/5CC/Z1GNfK/j4uvYRkcBUmITNkubJW/roVErGT5msHsJjdu
jq2uopIlEzMlyk03RZituAuIDVvWaJg0qaIyNY0rN+trkPmJPUcGoVabRM/lN49K4mZN5uYlIMcC
FTbPFHEo9AziuU2YuTRrQzQqLQvaReZNnyt3DNmMWNc4QaGalkWNWWEIKvg9rv/ggXe/76nLb3T5
Wrc9Mx6EUI+j1Ptn9pBSi1ZZNSsCGjG/4vLkBU6JD7xUs1IziWEdMfe2Ri8tN8Ltyq8ZU6cUk11N
qbCYfbJpzSU/lHM3M7GqgomYBsDXzMKSFRdBb/pkT7VME6LeCgojLPzC2nVBhudgzpLsyio86W8Y
sOaXDI3KtTAHlu2bGIR4bkd9pSxY9GiixDpRtKs3nCvNM8UlVSzD9+WEjaK7W4gGfjUzEyVXYbbs
p6ctA1UCYydTj+bcV+fVmdtbtLstLC1/7vpwgdS+q+a8PPtWPd/Z1BpbQhjjZWgPnqfIeOtoz8tm
gqFkLztl5t6tQVCcGRZW/TaTR4F8oPZvgXWisofG/mAtauBtNAwbWy3WPlmFUYWNhgOFkGSPnck6
/V/2zmxJbiNNuq8yLwAaAjvMxuYikXtl7cVaeAOjSBH7Gljj6f8T2dTfksa6NX0vXVAmo7KWTCAQ
4Z/78ZtgmbP4pKTozpMq02JjJm7I0djt/EtgVlYd9RAhXu2qHZ9HFqVNPopZbcZiEu+ZX8Tvg0Hc
AxBUt6vr0LjMyiI8WWNEa9TqRMBl1EUlYnwrQbB39BGjk89x390QnJh+hIQ1c9IOg1FsZUliZnLq
ctcSUsy39RwS/WBQNN1iv+rpTvXG4mu35rgT5NK5hyTjLLux8ll+oQAKbMkc89TfFFC3HmpwDOLI
XiV7StvCfrOSKnsMlct3YzLRP4uWTOrYpc6NoFTT3KRjk/IsHBLMjk27tdAdjzMUwKckrdjcV/ny
YdRJf6bQOfyVgKHf7z2TWNlG2FQD7eauC58wKtIlKIekMd7zxPYeUqq2yHgGsVFvQqmKbxDggWyO
KVvNxFTVlnpgQehX1C98jsVnvEXpg7/k8laKNT37vTWFO9HMJG7j2iHduFJ1yuXavAR2p7slhgYE
ecffiyZxbrvJGZsd5u32Lsf+m0l8INzltF1RSsdpLaGGV1PwMb6353DKTP7V1CL5Rz3AmntE/MLF
LC81rs16wCxhDIoDN8FZ2Btm/LTOtNGdU2ShYzd7DyJgL946PthiGzPR6vTh81Jy9+wkzbgfPAHX
jShjpv3+SBI8KlqLvsVKus/j6NKQtWZiiAZn7aIUk8Odgx3sMhCzPjhd7m5kIzkWFiuO9ngq4ECR
z+y5X55iyTl0kxFe/7xc7VUY68z8wc+kwncFGmc0nx0l5wpLlu/V7p0lOuM4j/0rNW/zo1EEYUEw
AEeXjbWLmjnvttFur0r7vkrtAGsB1zziqrNOo/aHNdopFqyyfOQ8TVz2p48s28d2WO78lg+SOdQG
aA576C69q3LuD+1IM7GmTTkY0oyvZBs05Wn3WoiNzdN+Ng4pZ8qqNmPXmBsRCMmX0e437YNLIRyc
Yu2NE9olB+VI3mcY50LtoJsVCnKjXXW5EjHCOKv1OppvtfbexdqFV6zfe0lht+I9jAfzJr8a9kSo
SzBl+nm5uvmw9QX+ir8Po5/LJ7bDn/pkag9gjBkQm9K9N+f5w4BNkDgDp8L1xtf+wcpsnqeMU1e1
IFHO2mhozsW0ta7uQ6KswZFekILAKeZExgPap4hjkWZnee5teTNoMyMy3XSgnRW2gFzR19jVYW8K
i/TcJ76T8eu16oPIiLwNl9nZe7PgRD46N562UZpJbxHe1NbKpWsOhltzgMWZEQ1EKu7WqxuToxsb
W5wUj926hk8EK4h3ELwsHwtt5vTC/rvfpOa5yBJxo6qw2yFsBMhK7iL0MtuhiKMwJC++2Sdb5sGc
LbV9VGkjaeIl612pzaXrJPrPCkZ/ZLhkI60we3R7o+OWwJba49LE+YdVlQBt9TyVcfzoaiOroy2t
9I2uW5uPiSnBvC208bVc4q/UJXSPqGfzg6XtsZk2ynraMjtq8+xge2ep7bTLyKVDee6bq622nH/x
UuRLHMGfbnA8+N9mrDBPgRH6kRqXdW+vKtyPs1/+8GRc36l5J7W5dx5AmCBUYvlljTEu+ZDhA+7S
qntyy7TcdtombGvDsKutw+Ei02/O1U8cNlJGfjE+cRGWd2Fjlg+5rqrztBU506ZkIcwH35HOVttz
T5W2LpeBHW6NUduZ6Wtwpx4/hzCKZ4rbrA1l6dbbQPBqz/AATzTLofZHE0qNhOPX+zWz8Mi4tncQ
2lJtTJirXTmvx5rK1ZM38IikJds7GaXwfpJ//t4n/8U+GRlBg5n/9T757tf5v86/9vLX9fdb5Z8v
+7lV9u1PoQlCFwAePKvw93tl3/2EnwzuPnUuxHesP2yVwXQScuDsqPnKmlv721Y5wCSix7b8jelo
QvF/slVmV/6nrXJIhMjHjsoxni6T/wVmtzpag+3R7Y/hZGR2VPf2sFuThngsQw6GRXTkTM+JS5ds
YxLOP00YXx/T1piqQ0HlZxH1/QTjicMlVcuEzCFscH9bLV7XhNWZncckzYNf0JiThB2DF/LKCPoi
tbdoW/HLYtXuu1dPX0tsXWSXqxcYq+4zXXvqUfbhC/4vMAVQ+51N45WxxOnnE1ujcPx2nB3QjAGY
kSfikzbcisF8DwuRe0i7rOd1PRdn2U/DrtF91vhb2RZ4ZMcotVruGFNwmxpCPMVMgHaVNMIfkppB
c8NOBTViqlR/SqackQGg0farPYmBuQEdJ8oBLn99owrFGFeDyPj8s8hAYjA3M/zkk1v0KjhgHSWV
m1fjSUG3jXx75IXSnaXFA6OF/eJVYRW+TbnqYFiUgfnuV4O6xfscRq4VsgExF12tJok8GCh2SgRQ
63BZk0DIhhBSbGOPm3QIe1cjc0nrz1hfYTsGY7VlWGR8jKPtPgdDXlUbtExxASwdmofZFbSjF6XP
zDMZxXuPwYL0/WLy1coqXe6DtjR+KMhcEWZNWrzTJf1ulHK5a5FZDtefD1Npf+LKBnyCd6A/WeXA
h1FXsL18z69pu+7H+jCO5JWboFV7JHyDNCFF67WaoKT5Q2ZdkkCMHp2aA0b/CzGHND3GpSjU0ZND
bwPQ8BlQ2oRoUYpjBcHHaGj1dprTBPDB2tCZOO6HLLHeW8MExS7aNTAPXCrqOA4V10IAMitHyiTM
aWURoBWSBqSA3OemUuVrT2fUc9r263vXpvIS1DZeTDUF+9S2em+LFd0+1xRM3+DoTd/gs9qkeiHB
GS0fduDldIUWA5M7PMtTlCuX2nJlQTRzcXZtCrcb5o0XDsRScp7nqp7XA/ZogDmlZf+YPSpxKdKt
qoZ9tFp4Plu0j+7D3BxSCrwbndvFPLH3GrRMK3LYLsAanvrGRztOCvkUV+F6m6mZRDcnR8oqzfi2
8qqM0UUyBwd48YLxamq/oqyA0w8Wo0GaT0MMqEDcAuCspnzmifPu0tl6qVz2UMGyolpPHZ2o+agM
tZuK8rZKYnYXEq7lPgsURnbfaqORdsZzEgdk7DP4y/dKlc2D9BTzD8P29vO6Vg8gKcR5TOqQTGKX
7Crfc47K94Ydk3F1ptqCB1xhzXY0l679eQHFDmplDZgi9R43Kp5F4itkzWurzrio5rjY18O07Kxm
oDbZZBYSjbM0Dl1ry9uR8+z9Etik+o3ZfRjcxNpN6TTwP/rSBK9TlUxt2BI4lIJ3VFPO7KTfJ2Vk
t7EQybcVjzpmwIaoAx+9atkn19iEQLEIcsAIaDbwD5PXfAUjw01v5Mifx6SpCBGQ9c1J1It0N1I6
yni8oGtscVeT+Sl74sluIVCbbfNqeO56sDqfSZe9Gs2w6XFRGbsaMZgcWDk4WyutGSGMNSSjmYVC
INfP5nbyvPVmJoH/mC5KvoX8/vbJidWSn6if0gW3ivPZGOdE+ldvVBj/g2Ig4Q6xnjDvOEYqZepL
IqLto7600hemESSOF6JEkdVX+c005MUaTb0eSeaWx3jSayUJ6mk5pCbMCDqDEGrNjgndap1wufp3
DcaJl6Ig1roBsaE0KigHnlXTYRopGK8PfVAUZ7/GodUg/D5aHirAVnpj/HFdWbpiiH+ES1WcS3ZT
dK0rYf7jLmqxcjwv7Kxee2JxtPeaLKtYTPDC+itPmL7x6sMC3UCPDy2H22G2noSrv9GQ9su2tiQ/
CXEgdTubMw3n6WyE9R1P+/VO9kWzbpsGZKMca3Xbk1v8Bw/17+3SX2yX6EEJ/u126dTMf9IUry/4
uVEKzU9gFX3EyT8IiqH3yXNQ8algYK5h0eTwT0HxaooFikl3EV0vxBT+/y7JMT/hbUOipJQFFJ1+
1f/89x9GG/JP//37KDP9I3/cJekBBx5fD7GTzZzPtOOPguJaDcNU+1lwNrtquTFy2W7nwiqeFgj0
36t6Yrh4jWdASdBt79fUxjW/cY1yxL40HrC3E/DA1T89OPYQvxaK09BNp7Mg6QAG7dRcwxoxxeRG
1F2TIyImN7aU/uvqDvPj2LPQbfqVlexM5KH8PukMyoRb6DVdmpxszDWkMlwDK/hl9YFpPqU6zQJf
ptzlqY64eNe4C3s+7zug3fLXmjBMQqfgXR4uE+zYznkiz0NoZsR88GPQSZrEmG4LeCsMbess/1A6
cePEyfS2JF0VWatMfxi2TSwnTFxsEf3iP7TQx1BIV1tyMEqWW+X3YoYr5Kw//MowHps6B+SCszO5
o3cqPjG6IKGRELYhgdvYzsVKKQTA5qIEcRSoql9hnFNA4MVy505x+iEAoS6RHfAgk75LFIksa/m8
ijS9R2AhvjNSRpzNZXIA7RucKRCdDmaDo2arqsp7rtKEQb+q09LfrCs2f8J7FgtnCr4O7h9jjO+r
MIHprUFPuTu5DfKHYT9EVlx0rLRFrluQPUVhfeNFZbeEN73CbKGDw/XGDNvgzkHeRCehhOhp8iuK
Ste0ORaGKRFtY5x5YQbJPHJoa3nuynk4Cz8gJmQtvDlhWQ4bg8XtXsA9MTdBonKqv9ZmjAgrTO8l
80T2c84QkK1tIB6kaqWXN078EJXOi4dtUs35rpQ0KMOIIvewZORxWNMB+swLzDgzk8OZbaGdbrx0
SR6Cof0h+Srj0RxUl21pxGl+zElROht7hvS7yRw1fGPP6xnHGE7Na0z7y2my626nQh6OrMTe9LXl
lPFAYwnJD8Im+9Cwex+FtrP3ognRqZdMzPdqkEn+2plFvEyPygiypiQwTP7z4Ispe5pXP32ARbeK
8jufrjU7UVr1Ge/t4tQAYS6mouMxuzM9jJB3iYRVVokGtoQzTBBFZg+5Slifk4DvEcsOy6F6duSS
7OYagkI0CAGkPq5FuzcwMLKZzjHjcQg7k08DQVsVFbe33UdrAwQsKeaNX5PEcEIActJsq6gbRLzP
02LdGP5g7bIlBIWb2JjFCnFjsem6bUzhb5bGeQJZQHO46V5U68TRavYE98x6PZI55n0fl6WFo+es
8bYOeq5Ap+7MO/wXq7eVcrQjMnwAknI1nK2qp7qTZPeJ1PB8GTGp4IOpikPnkmoE3ae6G0924xkc
UfW0CvzzWGY89+DlNSDMUD6qlBuzaPIf+H4+C4NloAyK70HfONscH+GmyXL5YmBAvitn3BuyJojC
SF88907BqhUAy0HGJR1peiRJIeuwQ5yTICLrB/lmLB4gJL2G2AIxOnFjG419zIfkyQMStqsAc0dx
Bz4qz8wJG5ssg2OvPLhehaff7WZ+oYUn3ZpEZk9+46idVXqYWi2qVj1dNcnyVOCv7N0TIL+Ktp8Q
SS5x5HjrIuvtuiUHMQXk5c0uHYczlJtv0wIJdKEg6eyPg//CSGq8aWevpJg7kawpqDoE+jI3Nr6Z
amnYIxSJujcL7t6sTvIHhXP31wLWzLGhPOQ40spzmQVOZgT4ZNnHlhqjoTariG0aJ92s6O6qEeul
z1mKhI/11aQKnI7YbNov9NBhcewGzpiTCRWFN+VxZt6wixWpZXhcJe+2ZefcqGxQw29ZtvIQCewJ
a1pG43aUoqJfMkKy9/hWYb6YHDWmulDotpa5M4O2hkntj/teBtU74m3wkA4JobqEj/89B19quSM0
s2Kp78U0ZqQZE/MFv32JncUZPnyROM9+t9SPXZcmu5UI9L5siT9NaghOZJbxdJQMgnaU+5Usumk2
PmeODWYxlfZXW3JJ23Y3X4hpQu0XrTwuhivuOW0V0TIw/pHVvD4novICIJkiuxumECETbfsiXagg
Zurm0ZTLAvBQwJJZJvcilPkxIyMB6nH0g00xBT4RUjvZ2vnAZCkeUnU2yzbdV0zYoH+U8ecUiFW6
qVpXfkEty4qNMqbsYk2FPEor7iTZ0eWXahiLSNmterEnm0xcnPu4i0oKlzd+Jz93bCUvitzVhVzc
BO/JM3W7VJc+ufibnoGwWnvV0P+1zh0xcG8d0re2a+WDrTyMfLJhxsjC1B15oi9f0wJwmp066A4j
1Fqy2DYQJMtRtN6Pw9nth8dhXGWuq7LFMLybnae1QGwDojDfV4Oo8xEoZJ+9OUinFAgNjTfyJCpM
YGWqScFf1QDwdqOAKrniXqp2LYrB92CYvF1crEwN+owlmBI3BOG+n+NNkq7jYTarl3lZukNWzAnG
SqZgfJTldqSI4tHWgze3pkY4Mdpt5/U/W/P+3h//xf7YdjyLzeu/lhM/D1/T3wuJP1/wc39M4uoT
Wp3OTHv4Wq6a4M+huxDOJxNQM10uPFP+QUv5behufTJRMdkkoy7+JiH6GvoMjRmpTFs3EB7/tBn+
d5vja/zmd04nGC3sjk2bdBmRbCb4f/KfkOzP0mYN1tuwRjMo4Fi16wo9bw5fCUnYTKNRphElkvZG
Mif4LlbMMAtm74e1q3F64Le+oXBlechHwH8VSMqndF3dh6oV0sS1xlw4Dlg28Y5PSGIUksXzE1DR
pe6iMZyImXxO4wXO1nHESIgBZp5YTyFoGfchHCbMgX3eI9thOm2CHyA31mw8zp5rLtMpYb7P1R/7
i5GfQz9A62wn3uRno24APbVOyvkyyQGw3PBeOjZGzXiJTL5tCpDNZMtaaco0xSTr8NRXToUkUWZ3
cVWlh863FOJG7cUvdcWZWw08Ffmlmm2pRuOXOa2ylyB3+g7KVZo/LpAShqXvTsrNkn3axOPXkJAm
7usK5SIruA9ZjGxwrtgq/ShclI+POk+mTLOzaY9aLBYYGqpuwHVVVA7l6Dl3GK4n47TMzbxui8JI
1meD/khlbs2koMwxdlrX8g9WRk7+MJHYGLqjMBNy7uWmKqauWJ68kqTobUvaueZTqFzLqqa/ie//
p+Co4NCKo+pfrwg3fJnxW/GH8cLPF/3mxIHSTncrcwJ9yNUjhN+MOOEnl8M0xZ0gjQJmdP88N9vh
J8GdijHOJOhmsbD8c2nwoDUFGMpw6CC46Vf9B0uD+F9BM/BfHpFVFogQ+8vVPva7hJDt2WmPZpic
qQ0fgBXhlnycRaL29lwPh6zjvDIRmqE45tR2DlbRvAnCp6mZhiPcnOlgd6I7MEo2zb/KfVp/OtE7
AV2H3OO6V9VijPJni9Ai3dUtSOOe/Am64n3IRvI+wMTMzwAZtyCa0zxnwjGcXdbHmyHBvGC0E5BM
Nvzx94BOr0cp3KDrd+3qV/6bao3kDpDHPEROKsUHrVSD18OCQvtmM2kE29JFKL/HAxBIA67qYATH
uYjV1kFLhcYkytmBdtBAuu8/p+uU8Og3qhyyBrWFcFskgQB2Esye0RfDc9Djecftk+8WpiQdAft+
BGcb2A94LMfPYdOWm7nvKhJiJbzizTjn3S/VWplPJAMa4IkOCMWIlZujZACsUeyn2ErLM7DhsthD
6C5LRGAbVmEnt2wTZjLq8SuxDePQZ6o/E3oTyPu2/JaZac9KCw/Ly+UNgL5zC4j3xa+zBajesh58
idU9jtPpvBiTsc18heWnxDJy1zn2eqmTdG9kAHxxoojmyXDCD9PO5cbIwC7TulOm7xbsRH9jju58
i4nSeARyAGHHT1e5m7NpuSS+ejYJiNz3K+GARYU12MnZE8k+KAznF5bQfBOi8W8WFzp0NNpm5j2Z
QdE+Mc6yoyoOkKsn5UNlhlBS3LItl/bnnDqVzSKMDHm723FQs/ZdWM4vq2kumzolYr94rYueX9X7
1h/SIhI9fWSSIzjl0r44Lnbc7mAnGhtba6cLGvCJc/QciS7xHnnXuxtI5f0+J5x1TmiDPYe0kZ1T
YZbJNq7N8r0dhHxpfA5u3cwDKCpGA7lAZgrClbVc7Mn0vyd+6u3BOnQ7rFY8L6xpIE849Tsra5g+
8L47e9XN8DUIOqdfCy57Gkz7JRq40jaKcM+T6YPQA+E33bizpNfWyUKcKGm5A3JcQwKFCq7qwX5K
h6rHTKasTYJUzCXdV368n9lir5ECe/LO0NKJjKU0NnEQjjv4o+KrlaBLV/m6/soYIL6l2MTZBsvS
H53WwXs3cAL/kNaqoFjhnThZk5f3SMb2mkZqAOJzmBqL57rvShlsrK7yiWmEXYmIYYfrtkzKhOiV
jI0Xd5G4YxyjHE4hpqmbsHWBDi28jyeq83pJaqRMLwlnvBsAOrx7DrTuyJm0ljOBoF8tl7leEDvf
IE3MME7LuQcA2daXsATGCquzK27x18d7uwmBaQeZvrvSoIMIUTrxdNBpTyjiZJUf/Rr2A2PPxjsV
Q/85TGf1iz+pZRfP0jmFXg5ByINtvW0FVHJWwvljShGbNm3gQfKvElWLLcWSBagIgNArhKXe/1LH
fjhuXbBF4DsB9E53mNOc0yI4rWzA1PsEBqYhrS4rgQhrE67TdGoSr3G3HLTQ6nKkG2BqjddvJsZm
9/jO5kevnwSHozol/bDWsrx3uDEOM5ksYq3N1BicKwVYrZYz+53HcnBDNU2ZQdgqq9d4qLunbLSH
Zrcw17qNtSXLIEEjt742amXasuUz+yu3YsycraktXd7V3dVro9ek3P52ttL0IbPm4nOrDWGBtoYl
K9MCWhY5dV6dY64sim85gX0O6FdvGeKS9yCztTTeoenhPlu0Ec26etL8qz8taXuv3zvattYruzuv
lZg/oJNjVtT2NqGNbhz9t8rwDNJP2gZnXh1xtFY6N2k45Xt/nvpn127wzhFPSx/ZmFMESDLxif1n
JY4Sn/IDfMqW+c06FGVE3k9+aVaTigQHVJF76LVpjyBJ8TVlcCQYXy/T7YBxEi+pmN0UuEugB2Gc
JO+NRZsB3QnMFJa1YfrB+o63zkjnfeeDwSboyLdIQpNQG2vzPl/t/NQX1rLrZkyIrA3LKdfGRFBH
gj+46FjnuckLLDmb1Wy0KUmRUAWljbuRQJJ/EVfPo79a2v8osULiOWJHPHFuvxkCz7t+bEcjSG8q
szeQrWx+yUn4O7gC33Ib947uZIuKbrFfMbW1p7z1/YfQTgXftfpm4e7jQnQL+34x2kses/Qrt7wQ
jogxbjYkfYHteK6xRAgExjYwKRdpWye/W126U5zGaHmBWqz7mhsdSpX2j0JJNCPLGqmBTldMZD1/
ZIFpfMm1/7S37OXGcTunjGSb4k91w+nbpD2rVMj42x6s00HvS34ptbeVq9S1IwAzWF6dq/2VTHF6
kVQBpLhT7f7GDrSb1rVTbLNCKt/ZjasBgBCXXWjv197IgO3ivHv18mGod5325TpXi+56tesmjrbu
5lLbeIerpTdI/flrLa8dnVfT76j9vzTQFK8c6/i4QJs7+XRvmE7xtJrec7HE7iG/Woltp8d1WMvU
vpVXszF+H+s+Lmo8c1TQfVm1K3nQ/mQMu3xe4PCxLRt2Xn+xoavxNXE1W9rfjFCMec5PcT0HnRQX
yXLGXaRd0cnVIM2+C7M0eSFEDd+3iq8MaD6kIbytuxIGiEhMtfQKQrflcBYYSMWYjdNoLOO53hlN
Vz1RmzLcNRoh6WiY5HLlSmpEElkojZtkNP+UhDMPayC3tzRwpLiqucUuGRMhd4vjCp8VMU2Ybm7l
YIfUYMsYIfQbRsTulyDsSHD0ygjPeK3oUWCKQ78M0L4QFUvzMnuNzgyuFM1QAzVxBcDWbLMSKuFi
KL/b+Hk+XTqhwA7NrCN51F8JnWxP+jfryu2cbM3wBCcEJO9K9jS5BuJdqIGfU97zJGAyX3dHOkuc
ZbtAKQFgDeOMUF1pB8+LBog2V5aoo7GitBWz0KahhsvjaMlv+3QtKCaO/QrvarC89lbYPeGt9b90
cZAfGg+zK5nRAgSXiDWPiejloZM9Ax4jqTghp0LxyOh8jnAZ58sHC/ZadQ5aWimS0adgpiaGG5Vm
Yp7agN5i4sqTsZH26JnbBSOwPdx4wWoxyLieVf4Wev5C6NF3HPGzf3Os4+b+Kn8v9fx8yW+jUOeT
S3YMnk+gOx4t3ab7m9RjIui4jsVc0wk43uki7d+kHo6Svyk8MHJJgOHmsmyPMZ4j/rNjnJZwfi/x
cCDEGh5AX9FZNu/PxYhdPARlnizeTWW1gYjwp4l56wkIckgw0mgH7iMQXByeispu4rumXpm19K5p
4KhVA/LjM92jplGBqvWgZu8MtfROfAxipEu24xMkcr8rVXtXpJSU+fuqh+s43w1mkaXsSiyfMZAj
DXoF9oMsK+8yOZ38ViTz4+BkPmA9y/A5d3n+vnSogdjLLtm2lkLtCJQSFzWkWRt1NIuA3UL4ztUB
GpY0L/UiSjfKJY+2jd/LTB5LjlLdA2fA4rmn7PtDlsrGzcp0RWirW97eeHWfErRYw3esLk7Dt1g9
tVs4ZmUHnn2UQdtrXe3sJgvui672Pjrfn7dG2MxfQOMzWsDruW/GFQp+n3Jr55NF+w1Ffwblezzv
DoWqylNOR8wXT7rduyVtYhSiycJvTRh8K5f1LjB7IuSEUNcTf8S30+jZ95mbmUdYHWI35LZ2bpm0
7Ux22D2OeZ3Okbmu5naYEYw2TFtDysfHhnOYE3srpjV3OtaGqh5GQHivS1rBU+vX+QDReH0M2Z6f
mYDopEbGhBIYmpEBW8mz71wP7mNe0J+1Y5tu3FMTAuzX9fqjbBZB3GGoX1LlM2sNxuaBWYofTRDv
GXwGg3XruJP1ZjSldDZ0Y9v3jZOM27BlLlr50FenTKgbfGWg5LLRGXfCqsedoWXvmX40RATMbiWd
rjRfxJ36YqxVuwdOhSUo69QJ7U59Y6PjnziPt8/KXOO70eiaS2MkY0Vw2ljvl1F5k6CuY8JP5jFj
/Plv/PDOlN4arqb5R5kJqg5MwBQ6dX/OW45M9RnP+1w2W3+Iuzzc487FcIw/D6fKXMpZ7cwUjOa3
v1fU/wthTed5/61Q9qxzZP8Vfe0beOR/MJn8fOnPldUPPrl8Kd9jDUP/+b1eZn+C6qMha1e7iP6b
n+uq7X6C04aWY9nczxaK+T/XWRZjJDwXy+Bvmvx/IJdxGP7jOgsoHcqO6WjiuWcL6hL/aDMZsXDC
/8ma4zKxwsK/LuwZhA+n8ZQOvL1XWw7IFzozHsPMBv5jZUB/Zw/IzFQSKtr2xMlf8jiz34BQrw9Y
B+vnSXrxl9ARy0Or8Bwe/Vm5x7a3K92og/kpM8hL48+FeTDrgeyW1gLUlxRUun0JSgM3omgg+5Q8
i86j6uhP6sKMM3e/rrNAkcBAsKUCrf4hqxFgkR+uzr4wpHOfQih/AEaKItAsE5UNHUiQPmZxJJzi
EnMy7NRKT9MC7RQPpXdrAS9oo8EiTTdWtn2emVZzlM9oc6a2afowK34ofJnx8CvfRY+0HNqiwLbV
EkoM3CwMYl4Jemh17dMS114fFd7QFLsMT+AxI7jo71Biqh80BbhHDPvLg1e7jMCEyuLvijkfQ3Ix
y7eW0jK+Lj/ZGwK5fKtns3hCIVwe4iVLaWuL65dWBs39gL14vSFul1BBwamE/TY0IF1GWIIDN4WO
tyjqsB4Xyjw4GrS8kbmgYATxgtIzThyLpmqo9otIGNvGJVY59KveFNs49GkdQm9qwCpQuOUqQAMt
RIxCdOEDyYcsveQOqBPJ+we6soNc6mXdgSaY+ZKOobVfUvr8osyFByxEFzwaDlcLhKIqCmHBHysw
K0hfvXiB4OGcspVPxyjB7yyj3wAX7ibjWWmSk+fn4sz+eo66shidbQZHXh6VUQ38zsKGCJp1v8xw
ij76sbHeWnN1GFOoDsyRi3P8Oy3Awa4f0EM3AZCEx6VNOPauTvhs9VnyCAQcewaKDZ2y7mR/sWK2
/RuuPNfaDqkxfw1UEUQFU/tL29oUa40r9SDOktcZSCfQ1ydcxkAOsng0Llas85yz5fMANpegpg0E
ZyiNXG7hzpQstuMTPjO3uKRYKR5almz4XD0dkbVYndtUGuacRNgIDFw3eU7zaOQJxINDAqI1jDeg
OJhu0XhWklFe6ZILPjrkavpBQrZCaevZMZ+PgQWCodnYzXRt0A2S9EJZ4zFuegPXDZYG81R23Zq9
Wa0MmQPzT7+puXzeffTV53XuJVVb8a1fVdNNNg3yLe2quxgLzaUcK/YBOb0rPAVBBDeOceYQ4Ndb
3yrNzy7K5j6jTXRjUoe8i/u12Jse/znYqGCdoqgtGyz8PWHa3Mo87XayHZ7INabbrGwtILm5JRi3
cw29eh4tOkdub+OlTuz4wMkUEsfoIjlF7D1p7cutbusVQFWMwZIJJGV+huNqZsuIJ8Qat+uwYJaj
a+bUjHS0cBx+alRwGXIZn3JEpygMmuU8Z/m485es3DmAbUG6LweaHI3vLqJrV8Z9BPX0sAQC1G9m
CU0Y8+/kujyT8Eq2fjIf8Le7r6LXTvRxHDe4mJr7OTA5Q9kWjmmSSoYMMVg7HRTlkohY0HqMvmoZ
ydytb1Ac5K+cKe/QNeOPri/m40Il7DOOpuA+py4mWnGUb5xSTg9iJE3bAT1BiEjXA+0xaHfBeigd
c4hSZuh7IvFwMwxeJQrSEVnfozAVgfpoYvRbJnf3qu1vwU3GUWvpFkC76Q9dXKMCY3S97fuYgBYO
GXK/zS/InN2hzkSwy+iO2jf9kHNQdGWEW62ji56KwXKaiNIxNYWotdK/5SdfmsyS20SkGYicFRxW
ODabcmj6N0YA8xFpbPiM12TgwpiNQ9IvP0YNuIKLs+6GHnbQJKz4i124pMA4zzsnL3fQzwGDm6fR
a+bi/7F3Zs1xI2cW/UVwJNYEXmuvIoubSIrUSwZJidiXxA78+jlgt8ctyqMevztiYiIctlgbkMi8
373nHuzcoeUbOt0uCJA/VmCp2Pp29GghBmRrerPkbVdFwT7GWrNJ8ibeQz3LuSq8WV7BdSoKNq9z
nGx9Hbd3QaOBYGuXW9bNFbU0XXSFaU+/gtUqsXGQC36i2yvfmV1fLyh8f5c3INPKuYdUNijxFW6T
AS9vqbEcivmq8MEFTXqAbWjnCxWpK86NNxrXkFceJaZFsTYDfClhg6JJe6U54sZqU/Pkwoe4DNLc
pzq1gBGdtXEn18TTKCfUXsysZsgpBG2dEueTaUPyUdFqJjEBObsqcP+Uyt9L6E8now6zTV2FHXCp
znhsK9F85YorNDvZoboQhCk9lZS3I779KztJi43f8k13GZeBQ3hitJr1aEbOwSLVDayYyuRayeSH
3Tj5jw4/GBAyO2es3qoB2JbjTadC8sReJ5N2N54bmw9l1PV3UZD63ymjC7cVtvVLraxvRtC9I1iE
T9gV4MNQfrRuHPehACRz5p7CEW6n/aonTMGtpBWFr85+tJNviJhvcAvd/Vxi+poVSQ87np4mXFub
NqM2TMr6hRpfYr+2OJIZSbe1aVU/QiXp7EsMonm+nRx6OG7lmrOZsyVsb95kDWOytBnS28L0roqw
LS5J3nTbxdsEtZzjCkHLqB6qbWPmM1zpBYacN9+7JLoHesNWiv1FPNs45u0+O0gzmTeuEpbGsMbi
ypBl2cxoyuwcRgAjT7ltVKj4xUrTe8Pyyo0NcuhbZMn4wIlN/qjN+q7rzXdFE4Ffx3odGPK5yEyx
0W6LcSEV8hRMRLsrQTEd8uFzGc7wj4LuNBR0sAJ7rHBnaXodwx4b3DjlR5vyN/IAhBY98yEepvQy
45pfERUHdoY3YW8ljEcrkewJU5FMbkdivFGzVATQZtC71FUl83fO0Q6eXgaTCtY3mMGZ71rlNkOQ
pVjU9UgUIODnu7EjHF4b/psiGsOsST0LRM5ryKPZOue8pk0QQJb7Bj7JPMZz19DdGFcXVdGXF522
fsh8IJpifm/8VEcYgbNqbRYNZbTYpVYNY5ttrBkO9D6BZXYs8s40phDK/pDsBLvHa6uQ6qamh7fm
Ry+zek8j9RXDOmftyopLFIYZzXmjtYExb17ZFJyNaeXdqcWEQGLY7VATqK/uSKZzNudkjp0J2FIJ
kmz0mS40OCS9+bFN4v2y2dRmcc28A8zVECxOkncMFAdt5aALDUF3c3M9M67IIjpw6gZDapV/q7Og
YPQ13jPuuoFZf81c4cxuLV7zhyfue1we04RVTPUdnWsJtzmtq4iPro1ncDUC/bksEt+/9HJdrCPm
KdbEgIrRbD7fWDW50f8e/P4/Bz8TIDYK1/8tpV2WXdz8Aiv541/90yLh/wMJzCLhb/8RBeDU9aea
FuCbcuRygPM9MNNYof516rP/gSnAomveJ3oQWEsv1J/qmsUfDFhXiCPQlsCU8T9S1+xPJgnTRCvH
zkX4AdOFxIn+86EvnuqhK2OzPrpowP4mSQzzTkR6Pvs9T9hSJz6tnJUUr40h1b2MAjo+80LxiImp
fmKUBttTmpelIBXDRqVfxjOEcnxG3/c+K+VGRhW5t1KQGDTJSV+bhdH9SGqQJ2MUZo+OhTW1WhKS
yMYK+7LDga6wZL+pNUZosGz1sG9zYz4g6XtfuqIbr/7yk938IST+NV/xSV7kG3DwxjnImixB4IQ+
OcgS5p5soqvqyNSWI5liQWT8h2OrbZfPxfv+/etxlv+rnPnxegiaLJfIqIDWP+FhLANrf5im1XEw
oASOYfa6uJbX2Mz+9Dr+lCT56yf7lK5dXklCMMdkhwnGRIz9+bedsX0C5PYy4iHYKCwmIQxl6ZH1
bRV/oaXUWbZd6u4//ngSKQHrDReTT1L45xdNhAUBgkEuuzVGCyujI5DbEGtxN93oskv+z18NTQU9
2vQdj+PMz68WBv4QF3lCJbUY3PRc1Pm8Gz3iHtfAbe9//1qL6PP5l0Mj4UWkTYiSrNDPLzbS7hvl
qYiPOhozLPIRtpiN1jAWfc5Yq4inynWHM+ZyaNL+QFFaWwGGJE74+/fx6wXkCuHD6RaYqySC0c9v
IzMbOeUdw1fdwZ7eMDMjgxeSZg68ihP/71/s12vIxcLJ1AuuOxmnzyaqGs+J3dYeWT9znm9Lv26Q
aLiDaQhJI+p+Y+zusmCf9zev++8+pIRxjefEw10mPq1LKbbHOPSqZGEyEqLr+TUHu1sCyDFF2r//
jJ9eC5mCvx8sljR+XvyVn17LQaAx+yiIjzHbFWATk6QaVdTTRTgN9sPvX2v5W38ZZny8Fgxvvkpw
gY77mZeW5C3jfsagx3maB3PDuSw/ZTHx7s3vX+ezw2z5TAAZiKaxyHC5Wj9fJJ2XNbVXjjGN5G6f
MBhkNL9ypgL3em+7X6I4ztvVCMiG5li8WGrLySw6//49fLp2ls9K5oaFjhpFC4fwJ0ERn0MaL9vW
o+o5LFdmr7HuzEZ4VvaEMTb0cYZ49vQ36/nHV/jpKwYmwAeHxswz9DOxvw89BqVK0hdL39jXOvHy
E7rrdFUxiNjXdlXQQoUmSFvTNIZyrQZi4sfBK8bvRNJ0/UYAPj+lqgDwsgyNFM1F0FUT4/b3386/
e5+EsdkaAEwk2fd5rpW6thpmaRgHYUvvlQ2fU697neFYoJpx8JiI4GYg/GtIGgY5+Z5Fb9E4axdK
Hbu0dC6CNlBHmFb2VWB4jdx5fVQm9N4E8u8of79etb7g20RYoTFzka9/vppEQDiZoqf4mAcCXSGl
7ifFBtC0299/J7/eiRyY+MkY6Pv8/8/Pxtiw+FKMJibMSWgXrizn+yIt3QuGNO6X37/W5+Wcy9MX
C+WCpyMcSZzrP3+oyW/cBiGP5RzgxCb0Vb8h1NGtISmlZGyqcF2Nw3RhdqN8NvICRG3ptvu/exPu
cif+fLn6NvPNBR3KD/3RoPJXkH1WV4bFnaEOshvq6Sgzi8W0DUa7OoZdNd8y5xOvbqRoZ6Y8nCFY
FcGRjPFk03yZC0CHYa9OATLkDdEWq1s1OiFprbOWjjWLI8E5iwBoRBQw382Zrd57kEOP/pTNZzKb
sCYCXXtLAicl6gVVva8FCy6pGevO7VLvixdV4tCCSbqM4Ch2G1HFxr2BkH87hWphNuDdus5r0b5k
ahKvKLPqzFQWv0kwFuoduoNbnYpck0MCz6kOIM+cBtdhBIfBlmiEBLboXFtBvHZeoGmbbwX6+8NA
qFMjAfXgnxsK6t6zvnWgLbcwlEA5JNEZ0ld+clyWFrPuY0jZLN5lE7rvYYlcBPCKbSOClfChbsZB
2O2ob3T2gyPYDBVybL77ko7pItHyGYZo7d8RFeN64+4P011aBrw8eCqDpsmGtVM0nXye4TFtRuDE
Z7n82wbPCJA716bVKx4a4nrM/+6D0p7OPGdgF+tpuP74epU3gB4oInFb2TpKTyVY7uiozBDquCXy
6JzSSNVt9RwlmDY/Vit6Di/qdmaF8s3R+IYcxRVZipGgepaZQCbiiu9uojuek6UQ0b0Dvf5rVwvY
plYoihs7pUOAbBZ/BzJ1dPZaEFZAoeLXWgQDgGFEy5D+5SBDX3R5KMBOsx/8oq+tFdpEfsptK37N
CBkgE5TOC44tpEduGmjdKs7nW3fAM7Zu03q8Eb0er+OJseUGzkv8LfNalqYlRW9Ogo5Ee7kO86Uu
1u/I7q2nyG/BRowmGxgzL+dd0WdcSx8EknCYMgXJJQYY3Db9fJu7Bh7spT5w00UN0bKED4ChMhkg
QjRcYFvYWtVLNIQC27LP1eumzogGQDL5wDl+vALNZNx75CYXzJ4znUMjS06pn22DGc8bboDxGllV
72hTNOmOncutbhSCqVHWtyHj+6Pw6+ICH7KzJjgbQ/htxBnO8XzqtPAOtnTVfdjKbUk7x4v2ivQM
/Z3zu3LldT7LPYB+HACFGinlSuxn3+e2q5ycUPBE1jbt7I0wxhn/nmWtTUb8u2AEOUXzG731fKvW
YxD313FYTKfEDHZRRKiVWHJ5wvqOcdmA6ZbmQ7BC/0pOWerX6wg2AvTqFpx24+Agd53nGvv2GRrf
dT22/oqZ+bjpgQSveeDYO1fHD57yqOhrKusiA6lIV4K7rtpiAFeMZJnO5pL0FR4TcvToOIjuGPK9
UqD2UnVGs02M3N5MHtlPa+6tI0SUJ73wrpDjqmw9jT5Pta6yvuU2lQi2b4JUAArrgcFOHe++79VF
WcjwqcU3sY2caTxFWc4C7Cx7pNyarrzYtheBUN+SDmlORu+mm3n2LlOpJ79aoRFLSH7LIhI2P8j3
0nVEKUO3KmiRoGk0tJOTWTpQpZURysvOzXhDZUYJ1KqfrPnBnR17Nw6Z6lByreCCpK6+ZqPkRJvB
WzzoUmQPNaV4DwxKhi9T6bJ/KJvKD1dVP0/nVM72Ulknd07a+t+RxOvjmHnjMdJBzouyiz7Xobjz
3WG4kxBKGAV23XZ5/pBJLas+WseVzm+aFn+d5E7L6DjAnLOyUuo764m9SAqcpEgLryGJI2OWooKR
kkP90UqGgYTJzdEHn0K6ydnm7YJZYBsbetyRdWXl141oH2U2642JZ/3K0TPVtSE0TkDdHoVyO+IB
pGGrBsxJkro3goLBnSe78GubhMOF3Y2bNlbDKRk6AaDQH4JvdjLSieLCuwBCwzp5LII6OhHFBElo
0U1ymHvKfVYJeweOCJlxm0213OZT/VQA9tuJnMh05xT+ewvhiER5YVr3Vu7Kr+MwB/NeuPQ2TN1A
srzs2I8Voz5U8xxcjYb2qBvG9A2Zp1obrZYHTtDBIRhNq4Vc3tU/Ksv3t9WQTCfd2kyyHHEOVE1j
rhOYl1gyC7YwhQQLmAW3mdIIbMpWNof/JHKQKZhKGrGB+tBmwYkfNfgyukAJeAgTjS+M3nkbZ9Hc
ShCcx1EXzcYvtbWh2QmvbVIAWFShux+ogt55pCEpIIydhxSc6E3YMivOlZkcVaKtM99gvLGpKdS9
Mvc9fQcYXYqzh3ywhrBj3YQ6Y1SspX0ZhCH4hWp2vyhXm5vcH0pqDpB+s7nxX7qlUpGFRq/7Br/8
2mfgAlNJuf4+6gsI+8WAyzpsVPhYiNG+6gTjYzErtv2BXXqrqjGSYjulRunATaWcI0sL+eymHiJO
qcMLIrU+vSTKyY6TEUw/Wo7jl609dDigjNFf2RWgrTXREJ7pTjDUi8nPveLEjp8IMw0HALM8wdhq
ubva6jwkeXZTeW577TfjeLB1EwXrOPAPOdPnI+0YBhMA5V+UNNOekw5TjxP2+WtaYETepswSvjrA
HnYeFKT3wM2pRK8k6Qa4hGhJSVY/yqb6lvOnt7UuceIGoJHw4zI0eBG4e8FqGo1xDKuOvaxvMjzT
UcEIPQHLaiqg+aIk2OJ28TbNrTfwLUwbu0oBWAjsZluE4XTGCV++SrPoT3BwMA4HPAPxMs77ySVS
j4e9vTFF37wmdcqarTOeGiwCdRrSlONInboPregK2bzh+fCdlXCKMXqPDJCcbdxkxPuctuCY1Brv
2ouK8+hW1lU8uN0DXc/9q1PH/nNI1QXMK9ivQJXE7OMhdcFzSIbuRV4cDM+ZTkQX6GHPvf7r1BJ9
FmmuoSv0EGsTvYQAhtRcs4siO4SCzBxFo2pYWkGwyEabd9WOB6dIxJkSlQzGwMAzA1f4RGVU19Gg
xOIUdSsz0ePBVAtFooZWu2kdq2Q5m+bwCyMXa1pDbwSKAW2HyRfqENclBtc18y/jPs4CsQvSkt+N
h8LeFlV7qua4e6s4Gy1G42xTGDnfQu3H35S1XMooSuIcycoqEOrr8eAJWz1OZFZfDKsy3i1SVJfK
hx/pFnOyJnVp7kdnDB5MQE4rq3Prb6qiewU3cLAmzPLAxlhtWwUAisT0nWc/hsQf6KZmeVWZ4qLK
H4VbiJXwjTvZj1goZDGvMSzuMHF5q7ogig2ngHElmxPGUEyRzaImQs8Zm4Q00zpMJK8p4KNibXBO
BkNLN9Lk0YUxGtau84YflCJTH4Tsu9b4b3cpgdp1mnsnq8ndtRn3JsnHbudTj7vGKGRspOJyFsnI
2NXN991sAijhD0dl5++tSROUzKdsDxp5/KI9K1pbnR+ek6KHf45jVxPQXHl9b51ihN1tg5p1iusp
OwQCecAae2AdVc0wJGrFa9rCK+CMz1OHjdAJ0K0DUDrWu3xowWG0Y3KZmuM+9XBV2Gy4gDWNHka/
8XrABEVj9Ogd3FpHa5H3PkeTagMRDOAAW8Gb0WwEpvQE31xLeyXzmm1llPPe9OKF3Bx8qycj39UT
vTdthXYw4yEGOnwLo+Yl9pxdqahRIg57Bdv2lBv6ecjn6y5VJ5LqD1Wtziy5CEbk6y+8en5PdPho
BsEd4519xW6avvnsJRAxPkNqgGDCBa+mK5r1XC8+QLr4HvB7UUhfWq9jYLKxMkIW+cg6Zl7dbgAk
7pKuIswjKQUKvbe8D+hNzlG1V67BiYDaou7rbM9vYx8zxe7Ib8ksHtZTMIVfBTY+TExQqk5E4cCB
TxPQjNjem3DPdPw04v454Dq7dPWD8PuOjJ0OtlETf5F2GGGjCmAf6r57Mqza344DmcWeM8xl19V0
vo7JcptP4sTASD55jVPgzdaev2mioT7G2kMeHZLlOCGDaNyXsCW25GyhHBLfmy+p7DbqXZSPd3D/
g+/ATmhkNqoMQWeVBg2UO6u3BvuCIEkDU5DOi/Ems5g3Q5DRafICkwd22YTVqD2GTFIDkiwpSQpU
TSdpYXxlDB4bfJirlP3QATKhNK5aSBnxpjHKhG6cANHUawaOnAvZse6wRvhhqihM8rgBeVVGDC5x
IiZfPgcpZrslx6KQy77blCwv6EzLTGMq4X11IQcEZWjOGCWVGwm2gCvNM+7R12o6Gw4MPYjeTPAn
7YmrxHDjftsGE8eOTrIsDQvOqzCX04kZj/2PZLYGmr8mCnBhBdIWVaenKB3Uc5gbiNyhI807s3Hb
refWnEQIM4jXsiTxfW6jfjnyBm05rSO3ar7qomfrkBke2EDTro/s7fnThlfQkFNyQCfpQFpVmpLz
FWT3b16WW5u4Zvu3cqLqxq0hvAOUOVJKDtqSR/7RSomax42tTnbkIgrgHz77nUQjWCY1H6/XV46x
nQhhHZVnM7NJ6S0W0smfPv4ngZ+DIvY49oP6C/ZYD+cDE/nqpclbzmBjbaES0LNzPcxsewwOm8x6
5sL7EqR8mViK3ZWIWr37EIqrjIIWa6TapUvRjbM8rsQqjrFmGAFvMY8gZHpzW+y9HJtbGbd8gDjh
L7KOzARcuxGMX0YnTCf41YsU0KMaxvpYuwXWPkp1drMRicOcdvN5JPbfrkfB53JytPDK5dine7rp
1u6U6D1bNc72XZfJetOnig6veEYVQbxkMehMTicCt3hJj4k+pkrkOde/mI3LoAyrF8S/eE9dD4qi
P18Edd2A/MmCFkkGdzqtyeFc7tp0GOD7aSwVLtmqizKZmZDNLuKVmiFBLtedERfzrk/4BewZ1HNW
Z/Mtk2G4Lz2+Fd5fBPbKIIeBKMIx6zbrlu8k65iymfxHfqvxqpQ9Xxsi5dqh5OtsFWaxLxcp7gMp
JycsPDCTwNHRBbfzHK6A1hH87aBf/mCWeF9CKzCwd4Ksw+yMni8rfzMWUjzlgn9CmAe25kLOq8qW
b8vE4UnntS2nMzVZXDszfSUbSlfEU2S6TrJJ2xSzTcN1Hxlsr02JzgoImQO/CV3rfTbx6/QJVxOm
USaM2JNekBIL6qELq3+g78e8DMxBnfpIlS8qwuc4ERutVkbELezYHbPJoVUnBbzgJZUN+Uo9GtSK
NH0mcGFmyrzjcMAnLEhbd4CowpQdMDGgfVCA+eTcUn9tg+XrzUWWnuhWms99U1p3Q9rCwF9uWKtJ
o+/5nFcvNMbz0mPX9KesndSxRXKFMUjV4MtMJXooUORazb8L6jilV9R/7dymX0dmzNGjrd4K4QfQ
tXDiNH2tTqLl12lbxc0+cgeqbgpQLCiBbBcybFh609lGAj9Xea+e64FY+Hr2ZvMiCy3zurA9dXIz
m3fecvJxNwXL4V7YLuIHY1HK55arYCAUcelWLpICeQ48XT452dUQdFwlchavoUgqgEC+URK3qrin
y9pVG6qePMK0rI+BwzcFV9u4nzkQvEtV8YGDdrkGawFbVLqVovqQair2AdN8MCQNkdKXHPuwYPQ/
fI9z8poDxvjUlPH4bex9plANG/IaKbUKtxHbCp6MNNRfmk1fXEVD293HYvC/V72j3uNyJIjvRtmE
Q5InkxMPeje5cgLpBv3q2AdaPSeeC+C1qcFSbWSJwL3Jqric/pCf/5sZ+pvMkMW+Bln6/zY6nCmr
WP6vquK/Bof+/Hf/sjowPMMszxDdxrLu8Sf/aXUw4SiiIS60l3852//X02BDX2SWyebLQtPwIEL/
J4mhZQz7s6AurQBLgwQ88zFK+FnXR6Dwo7aPwiNQqfks8nra28nATeQA0DVhj0T129j1+q0yuUP/
8rXc/PEqfx25Mw355dUpDCX9zG1rBzRufxq8xWQ13BQd5UgQcD7TlTLvDKuxoKDmLLNuywOr1S4l
mJbZLhVrGn8nBnSruESemh7IMeEDL8PGCldl6sERC8yFBpcqC0UzdtINm7Hqea5gPFurJom7+ULF
kEm3BcrdFpLTfA7gqx6WWlMo+WzA06s+KvofMvHtbq1jlvg6sllCEpiTd9qY5LpOUCahO1OeK3m/
lY27VHJvnpC5+N4YjRWXvE3uQFZVYNSwdnY4VKDU0rN5nDq2epD8HIP+6GzCdlh/MakjJC1I0h3P
LGKg/N6HdgibN5CG9Sh6FcbbvAtH9t2U1rrPkQjg6q2CIWiji7K1U9+mRENXw42mfQBnfegPIb5M
I/J3ZTqZ4R1ir7djPc8JwMeYkP2d1fSt2LAjsN0j7Az+l9hQA/k01mnFHgOhdhUaaQwof4pAzyrm
6IwOBh85ErssvIYFO+Mp8hvUiYWvOev9dS+nEvPKYuFi6q6rlRlq/wmufws51xygaqFJ7Dtv3rT8
p1Up+vrNTXR/Jf2EowT4OvtAk42JzZ6W4kFR3Vpnt0yjsj02SjRkcrhU5O6qukeQ6zNPX9Q5gWtH
V+gJ9GK4LWc0epjjcm1MgbrtvWl8SCs3fRKLvUIyfVnbLla1Nk7dH0YxJnd+01LrG4x6gzaAWlyY
8bEFu/KcEGNfDVFEU5qsiyPVBu3JUVSomWZ2R6Aqve3HFnesRCJlQdd7wxwoPShBTQQTSI0aAyyI
uObVLU11l6eR3Iy2TeNPiHAshja/QCVtMHVDIormOHsoe3Y22jAjHOxl8OaFIMlWtaqTm97w9EvY
m665ZucmrsgEUAPUJqZxKiLAfeTFC3FbI/bvB63nR9vK7hOjosDDCzlnWE76tqR0Hz2fm8oZbAdw
m3KOYQoUwdNjfqzt4YdSSGPzmJrbAGPEtGJNaF/qGbF6juuDGQ2Asqvhonci9zqjA3Nn9zOEE7wU
5aEOnfRY4k44q1KazyNH6CsTsjj9qgM7kCTNjkzDgnXnlM19A+/z2h5cEJt2bjNtmcarjID1IQ8r
95buQfOq66vkSRdR8swvmu3HsbMvunLODmDPCB7OTvZW0eipsD6GkuO4Pd8wOu8v8xbeMxtn8iaq
8uXdlLRISYZBR5Fhj/HZn2qbfh3IiKthmX9kY62MVeXH8anwQvu687vmsq/t+Ct8irEnHTiIc5X2
MceRVN93aTd8iWOvOtkooltjjIPn0pmSx7r32ovWLdkpkshITmKWM3OgPIJVQhbhWNFWvG9nEW5E
Evg7zqLuO60Seo9fZfo6JhYT1QBNOK3yY+uqc0b+f0P5MYh6+IlbswiPVlChX4hpTbYAOojTfe+K
ATpIWmQHEYIULYAvbEz2DEBfCrmz2BoyMvL0a6Xc7kKgNBO4RK7zCme4TUpX0zLnT4ey7uxbNQ3T
E862+c1VZn/LF6Ku0dk5kcvJRIMb8g33SctwYUwOAzm+PcKgR9d1V6YPVVxne3527haDzUgg0+q7
Tf5zP/s5afxRCXs7eqPDwKVubyCHUo3d55O3Tixy+8yVrffZiiCvkHLvuJRxCpOzva/GtD/TGX5T
9W1wZZVW+IROne1niCK7ESh3vxJTLM5enKJXs6u+Mph93E5jj+XFbKbgsiyXnuBsvM50R8Tb5EY9
dV1IlacTkLZBgxuPcWqGQHCSgpG2txye7eLc6XZFXSRLDZW3F5DAk5OlycV6E0itNbZZ5mjam96i
hPMVHxrr8Yq6gOSAt0i/pvSKjCJBqmD0uVW6tL4l4CaPGVyPvSZ/fm/WCVl6STbCaids3Z2egT1Q
L/PQFOgzoyuXLXdlvFRkMXiimcNdFiMsr7h75GUxDNN3Zm3JhCyvqU8mFnUiXd7vVWP2Vz00/pOV
WQXxSq0fB2TyGwDnasO4cd7b0MNuebJVz96iyfptId+nOIW97sF6XQVB+H1Ix2TrxHMAubHaDRS1
XkwgmDaY81rSYYsKHCyCsG+maMOiyYDJ0jULqQOVA0TmDJ4tixwNdxaBuVykZv9DdXYXAbpwTHpT
gl5/9cPC87ZOGeavdhj6+2KRr7tFyO4XSZvamhoisn9ga46OOVk83wi2tdkVBzTaxFFTzumikXd+
U57IeVC52xoeE9zUvRoyfOwGJWRffcelhP5DcMeYj/jeLDp8FTb+5bxo88Lusm4pmuZxHSziPXxf
4z6KXLLA4G7xkC8qf/mh+LNoV3TLLoOAdhkJLE0ZV7FQBcsSxfVMSJF8kmWMID8mCt3HdIHjI7W5
wH/XYyn9l3QZQ4jYfqECtQSRVLhf/GVagc/RpuYmcFgGJ+tm0jMSjSrOyw940plt7ueWwh+wzhvS
vdaZbuPkGFp0adRRQVw3tOwHucxPxmWSonXp7o2P8QoYwC3oIkqj0hgRosQpMX3MY9zQeQPCzpAG
FggQ6aEPvpgu+iLcGIvxP3Md92PEk3O6vkk/Bj9WPzIDWqZBDMlLWpXIHX6MirxlaqSFyfHZG09B
a/lbMzb0DxqgGTMZExMnsEfyILHprJtlHlWoqSHnmFU3S+XagW5PCwqTW6yB6hnr4WOspcxafmUv
YN2PRMOmFYkm+e7nRvecL1MxlVZPDP8w/CTBLZykhpwiHlT2HctEzfoYriVtEp2GZeLmfQzfpOOR
0pAoXG9xVRMcaJZJncXIzi15vE2pH3Jp4rnIl8meWmZ8nFbzi+5j8DfAmE429sdAcGQRvrLDTmMT
qJkU1fl1/zFCVMs0keddsaPqLN1kLSUgRmzKg1Vm/vWHQkXRC0PJxYi0NhJGlZqZZYexDF9vyhxT
mqCtjm4W0rvGqP1m+Jh5Mnhn/ilFyfa1b6YtnNfhzqshXw3ERY+emIrrNtUD94mNsoNwIb+z8Y22
jpNa9BSyrPjSYjONNYeBbLvMZnv4VQ8iLbMHx2IP6DBnwPpPQ911lbbBxZx67FZCVx2FrKC/cDxm
CJyWPMFoVlZHCk3reTMuA+OkXcBLyO9xxxYzKA/5x3TZ/nPWnLaTyeiZdMclZTXYCFq/5rge6VvP
YNTuOPV0hfnD3ARUXa3bUDPULshmh2z8n2bPv0iYfIfLCLxjFl7ErsmndE55Ks1vsXSsFZp8Rv7M
Iy0gc+/JXAbrkyERiwYKbPQydq/s+QWExysC5q2/DOaRdTwQjwzrGx2LdbkM8IVtUFjOTJ+spnWB
opZvASo88LNQzrhYAMiqdBs7Y3NDBJMqwNg+A8t8NhfrwLiYCPArZxAcMRZUi8UgWcwGWU4FN9am
alWSFT2Fiymh6OgvWWwKqCjX0WJcsD88DP5iZ8AiXu9MicVhXswOarE9zIsBosQJIRdLBKEs+3ky
rHGPWlatYUrtg8VCMS5mimqxVRRcfi9GI7cYitV9jnR2qAw1gVjHkEFjYEynDCaNebFrGKRUj4w4
/N3UtPO6+nB0OGAi0LXCq2LxewRpMl27gg8H0n4bz23OOaGCtO5VYHN/fzT89VhK4tu2aQrAzudz
Pvz5WEoSecqoK4mPRNI41hmjVCd6elilP2xWjig4kbKXgptLwcnf2EF/NdZ5Fg5MCxcfrlAz+PTi
c1zU3jRX8dEcy/ptTuriEg5NBFE0SO9+/zl/9QpynmHWbS6nX19+9tPHOk48EA68VAWSGRQOSvaq
oNXpx+9f55fSbeylxOWBn5s4BrEJf7JjU6UBlTuV4ZHZ7LSL/HqJsMEhzYq4vSFJmQaXfRCJeD05
+Uu1dGKzqoSArlS0HK5VxLv7eEv/1Y/+Tj+CQ4D59zf60Qtr1Uvx/Sfx6I9/9E82gruEYaTAW+oI
Ui2CK/RP8UgGYEExMwcuzxD/Jwkp+AfLhe8zGYUNY3N1/0tSkv9YfPomWX7pSCH5r/4DOMIvoo5A
IGU8JQJqgi2krJ/v3UJ0SZ1HVEPJ0HRnLNROcRmO4fSQA1Sjasx1/yYk8stNRFExZlDkI945PolP
1za+kwj6oTcdxjGpb4XR92vPG+K/cZ/+YhLnIy2ZF6Q5KD2/EFJbt8G350bjYWp1vB+sUd/yICSL
Ip1qK4yBE0ZTDxtqQY27ZpDjw1+ugX8jlhFC+SyWEROBHM38mJJ6vttPYhmeVR4Uk2wpjIWOjwGL
Kp9MIpH1juuDdI/qE3j9utlP+OTNVYVLZ3HBxAZROWSeL2yZePiTe53OELjgP4Qm7Uw+vVS7iQw7
KIRy4lxkZwa8irFKEBZc1SCyt/40vet2Su/sxMdJNvrzIXJcFHrpaSw/kG8UrRX7xX66RIxNujZL
bSPNkdeaD0KP5r1nW9VVjYXinpn5eEM2Up0Gr6le/Dzn0QvEbXqP6LXY9fRzPmYdMMkmQUlTJjHl
Wv0Pe2eyHLcRpetXudHrCwemxLDoTU2siVOJpERuENSEGUjMiXz6/kC3b1iUWwrfdYc3smWyCkAi
85z//EOKl9G04H4JzscvSTrLZ9RO/OBEE37umBds2fSiSzjCitzQPZn1gVtVlXjVsR+uyb9ynSsk
qlym6Xf21gdjQpQ6g86rOrkVjV4wxZCzhmlCsZJ+2t7XxYj92ehjFJv1WNt3XgINGCBhz8xr2iAM
ao/5YDf3zPuiox58xYFoId7vNV/H6cenjEH+U5Np7wNPh1ROtD3byqa4GEiW+DKTjrqO6YjX6VTN
j0kf1c9YdvJkGlmZe28iV86fgF2dvgrPHvame2z/5+/TIOdHs+VHSKroPnrECJwjFbuHJu6thwGS
08esn6qzquvwXJYBd4SegXBdt5xQihM7RQ1XFMh0ZUQecTXaWyhZ+UWSObYaoNnSmnPwuRH/GueI
4ognsHW8p3/qVhQVDXaAvM6B0c9XXjoUB0Jo5c3sywmTsowJc+dUbYVrHcImvDcgaGsqPp/+C5As
yi8xpvmQvZLmBtWOgFMZj99yE2O0qu/zXVmYJpuGVb+kqhmfohBkOGxGftWCtEocYFeW4orDyZA3
EX5Ga89oxK0RmyOMNa7Fc7MQTjjmGSPJvAR3LIAu6op5cSVwb2OXJxGNYUCMh5w3JfQDIkGgN32f
SJF4heUm1ljDZZD9wHMrJAJRdPHMqPkisHO8rgCsHu2pTK9g5lHdt02+g8vVfzVRDD9geDltkOox
6za4t13Mc8Qfilu9LNGiYiY+U9vvdD5zrDaaJ+F6NfYEFusfuzn5XMSUOkWXP09GN0BEp62Ig+8Q
NxjfpUbpUatGpY1Rkngxoa8shrvDU2yzNlc2gO2VbTJCdt3ixUXMDffMl2g5BItyGamphAdFrmK/
IyhP3koIprdhP4nbYY6shyrt5POAOPnFgJa0fYO30dzXL04p5lPmGOKDChYCKT1LuA6qqX6NGW1V
6xQ4hhkfGPfbxQUJL0FH03xRs6z6jSIa5XoK5u4j1Ln8MtcQ5FdjzP2xiGg5qiIr195kpvu+Jlpq
rXBuuRIqRVxCqAOPqSRYYiFBN5+slDolM2ff2ZIA1dz0nh0H9kcKMzDp57Gupv5L2g7uc2pVZR7v
R0dX7j7ttVFhMmJOwzVeA5E4TrEzuBcnh0jSuGp+pOzq1yQ2oOG2hGrRqWlvxzoUoMm2TUtRq56t
aahuhpr+rGeFHV0jv+vNjhAgs7gYYrhxS1nuMIwU95qh+0r4cAdbEcNBjG4g3EBb9nmJYlsnh9LO
H2karC0OjMN2cOlJAhjt7jh8zRO7PJDi/QWJS3JItBevKmuQ5xrLx20hRgU1L+6/WmnXbOO0O6m+
iXbY31pHpfNwY8EbXRe+iDdAv+mNqyFww8kb5zXuGkcvC45GTrZQWjSVXskwag5ITHDCNRR8KlLV
V2WaY3haFsX3WBIqsqIlB7Pv3HmNpdZlJlpra5dGeMqSWGLVkE07L+GFbbLSOqVzpLZDGMQItniQ
tjWaBxMK6L70mYrL3glITDbI8lgSXUYCv4ms8+XaNkrzNIk03A+x9QG7o5BRvN+drSp0CkIEVf+l
k9OER00TGnpFhs4Sj1H0496WKUoea4LwH8Hn6WB6VbY5HOIptGDohfiEiWhJ3Ii6L049DVcxqAdh
vU0a7EZSx1fkSfXbrPKaC1pXCyQk73YxzBNsH3ODuXWgXgIkYSviQNSpUjFtb5Hnz6EB0L32lDdf
QTaHp+R7QOtoaJI1oyCHCtFp7qnO6KgXzOIg2V/NzcwmgmtKLu1uJXmvrjEqkSd4+Xpb26Z9sJUk
XTtJeKu6LYP5ZlXVrEDYiOIovVY96snB9TKDAxt0FUDsxhmNGiKhp19lYYqDPZf6QWayjrE/DfcK
rPRQDtF8l+aO3oxMy455Kd21Zxclyx3viILkqG3nOu6937k5xQGRAzhGT7geyWDXkB27NRbJw0Sm
+QajnOyT78XpKjDnCSPrxcWEMNod/tM1tK7yvrAMznLG1Yc0dSBFuuO4iY04fCqC2LrCscjaek6d
HIJRYcs5Re51HdYu5NvJuCBWYWrQ6Pm4iIwLVBZhglTEa8tvbgxaHWn/HCq83zAPmFoCX4QtoG8n
+bXstHWQSQmjN0XgfyrIPXseMn/G9EFMOC3b+LydkhlWOI4GmflNlmVZYNFeeQpE3hwPumlCunWj
vRpwGXyeiiFFcJGn2dnt4+5L6WTeMn4CQo3hK2LE+xyOprmfkpw0dcB6iF2GqvKdn4jxc00Q5bov
pqUukM29Un2x8ZqxqrcBdsQnPLcXM4jZz4h7scuE6cvYnsOmq911i58ShjW1SPcKe+uOHKZa3M52
lO7xl5CfbQm3Ao46XkE8G4gDS4mUZQ7n0KJyYWaFA7aNGCOoZP8VGJ/k0niya6yF8mVIKtmFv1dF
AV1lNqKLhInPO4B85+xHpow2sVjoCklKeBZK9FudpsbFIHeey02dZDfgbRpsYrwwQTRn1CiAffKz
koOW20TwkCzN6TwPVIV/Fl9NCpJP9nD3VWaMVDc2yUjUySXzJ/w9ZntLGep9UPixdqulYKy2Ni7I
G8DA4gAwUJ2LVuu9a3ZomeqJzbjNGAOX9MrRJhEdh3tY1salisPhKbWd+DYuqTQq4cmbWL99i7D5
xDCCshRMa9mUEcZ877GDQJThU56ETWPdsQ1WXx3p1ePGQA/JqY1GjHkQJI6SVK0NMo/5KiGL6ylJ
GaIyhjYAHt5m5XHpzScTr8ktFi7TJo45y2uKrWcoi+W6m5fyN/TqZ79XxQE6r7lyYtd6YDIyfw9m
iUmJjmpkVSnRq4iiZiRKGKKsaukUhxx32d/IKIX1cxOByj2gaaSZIXfxvWiQdCkkJthW7VXDXoKX
MoGoDfm0uxrZyUam1bQJMZT7jnpy3KOWxDHKsl+DTH6csJbapoJjysCIbTPIsr4eW9t9HqWsiLcl
0NXE9u2FcWOirmWMR8mpTZIA6pyVb/C1JVmY8eVVySPcx2Eqbk0rkVvMcakTijI8c3BDO2S0c3IT
qqi2GaZNvTxZrPSMyxgjvDNguiCSi02xsivXxa2/Y217LrL9bqqR0ZOLdoAZRa1Ek0I9GOf8T1hZ
8uhbtFkQCZYaCapDc18VWIOtrHApl3IKqRBeHbYlqffBhcO3tVXEqBHw5pwxoNmNyOYIvU7Gp0WU
m+CTbRcvrYPm79gX2seYOJpiblKKoMNQDJW3Is4Tcz1IJyqMvUNmGA4Nwu6x29twQZX9VEeuBfDo
yPzge7qIDxhMpxuSxvgPEYVUtDE7oJx1hPdMMK4Elc4pNInl8QuHvEN3opZqzYTZFd5GXDH5vVi7
s/gTpieUUD7qN6B3iivaGHNP18PSJtf4o5lR4kOFE+tOINoCOpRwAlsK5iBx5ec5G/Jdm+Kgwxw2
2Jj5pPcEC1PIJZU3PPVp8eK31O0I0uRzMBVOumnnRSez3LswR8Bx1HoxtxCJcWkz23kDt+5zUtKu
Iubg1Rrb+IJBZ1C/YvJTv7qzxZnM0IqQLMXzdMCG7+gAgvPcmIzGJpotr6gw90PV9hGXZudgqr5+
6ZeaukrCgtzBHi85VxcMbediGrDjiRlrdxnVYuU7TKlT/7502uHJtJAiwqWrX0XXwlN0qWylRdey
aSvNm9fXVvfRzmjkm6aQN9BsffQurqpf+6gKNk7QU5FGrtv761po3pEOaQI2YhZ/2Zu6+VJXirtC
aPWqoypfEa2s90zpm2MjG9AQG3XlSoXL1pWUmd6JGewUqmrziTjF4GxNtLd4oYfn2CKLOJ396uxh
rHTVsnFdVaYtyOiuxqeAbJhVPxHPxJiPIiSgzC/xLtv7mJ09BlhrfYctHOstQdDyGa/Iu1H58jO8
YdocUxDbVrmIAqfEW1sYaa4rYylYlm+tGI5aK7IeWRh1sTwDZ8IxYnlVFZ0sB0k+bVAdyBfRqGGn
yCT2Vpk52VumnHSkCycmVSaNU6Lc5t6ECDGtmVaybJc9UFZxFS099ozHO5S4pdign3bgMANocXWF
P590DNVPjaAab8vQXpI9WN6NuVeDMV+7MZ2m083N/VunTVokXJQJxyQPCgtjZrqPAh4HhrMcZEXg
Bech8sT6rS0ziEr73LsNHQVAD7d+AVB0Gsy7XNKIQ/j4Tg7OfK153aq1mmMOgUmBQQSwjLYmU+lL
I11FZgCTGupDjsKhhnPcLIlXSdXziOMJAz+luSKSBW2aZ80rWJOv8WBH6INpqU3EggMEfpzLaSMB
TKbtWxx7rEpxa+feYjlgmi2Aw9ihKWtBYrSbN580lvIFpmZT8yXO6HTRqc2PFR4pq8hui4OxNLXI
8NjW6KRgNC8d8kJtZ8oOIWVd6ZTfVNo02Y1mi3MsPv6tb/aR81yrHMysqrGRM0zjmwmPhzLFX0wa
i5JDqulMUjffliZSmJ10acmrhdtiWgUAeQ2JoRFucEae0HyqLbALaOtgGcNSo0zklzIrocKFFdqz
uUPz+loXYf2i4hY3VBNPzMlnn62nhFuYCKwFzMrhgeQ56TkdZeu2wyttTwZJeF7Wc9Mu23AX1R16
9wIkKEx9ao285cfDvplPKay3h2RBG6cmW04BCuMXK2BJuHrAlKyBQJtYUXzrIxxHtLusn9yl8GIn
Ik2Qy4kW1OGtrAhCkKk4r/JLSYTKbpETbjwfDd7b2WAxRj2iGkkYCbOa0GCRhGII99aPDcFRMYXB
uQm5w9DX7Ad06+N6iTtbe9gE4H3MVpl4GYwHz+nIaOdBhgBzh7kwq7N2huosbF6ccnkGCfXSc9dN
rdy1uqYomix2M/ReT/NEeSJzcBGzLuwHJPhstuxjn+oukM/42kCvxiRy/QbFjD1gUWBDVY2xm4Zl
DJDRsZvINeVlvlsMC7BOVMime4rMt7TMHu7SvmGAWRGPOtYvZAIADE5gdU4aUaL1FCyO10wbG1Bv
4Q+weN62WeVzN+jY0WfjGf2RbopJGOP8pY5Dqn5UrQNXj2b5EUduCLPkoxBv3o3cTPgdKPJ4j3Kk
ZB9Nb5TU1g5rzTCji5rAKQi5ZHaCH17DjLcAvFm2SsfkprS5k9/qwMYN14PFNsbM/xx4XpS7tKq8
ky2oYNXD0/ZhWDw4jT988xfNcc9XRxmb8+KmIcUfrG/5uStbSo4GG7dDVvGSpRJvWQTjL+MouGsY
UzgHUlh4VUYGsHSezKSqcWo+UZVk7mpQkLRXsHpC6pZBYARsmGyyE2KQp7qOsGDFmm8zDjzwOSAL
PbeBMt/+9e3FnMuMI8ZAq/lFTJypeES5h0r36k7ZzJaJpEuRpdS80KnbHGNfsMmMgpXtSl8LQjxS
fS09TSU8+fNOdfn3wdW1h0KGxuENoFskgK5NRzAtVcCsGkphxMXDFQ0cVzxhtJBN+yFwn9H7JPjE
g4D3NLLbQUCTZiA8BMc+6uvfTAGtn8aAQN6+7TtowuHM++8ncUPt1CVU6H7vpoDDkEsGcet7vb2N
ezjws8vWloQU330MEd6P65J8IOHskXe8QJ6gd6kIk+mccT5Vk2w+DYPr3o6prR7ZEvTu1wC9xfxE
/kCl5csGeJNhJCNCL3z/ZfGPzf3RcLq9kTIkHzuEHjPkK7yFM+ZoA40JaAWFqIUh5UPed5RWQBmL
WLd+zSTQ6tvD/vWXerON+fFLOcLHW2r5Uj7eXe9mI9ATaCPSuNuXpYNgMURLsumCoSE11YAq1g7J
hu5db2fHAZuIBkC2TPJ0/WTp5Nwxv2QTi8opPHaDSNRfmYT69wHEwi27LIWh0db4rffC2Pz6m/9D
p0LUwtvT98kzACz5cYzU2igd49jo97FhN8coBLcBuad6bHC3v0eNzSQCOsFmZE986WZOkQp+abQZ
evHfs5f/HVX+blSJpRTTvV+MKtMvSRq/Vj+MKv/8ob947vYfDMv+Hnz4/0aVofmHy+wlFC7DaZIy
PCZufwVkBH9YQciwC/U2ktQ356f/tvRzYceHwmTeB2kdyz/SUv/FrNJ6Z7tkB5i3OwvJYHEfdc33
RAPEMQCoRWedKgqaHkk4pg9q34qlV0GL4THJSuayPmeLV/RjqgjvoYlNEOh1oRSvfgqd0QLZy5xR
kSnv6Rl/aBeK5Cm2FwcQoIUcoL/qmMv97U7f/fkO/8Ce/3G7QenMFw64tWZgCxS7yxj2y+sFO9ju
P//D+r9BR35phM/zieZOXaykMtZiojiaR9/kgJmj4je7sRMsr9zfNpPFiMu0LBwzqeMWo7F3k10j
LRxpQN89YUN2Ru9kZOtitCzvKnOB6BgqNUazt1oTvGgiQktB+B19dx96wxjtRJxYNfmtzCNXevS5
K+StDsR79J66C6oUTL/GsPAuWeq2AsK/vnKjqj5lnRW1QN0VUJWVRy2E8xZ/nLVQA4gb+Q7ca8Mb
1QXDBhAm8oFe+0rWUPabgI8Kk2iMt60fZeVmgt5KIgWMo2Dt8UQg5vXdMOwiEp8wIWEi2DK2a9YQ
GcVr6zDjmV0jbLe6l9ZNG9R5uvZjIr+JMgwXL/rlm5uJWzAwSGL7waJNwe3D77i2rgUEMuA238V4
N5N0aKeBwjXZls/2OJGy6yH/TG7hfvCN3lzwZ3hI6rFlxKyxMDY4I+wssbqTXbu+fUNqrG9gMjF7
8pNNUZgc+7Zj/cWoFtcGBJ/xotuKws8pbPVRvrngOHbPnUs7vPgAkWtVH1rJuHU9tjk/FHkgO6tC
jvwtjtB8OxLVGJgq3QAmGGaWJUsT3nmruq0WrA8MPF3jfyxeMaWJnobZC5/GAZk+FS5i9k2TevcJ
vsjovbuGm4QXC0/Bc/u++5QwZZR7V6MV3HIf0VaIdJFqpRCLmBoKjpIPs64Xm2Rb2NYpxmgnOerl
kfgzEQFhk+Y8P+nUpxAVhsUAoydHRo/jdJ3gQXOPdzmgfaZ4eReELaB9J+Ns26GKpppnPESOledP
/qbGy3HLbCwm5bOxFmxYzQ+UFP2NgereJ/4wojPWqARe46wX1/Mce0/G6Fs30yiLO+LZ4leboKs9
xDw3WKc46L5WRPd+lA4ic4AHlmwyUY5ABuyDNSRh7nhZkPF9tJUHm1ugI36C0d/19zaeXUR0jT7L
Zmx9bu+Ull57i1JcODvi6g1C58uhcTBMnN0g0c4mY0Vis1Aqnl3qYPnyfc5m+Lz8scy+SzWpS1qa
NEIeUelrpDHitaMOH9YJ/PwH5vw8HhLiG29lYLfrgbzromTUV8tn7gwvF4JEXspc1lO060xMTj5B
BVMXqBG8CORwcYNTGwH9VU49exJMs+SKGIB2H48Z2E22SG9cRzR4CelZnZ1q4Nb79cCnIEfO9Mri
bQu3UDW4L9hg018Poq1PyPXs9iHX2jCejIHg0XNPUkt7NyvmBCQ+Omy/mnT68DElJzC/RAR67cEO
CWXGpM85aBSb40rPJfeyZY6com+daD/hNHMjJGjtPkJmoHYuu0pylA1Uj/XbQs5JlFa7mjlHu/HG
5aXoWxqYlZqA7tjMoZ+mg8EUHOvQxPukimCwb7OI8gdQwHoLppss7HmCDB+DRbeLSVGcqT0JAW32
gkk1wCC0NYZ2ThT0+ceWHcJKGHMSqHhbl1XlBSsVG1G49YvYIAw0t/hNILjZEQMqnnlftNZNhu+B
+hgMUZN/E35l45rtzhhGb0uc7uzbkvNHk5g0gO0dospGmrwiPdI0D4ntEAZAwLhGJ5vGJmN1TZ+Z
xsFNhRfiJzEO0brW1gd/jBWBp2U9PEKMMLaUqAn6QdmtnSFODk4RRnAeohRNeTpOK8uxZrFJ/FLs
jW7yJugTWWOkH+MEavPOlcKriL6UM7ZGBSRwKQPzqcOaY+2U5otRkW3U49i0yueqX6XJpIK9ldvx
56KL/G8wSvHctloIrYV3xuqtge6K/9q9V+OaL5yx2pYcUhsmL84FaXr1YrlJubMrArHXvi4RVqPG
vQtj2Oq+zBsHo6W8uE5lXDzaGc7Sodn1O22g/TFGRaRbC1Q2lpO8HQtdngWD2O0AonTPti5fsnBI
PowuPFzfVBh/Nx1O1nOjEOfX1dWIFcGHuPOKx6l0u3jXogoihpSqoMgbjRFCmO/g9OCV1ky4KRa+
z7Y3OvUDh478VIlSJptMdwth36w/oudZbi3REavAE9jk4yukbqTHMC1Ox3KDRXv3PW2RGhc0M3tb
Ew0+gZzeiLjz3U2C+8bMaIVyYLNo1E9NV9ZXQdHMxTornPrgJ8rexcK6z6JaXpkqGTYt1/gJ4ERO
nFKjd6jgAozbufSHm6Z3ow/E8XpXRqfzncBrAMKyoWGJzp53YyR9c2LDnvdmVc2HybDCg0bajTFW
2657YO51g94NXKzzHsZ01F9Ns8hOKLr0qa3asPhNz/BTMQcpzuEf0g1pZADffiyJmrp0SM0D1lC9
bPd5BcPAnBwOIdegPWDQV58wl2r3vy7E3tHPqIp8n9wP0taodKFYvmtU3EgnfjKJEJo+uygMEDYG
ScxG8Bua2zta6tvnLN6glMs29L33Lq/4VXpDF8bR0c2XCsM3W/bsBW0WKmLD+PVF/dOH+aZJ102B
DGXw3a20eIcNJDHhMSimcFsvqODijrw20iH8kwj6Pzovv+MLcl1QBQGsqcVNzFrec2CbOPSloUzv
6GAUcVMBI1+JCVC/w5jp1PnMZ359af/weYve1mKZmB7UuHdWllZQ89oWpThqlURPfx5BmA1yYoiq
oxrp0pnb++vPXG7Xj5UzF7cIbOEP8vDeF+tziUdR2PbuESyX6soHYcXnPow4gSu1qMVdCHLO2ihH
/mySXaP+9SINBJlZGHdiF2rjifzjq1FXbmOqgmnVMCDnmyYAK2VN9Z/m9//jo/z5VeBTfAv4w8MG
+afpYhHZE4ENnXfE/qbdz2RewVWfp9/czH/6FFC5QAhQFl68d2vT6x2yLQyuhaF5sPFSkFuA5f+P
ZSIwoodRSrez0Et/vGN5UxKbwvj9aEfA5Lh1sCjGGWLndo5666aXCkHVr1fJz/sXezq7CZeFnJiP
/fEj8VxCiVd47tGoIyQMQMpHbY6UIkNBTmoFkm+vvE6zRH79uT+/7AHWug5MPtMJ7Z/eiJChFLIk
YcNm5O2OSJI+9R72EzpjdvLrj/qHS2Rx+JDRedVp+e0fL9GHqcRHlTa474I0llZ90l0P7c1lweRL
B6eWVfPrD/2n68P1nBROU3iQn9996Mg0yklCzzoiGW73Vek6h8IMkisand++6e+ditnOQtAJ4bqu
H/rBz28a3PrAZD856rYDKs6skjgrgdj3gvlhS8ZuAcssmimT1URdN1FrdTdjAyNm5zIcprmoxSsD
MtK4AGipOnVVJHdB7qGE/fVt+XkjZFzs+KRoOraH5/3ynv0NQUBEM6XQQFjhRLgBd0cMFxbHkW6F
68oSgRJS1v/6I62f390QgxzqSieEyRy892OPC/CSiDPuaAQGta4KHPoHwqdgq7Touwnmipb1nqXW
TTMUzTMAu7Y2ThqqC7K0BgllTLIdbnbMqpAUQTb99Rf8p3vCHsZasRye3XsbbhN3PY0nhziWOqDo
NkVG3htxa11BdhqIvfk7GOentek5SPAWg3ybJQrZ7seH0OBgR9E/6yMWAu5rx2w+W81NxTJVkm78
11f3Tx8GbuSYADRsNe9PgUCTkhE34XxUsVJ3WQWbEo4BXY4wJV3Srz/sp0fNlQX44FsmagO2s3dv
XZkbFjIicz56kaCxjNOelcWLSJf46w+y35Fa7MBju1yKB8HFeeBiP97DwklShQhpooJok+7OpIcb
1gaS5fwxwiOtO8lsBAlxY8aTyZSUio7Ed9pVUyzHYN2oS5Lm4ATGRLO07ixG5tpv271peEBZoF4O
5gkL+jE12CddTXY83/UV1LXy327EHsEiIZb3nGsO4+5ldf7tjUwr2LU+jl1HW8NMn6qhPjGjT69i
c/7XVRcfxRpAE4Rjge+8P96YmNj9qBhctqbnMAzMuP6GaMItirL6hMXib/HD5fT6Ww2Elp390ObV
R5dCdOb7p1Tp0rGaVrhHPAfcb55nj0eShcOnN0DE8ztQHZTQGMkpZf9mp7PfLxGXT/YcXO4X8xao
nGIZ3vztzrpF1KcYM2JsC4e41ND+EMUilWCk5NioCKLgMzSl3N2QImd1N2Fc8wY6bZzuEWnDWMAc
cr6YQwmKqPMFr2laf2kshpY/v83/2tLrMviDVnrn97NR8ZsISNqHRpwjSMejo74XWaefSL/guDM4
DK7mvrXkccS0r1sxN1V3YlJAY12Ug/vlAEfRKm3G2CefarLza0Ka83aDk1p5P4E23LReb2DXmHp3
9WwZGhF+RWzB2MPsNX0Ip2dgabNad74YQswFW3nucwycCKGRGmoVGmMaaJ0eYexYa8b5YoBsY2HC
W62GJhU92Lc5QvJ2dEbm6KqwMsCjQVqF9RUH8BxQ3IDdg2OjXMBQ6JXJ3Tgr/rzIa+sDIVeA3tDC
o2TvjTldUdVo/lZj0fpn8Ym3GMhLWCx1TSN515KqEEhNqg5KLcp8Um1Wc6vC/IAtnbpIRYDbHUmK
RX1G+z72953T8UBs6fN211Ypc1ILTc6LdujRmVumpy65aQfn2PPq/OJLq/uKswNXAZFW6G+OVw3u
ddtYCxQ1FTxmiCv8IJcuXgXTJP1BotwLt7mduedxoYqCaMDo3aGZz9XOk7CrNuAgIFe9TgDCA4wN
yFd2In4jmS6R9RnObnVoVDYYH1Sd8tFNrjm1QrNygXCSwuns22oaRX9BMI0nZs5ySe7oV+HfWLMP
gRMzLvcwji3G6gy3RmOtZQUBxrPZwoWGJ3Ss0AMjc/en1D+7uONOhwTKCk7WyhrTm7otwLQCOXSE
Mxb0sITRhqCMMU5x7YNVCfwbglSwwKok8Gx811rOhrc6AMye1QcdB6gh8WpwMyZ2EPQigJCgAW2r
1few19EdZDv8cN4gOFEMfBknQfTjZrZ4TaOEEO4ONbzc//laeTZ7i7nMzCcfRdFrhXFdCzg/Ww+W
IgxxD9oLNm/3Ltt46wlWURMs3IKkENxXu1swcyfrhs9zioRmp1Jw+D9HMwTfvEbCWQoJPEnA45Db
vpZWtiCxLfD8Sma0PxDjQODfjj/fGwAZE7Ar/yx85hGrnFTMDE++3OxOJdIUfVVKg0lDMbvcWBc5
m7PLQjtO78kI5ItYmD20O1nY3aXSVqNeBuU7uFNAws/zS1CHargWqkAClWWVux4QM83fAoNJxjYL
Gtu9ny0JCpzM1MYO79/kl5zHjAGwfEyAK1grLtOcnDe4d/yPFOZ5j2smaSTSWRUYsMFTjyJdgs0b
BV4VRduB1s+FMy2JdZUOgCQy7IlK01RAbSDkfQBApocxm/488f93TvrbOSlvzd9qls1r//p/vr2l
pt28lt/+8z+u06r61tX964+D0ref+mtQinAzWIgOjEMdiyKGs/8vQzD/DxsMBlXl2yz0zSvsr0Fp
+AeKR0b8LpgQrdvfEq9dByVoiL8dXR2EBH7zvxqUonD88fw2Q8KxTNsHw+ALmvZbRMjfjlAHwlvZ
u5V5qkyjTpoB5qBnbGA+RihsLCW3uetAAZmJUGx3mA5aiHRk73xTqoDjWCKrZs40d9eQYdywhu+d
6Y9KF66L0SzV1WbqrM9wXOPHEhOdNYFG4uMI0RJbibi/w7PciHZpnQkkjInhX8cTf7kePRXKKyNL
8j2Jq9XJz2AtlUrcF23vfDYmNAonplEYf7ie3Z/HDBHLo5NHg3/u9OKxMZAeg7GBWzrD1+xteGt3
itkYrnwQS3Z6hnqu827eOK3prBPfGZ6nDBYOOaSoHa9zQgaXWqD05S7n2X5A1VR6a4dQxHwriyh9
tJK5WcXMv/S6TTPgVdS5cCFhTXzw3ME+dH6fXNkq+1pQl29xRFvUmsjCCR2w7avMTh9mqEx3XsYE
c8//4lyjHIjI/lYQsvrK6VsyRYWz7S3jFUsKtSLEt5zgvvocFAhotg2tv1qPsJM2AJWN2GrazItl
FuJ6DBd3oX7wrcOAewNdvw6jJ10G/ge5WAa0/WwHpJn2jrHJOimKJVqGndlvo+zTCFdoazg27sue
73MP5LhqBlUdvbAu8CD2l6DkckqXyiZiNkwG+akf+jhYG7FMtn7q6QvWYW5qXkUx05ncQq3Tt6BF
dj/tZ/IqSEoOZsz+3ajJdsEcRXsXi59PUjuwZ3Vn6Iew8At31ceTn+4Jgg6Kp7QNhuoRWRry6e3A
GauM7YQSqOuumI3MZneAEkisOTFoJK++4nfRxjw5TL6FKMJtSfKlDcHzRoto2irMXbY4ShC9OepL
kEQeTqBYpOd5PWXrVKBCcesG/y4v7FfUHF2wKrThYH8mbMRaOhpRdAQSF3z/IVeoVYR9iIf2WsxB
ttKTJgKlXuIFmjXsoCtYpdERU5ldRWX6aBjJvUKyvWr5mF2sVb8qx/mZ6DZcbv002kXj/AE0vTs0
sOwJaG2yc1Ma5kEKN9/1UWMfQ4P9Pqec3XYGIaClq1I8qYt6NwU1OpRi1gez4dW0vcJ+DGf7perx
t2ismOTNpDfWbp+NO5Im+v6IoDw7UJV9bqkmjljrxaeGyQSpEqW5RY9yxfiMbFo57Fy8KHIGjJu0
NKp13Bg4O0kYUFibJN8EJDRo6QirmD7gPWbC1cSWIFgjf0d4MMzxuVq8SYBg5RUUrQ99auCNQ+bi
ijFDRMhHZt3x7bNTJmaDZBWA/gMEDyLWCrScAabyO5+Xbd/IkRgKDkjcZhFMNw3RaOJD4xSXPEjP
2oqoSwcTnat+SLGqqs0uPBJQfcGtG2YdzsEonLYxCp029pJ1MLqPXdNcBbO6zpDKwf4f1K6VRb8d
I01WQOQ+eQ5j+wlz7Y1VFt9ImW7hP04YEhXJ8CElszRoLGsd9tAZYUuxCabBtSsxH81KxSQpCC3s
makGTESI21K1FcPRcWJtyc6qeB7eFXUPdjFJOOyDtvii/RmagG2GR4/t8ji0TMxU5GQ3SdhnUPUc
wjj81LrHauR+zLotKT+bQNfVjcJX+rVYdrN8iHxcSchtPUlpu5fUbrxjLZd8WyujpFEyfP4v9s5s
N3IkzdKvUi/ABI07gcFcOH2V5NqXkG4ISRHBfTEjjdvTz8fIzKrMqJ6sLqD7YgZ9GQht7k4a/+Wc
7/gy/WIaHeWMNX1P+4rEF7+jRcmA02FLmCOXxeWFnjN713Gs3/X2uHKcvfBU5P597Kk71uDmnmOC
hILcGP2oK7z+hXNFb63Bj4dNa/f5dW5pkMt90R9MPqi92UjNRstN7+1pCs9qMlE3GITY59Ursnor
YiV3M08VrCJUa1Pe+hsQy/edV3O6wJSPtZnvsUXZ/HmE8aROhpUj5ekg42gqBATevH8s68LbW9US
P4zFeG4NqaJJ9PkTspYnF4PKpjSG924Jv3gJ3jx8sVzHusWfXOIOtMY9MtxT4+WH0MqhvWKwvgau
Iw8wgj5r2LQ7kNPd0eytxzb2SRofCjYZVVoOl64cCdkV9r0OW+KF02fwTDgDUOGZjUM0OgJazwjf
yIZg9eq4UbGepa0R3AadfeiyfLqf+OiqTTskON68JXgr4kR8Kd3A2yrb51YzYNEQC3r252E3yOKC
7rjfu4O0LkknDDaEBJKWjLM6jYq5DA7lpJdT2vTHvs0vhiwuDihYCRkNjZZVpQELvCijJQ79TTBi
D4BBo51Px+DzQmhuBNcApZy7tFpF1r6SZ9xzpJGMA4T63E0/2slzotHSV1MmeSaM5ZNwhmON/zEc
Fh6seRjuLNU/DMxBZeZXn8NUH8Ng/pL7RbkbeD0IB5oiclw/uxxm7CSqEnsHgaIVJTC3IaY5Jf6Y
GF6+pgu7dDM32ZMePW86ndivRKK090yPinpjsJxtd0HByTRUdn2bGAOUx0Zhg0C1HrX48I9zQ0qj
EAIQlm71lYVfAZWHRfOiTWxktvGUGuP6eMYE1XghaesAx0zfekasUd+YSTtMW2cuHWyS85Lr+zo3
glPYFcvFNNhPzmS2H4YajOQYV2gj9q4/Ivu2SzGqjeM0OEp4zlo7oHeflTHcitTPyMMe+/vOrW/H
2jBoII27ak71TTFlLyvld68nDwba4r0EnVM+EsJ+YRmIXxhcDnCjS/nG8eocRzHH7/ki1A4dlDrZ
BCrs8mZIDx4S6U0QtEVUFQ4vthte1wSVHXhm45ygVnpuMYnDxO6C757GWqxZ42/c1C7fm8CfH/yR
aIdCB68k0QMiCir/GSl3tjXIiYgsP80fMX2Y6CkYnoY+wGTbJmx+ctabiA8s32AVRXDO/pv7mj8v
oYPZVfnXVhUfs2n492FYDy92NxDAQuA84mqXuCYe2X7eCkxLmXJSmmLlbAiiLC+7ZWkQ4RP5zVY9
OQurPPZFXESYxxAs67C5RxwBTg/Btr7Dlx0cF9+TL8YSHhuAfI/kLzp7EWbA9EM8oFdQCb7KIvjk
dIashmRxSw+nn7JcXHq1HR7aUM1b4r2yXcye/oyXj0wHC+9C6lqMX0D1WSgtbNQ4liuvctEtm7Lv
5qvKgYo2NmLCcSk/iQ4TkZ7KDD9iO4gHDsgOwZi2S5Lr+jElogLl396pnIKHV2fUr5LV5SVOGXdP
/kj2bI7KnnEHlQGiBme2H6rUFh8MVLwPJ6vxHS99AtQvJTGAsfmOuVext0IOy4UNGwXwcOHrxcCA
YG5r27qJaVRs7ttaQerAY7WtqDyiFARJkkak8jCXvFRoJPZQRJOH0KAQhf5WhlGFPUmFy8mzxq+s
sbyDRIW+rdiX7TQOBMQpDekUkwsUy4Hlr5wLNyelHh81cRdNk+NA0m9D7/Qkz7dkUsEx2bplE8NC
lWtsTgN75EdsUAtEHPDg0UZosElVPlzU5riLlX2dp7mNTMhTh7IFHZalFTLCnn1TQTrRvKT7cpDq
XqWDczDFhy5TCib0ELu8ip+YOlWbkoSi2HDsLX6ddtu5CtpZDoHKm+udL8vjUnPdVbh1NyzWRNQA
840yZyCfYJIcJ5m7QUA5YO7DL74U6Ruk3iviMsO9GfAW47d7mhr8wOQcogzKqsvRy+ZtLgJEdBOl
Ido21M6J3/JMLJtT0zj3IeKSA57Uz7LWT6hqAF54wNUr+hSrd1H1o4PEGNxvW2cmN6F11dlQ04BN
BIQwSzdiPMuqepr6jgEKvhCsTYbDckrhoWzQhqQsVDdW3jBZq5YnYIsootBpRVkTZ1DkxFZM/gKY
l6t8Kj0wnQ4gkSmIn3xRXslUO9fKCftIy/o7xS+WjbTbiXxpotQoLD7SAaljl+6XUldPysmzbeno
BHRvHe4cotsougMX+HFeEu7H4TKPRbWHcySvvSD+MDuVAIabvEMKnvJOzkghw84T0Vz6VD2iDW/M
Nr+up1lfW2YTVY0co6VT68zEnK/J9bkwwF9Di29sDPoDC/jQH6/Y+n5t6Ddwrb9awfKetN7BF52G
I8tj2MoLlDXLKQ6KYYcq7VCm341AkmzhdSZw9rw9ykLdyswGDJByPKYyiBAvmPu2pb1FTGcfYMAc
rAZWnZ3nl3gHeIDm5oVZBE/4JuyNnS3vk68/Y50Qe1Fw/TT2ne7PfhODA156jCN18mYQeYmSFsdk
tixRYvtXSxh8CcC9qjBsDgUPxw0YDGAoGH42Rm2S2uW0d/lIdWZ0uRn1esGmDtnQvC5iQl5wsN7i
0R6CTUGGFI+EPObl8iSQSA/adD8HQXdSXMFvs0q/2ZjzSasZ501qWx3AUwfyAg6t6rVs8qrZZZmo
rnlkwdObGrukwGuUv4V3U9+NyCqPgzFJ8ne8Ak6dkQDFszCtRk3B0tcaBTI9hp80Oa18GnVQMuhM
hxNVdXEK/bQ+OGHt7MnHTC5HU3t7VevHWeHCl014ExKPeFtnhvjuZp2+XNLMuwAtoY5WOa/RBYDO
3NFRj04NUzZQ1js9fH4msoEGPzFvliUZcBo1yZXNxC7SwLTOjIxhDizTdLAJR9ySfNLsB8g1+56t
xlZh7o3tGs0XUUXbBN3gppLs67KuJ7JXA0FBUQdgRiMvbnN7Z6VlfOMhEz765fwB4SPcVJaPaLfk
HaOoPde6rI8qn0/EnyBbHIdr5HeUFV2KELUI38i0z7Yy8NF9Vimi3BY+pkNduR0LfnwXjowTabK8
iXKPrn/vWLiB+8mK2KHk+xQyyYm68eRXNUrtshr2HFfujtN85qN36x1M0EOetjc0U8G9zg3nQCvM
xMWe8tehCMPV+moWZx7VPIVGuoXruQsv664OYBDnGJlj393ooooMRt6bRljy0p87E79tmR27whGR
Ii95g5LQvARN2cPHtr/LBQwLMqzN2ltYS3YtON13E47d21zxMUJyZ/VcgFAqyzEyUJVtPPJOtgV6
7svRyW8zC3Fj0VTnxPOfmyDsDtTXMppaLn9yzPa1MA/JyLyj7F16GTedV3IBPwrhJsLH/tvStCgJ
+/PM/B5wZMyE20YTLOmzLJtsONxzm7FPeXn483DlRWiLOZVdMz6mTYkevGhdipb5YuROjfRKMzB1
zxnpCgV3ZfgY/PwDr88pcOQtTmU4w91sbWkhLzmin9t4qAGDTDtaLa5kpvxRPxD1xd1gXi9CWwf4
joxRFh66zHxRbQtQ1iB3c71bBq+IgBbUIY3OUr9Ix2BsMo4jSHdmzJyd99aczLwiIjMKb6TzCsYo
UbSDvWFCr8WQyURgK+JsvEhx3ZCDUX+QWBze5YnBBxm4BznKdIvicHlCUXHrLyEIn1ZYWG7Nfd+5
BOoogqIjCmUDX7Y/gxrz88cqTr8FQl53i3VZBN47+QZMxd97QehWH3xXA74/M8hmUPBEjXVVuJV5
HYm8zbeLHL63PZj50ijeUmmkO7mO/mEgR4XVNAxVAmYlSx4m27pmFpAK+OecWm95k9+qlAM66rTy
JmS+DhmimrQug5qeaJKEdKNxoCkf5Kz4Ip7kCN7BRpitJARgqtU27X32+t5lC8AGl1/k5RO7m6ko
9Z4pDgqcUrsbEj19yRN6lvqKjbI6OLBmwg0WCSKiSskChFMNOGcnlEvaUipTNL1U5P2j4XgVNNkA
tedeQWxVkc2KrbkkcY67EEiqzva5EwqJ+Z33yI1bZg64nM0rjQXmoysmv+jBoIUdE4tf183/1fP6
w7dmHWN3/2v9wZ8UF5xzaf+///zP7td/J9+adfr9p3/sfkzC7/Q3Nd9/63TJt/6qKFu/8j/7n7/N
0//lJJ7l+V9P4juMROrnZI71m/4xiCdeOsRU4TFpR0Hx+xTe/QUHIpak1XL0d6OS+YtHL+itc/EV
qbj+nN+MSrb3CxpNy/T5AjNACuH8O/N31/5JOcXaHDgvAiaqcUSZ7s/kDiW8XGqZ4IpwTarMsgRV
0m8cBPfcgJ4zvJpJ5WNicJv7rJ3r63VivpEBZoCoDnW+E35mPuR9scw7ZU3FDaHCebHxDFTaoa8O
U5jZF32tic8bMghRboA2ByBQ6PAQwHyyn1M3vRzKsbkyE1YFm8Yqr1qyIW79xg4OlRmmh9iP/YNT
lNTuBHxhNASPcViyVJ1YDXhn3a1H7dKlBopydt+Y9kFawN8b3wjwm4ECI5mPbEgqh9xYKweoTveN
dJwRn8g4nTQJe8XSvDMWCM5LQQjphvFqTwHJVnlkFbAv4sm7GeMpYB/thaUZrSyQE32vcyyUZXyO
jZLf/TYLb+y8Dk5NXKlvyWTFEoJEK26ztNUHnM7q3ukc8lsL32QBDfYWKmJufcvNhg7VxcPAtNGm
j8Iacp2YdXLZtYvxSYSAAqbdNqxQF1mf5kx+GUiWwEG52iXSYHhK275/CMMefgCURfWx+lC+cCoU
ZCO41JwENuSaUVaIBCqoEakhNdhYpM2dUjcsfCp3od4lO3ZNqsP4AsaWp4quyw9i+/pjuGT9XoCY
/1xMXV5lproxlsS9KFTfXqh4WS7h/Q1R7frd3oflZ20VfUcKR19bis8zKb7Q9TJQ413S/LTK6PZW
Z5eXs/DJ1W0qjxc6hTxkRayvROYaEIfM9DDJuHxEYZq+FH0GfJjYE5sSHvzgDjhkLhgEoC9iZmYX
GA+49hhZO/qsnXDpoCeYNsncAodYuqyi2IQhfTR2xGKViw2wElfO+D1jQEjpOK0irLpkkd3maX2b
4afZOLQDV4lqiJxdZiKcVVCd297IryxWUEDyq5G5FHM1nlNu0ybPMdkMHsj3xPmQ0+jgXsaqcPBL
OqEGm8hxaYkR31L0UYcFtbjGTRDeJfGcRiPZeGCmaOznYesp9zorw+ETvkhxMhXjozFnaL8dOg3P
r06ny2Vh2suuuK+fwiaPv0DvS4wLJvMy34W1L74yB+z0JoVLdz/ge493w1yI154sGoq6Wuo7oWv5
ppBHRGE7iveCYQ8l69zPK2G0DI6QakYYnwG47cyaO2hINkELpKylRBLEwn62BzO9lHjUPij4TbzH
rJKTyFdkabRJHbzl0GDPhTvNJrElRfi4MKVkdseyaSVclEO5hZXfQLWrq3fEAOETo/8Pwxzbrdcq
+yy0N39zW8WKqxOiqXdxENdf8oQSIyoV0Ew+rFq99j4t3oa9VXsK4qaHuTiwc+tdN7xaAWxbnv13
iP9CMiIy7meewjICAubsApQqESUz2P1Bd4yM2mzrMAHfLWOPc7oR/oVrdvjA7JSxpmKyfWi05kRj
FOJHcO/MwwAF5N4aDPfQZGYxbY2wj52d4yvz1SrSkG0Yh+lgmSSlh3WV5QefyJFTMkMXZBiGIoaE
+v6eRFWHN9av8heoYBJsoGDSzWEW61OcwOqCnDC2b4M/YzxwkJ4dpYlUH13d3N04nTI+G9dn2N+J
fADuT0RkXizAShrQ9YodiDPsDYCYb944j99kmY6vs1OLsw2dvtr1YxcQM+rOKo7C2JbAwsO42AJw
qBhQjDEWH2MkC91sH5Kia7fgEEcGvSrDd1bIrVf7F047g0Wta+J0IHDB/c7iU15wbDbCkYfJrB5J
ItCHTkHWW8EZzC4ULhOcTHPN0mLwdsjHl68LLqNqNwiQeo2tybFp0gEPoRnkN5MpykFfOqX06p5F
zdhmL5CS6G9miOeF+SWYC+bcDGps0fdY8ecuv4kn8lesMPduRI7LaxGluvcAgN57wk9uORYn9OPF
coJT/kydWt9LFIf3WnSxtSEcPn4e0dMD+GLpt6kJnLlYIW/PQe2tncDIbRVkbX1r6qm6xUdL8kRC
RizhPw4CL5Yp9NiMQNmvcWzztIumas6utRVqhpG+BPTfVdV1Hpr8uV5h7AVhw7wxaLe41UOGTkJ1
3hUmQu+G9Zx1JnUtpotb+vjBCZR3yrNifKSWC9D5DFTH9mLMN7WR6IqERdkgz5rj6xC82gMbJ/+U
8MI/Gcwvp3FW7gFfMnidWC5vRI5PTbRIYzkmopwpF2dGKuxtd7IHH1kw/xm2OhPLpdUv/inNCJuo
xvxWlhrjl7Tsm7hhccshW0B4WOJ1a2GxVGmSBiaMA1sz0MRt4+07rO/no2rWlMF8IfbHMfxDDmrl
piiGgYbWGlmth0v6Ne6xQGYT3dlGyQk7tAuL5mJmK3VnFWo8hHMYngahu2cVN9CHhDscuZ+8maVw
oxhQ+ewRuhFeByqi2dyyvE/pZu1Q3o22WbFCzW0Yo+SgQZbLgKrI0iGutorPix9Op44HI2Iea7wG
x/FpNln4KTrbajZu58ovMGnTN3OMCyikRntAc2rA7Bg4arj8Uh7STkkKH0BQf58NeXHLJmR8Az8y
boteeK9WkwU31lxz56XroYkZxcoOyzi6y04py2oe6jn8gvMT992QBmmLy0pqEZl1QH4wNrLwNTPi
4gEBZidvPdVl3dH28a1uFs8rYOflQppXlsc8h+GxqE2JPReKwbqv551vrGV+UDLZTqENl8hOPX/f
hp4fpVgF44iI+btFWOxAe1V2FYwWI/3itrabvVset3iEydN0d2pks81YHtDw4p2FmMgmODRJkZn6
gkvWIonVH2qs0O8yXl4pe6cX1rb1Zz5M1nOIJuBRyKS9wEb7KGt/3oGPqE6+7NrI1wNyuWa698rl
lQPwO3CO97z3Xn096g/sVlQQDuDTTefqVz808qPnB+UtZOTd6FTGFR8OcjQF5axGFPjdXtyBNIpW
FvSxTONxx+msPCrCDu5sdyzmiFE+o6lWsZR4DDytdtViEQVK8D0ewmZ0K+O/py86Z5+q6Zrv/Z87
oR/dzT/apP+XuqdVnPtX3dP1t/Fvx/eqJQxCffuTlunX7/ythfJ/dEWw6VAx/aGD8q1fXBf3ET6o
1VDzA1v/u47J/QVROsYhgpUE4C0bifdvfZRjrcAHvhxxlMBl9+/B6X8SpYPeZysCDAXPGX8Fkqqf
dMCGNxFKB2gIHzthcIvH5MxLnv/wpvwHaIafZPa//hLE1ZiTeJ3/ZHLpm8FosT9ATCnQeE5+t+CT
HfyI3K5+99e/6mcq/fp6HN4W34WVDfef/vOPuuamiqGyJfZyJDgbH2255qxazOJE09JjoLk/Vsz4
wUy6DrQy8vn++tf/09vJhAifEsewEHxoPwvW2VkH7uhZ5PfU46NV+S8BIUN//StWzfsfZePB+ivc
0PKx1XiouH8ySChlzNqMhTy6YnzEF//chfBVNf6+Dbw9rtK/40v+g08OB8o//zqadjxfSONXK8/q
Nfijyi2RDpqyrjs6I+wgMvJEC7zNqC4KN64uSpQgTjxKquOE8OKNazMDx0cQYrGuClWpbcfCZONb
CUnw1KTFiRVZCHKhIZk1gvyaNJuuC/N6Y0mB4baiBlTUEifGt/aHlY+HZOh6YrJWdIXqTeuZgSsS
4DnU1Zbj2b5GeBcCCS7srTbn6XnOAR9nXjImGzQWCkyDDKtHj+ygF+CBDR0BkXdxAkXW7cGXeS4z
68FhxYUfPSFoD7BUUmHsJudL8gx3JZTrZTmxLDgzDx72dlV9d/zyvsmcT5QGdz1tYDQ6QXXRmtNb
MtCbhxAAd4bLz4STu2yLdpGHQpIUrmqxdbt8/KbSUJ58KEjtjGIwCxu8GBYg0ZGo7+uJ5S+RYqT3
Won97EOIv8jTrI9khzglGwZU2kb4OKEJ384iz8m1lMlj7yHD0kERmeGQYFKn1IbZPkDyK+Ndjq35
XHeQ+VIGszEGxEs3Iad7N6IhmQHizklIyGOOhicDxvAofbxuKekIkRWgoG5BXyBybEUswJEq5T05
tW+8pMWgbgDe8XMCHAqPjSiGy1Jl+mjagAQzpRDMY0xML+NKqnMDkBnQJHR46gEukUpSkDWwzfKx
FjR6RNwPWWk+Ow1I3XmQE/PczNKvOjNRYEUmmenQFpLHLJXLrs4asYm9CoO39FAsjNnqtDZUfAX6
U921S61uK9VdxegDX0mn6h8d1rtHJqniLCbbO1Y11wKFQLbXfT0d6sp+TQvlsgbIWMPlvj0dnS4L
70wGEAcQseq8JEZzq8t5a9HPnhPiACVNaGnu1QjZpPHcJNlkXgsPeXLBU4aOvgQ3DDFwSb1bCAf7
OLbxx8S9L8iwSwjBK1IKT/dlGpILUsclM+XxDpLxExtxmKlDbhwcdseXxBSRN54OuNA0pQ6YCnGw
bEpA+pvyOLObO7ltJy/nxlxl5Inb3FQzzw2uaBxWYC0S886O5fzeEQa2si7qqyHJjcs+8ayDPYWM
tkvDrdmoIOom1szfSlPy2wjCZtRM9LXNoh4zXtym+KSMIH4Nir4mQSIJD0kcj5dTnufUP3qMPCJW
D91gwgkuKEIsx0QQGOspgkIcbmyvHC8WKxVXayG3j3N4KQ0LbjY70DE9P31ngvUSCgZySd+b9xld
+NEa7DfklVdGUCYPRWPSZPi802wKL3qnIQEuLhQwSLRQMSRCdkOQJLwlPxudZOXHIGaLa+ErcAe0
iHia500QJ8MppunYCcO8Y0O67yn8j7lBTGLDVOGwQG8jas6TTwjkfYrybjS2rVTNXhMv905wOAqZ
tPV23bSXbWI/um4bRrUoSEWt/aG71UZrU3qawSmrRpuNekp41pACd05ZjbBfaJfruCx6NPtxOz81
IiivOJAW4pVC8qUs91U1TDFIPjE2I/OBCAc/Yy0zvQLBeUh5ADCSNJl1JiuMs6xEfd1VwakcrKei
IiPTigXjEuLEHBUYtOQMHuPCCM5JXHyLGVfROXU7X1vOuzbB2+baHm5ahwXExi259zgSvJtszqcr
HKLlyassdaQKLbbNuIxfGiggG6qh1ZZNBN0clR43EFvWKf8eIrh/EXgCH5kpOXfYZDyCwUIRibLK
u01DGjlzpbTfefgzuE+86WtVzfRSsoYOS25CQZrcs5u69MghaYORVOWqqgbFj//S3ZUBfke9+M4V
jN1R0jQtw03VBcaRZbbHFsj/9IVN8zqEfO4ydnNWRIH/WHaTOGCqqBj0wu33hxkXU0GiAzPR9Eg6
bnPZTNo9ukxgbrxMFMfUSBJA97sKutGhnFPe/iGdngQn19YCNbvnTSofbXAnkWsKwjSNvrAeHOnt
PFxKL0TDOG/T4KXXHiz6l464elhJSH/zVqlrLdoelUjOlccI6Mh8WAFl5CLj4fm9hksOm1tBcU7i
7sTzcTwNuc2ZIclL9C5ZH80W+QRlp3+tK/6rlx//Pxb5NgXr36uifzIrXH8b3r/+2amAL5xv+a26
F8L5xbQdh9wpaltWEv9wKojVvvp7SW+x/wDG4XuWA4fcF5Suv69GXP7L/RES5dAOuHiof18J/Vaj
sU36v0IHhLWa9/5QItI4IOf2LHwJeGlhXa0l5B9qtrR3pqFWrX32484Hheq4p9kWBkOJpSR2Ia3k
+rRpLjwRSsGaWqIkWxC44aLjBrM6eQV1XVtfQG8V1w2jYGamiPWQgrcS2bZWzswk1Rm+9AUVXp/M
EGpbHNxROAQD9Kw+Z0PqETNz0OMs7jVU8td6iIebBfPbxGiwHjUrROVjFSAuc58h4jr6Cg4p+KxB
b3ymcwcPH12zadN8KgjJwpC0NWbQqM48+94+nYIxOdIJLHoLRcnkFCNEc4POofgqfUPeZIk7VOyB
q+kmhonLWhkngrklkoTga7BYhX9qZuUszNj01B5YR/O/9srjWcm1M/nZrpxPAKcQP3JITeSR8wdi
BI0XIoMQuVf2nYXm5C508uR+yYvhRpac3jl6ge2YwmSPYkKcDvmo/GMVlrXkDGvIO8FuBN810EW9
NRyFXvtsF9ZT37a9v7SEfJtNL4+xcDN9qGIqQP9Ayl+R7H0Fk8DcgolStRkVdTBd25B9ahH182Cc
nE40uiBsSqLdzPFz13UB7Lo0yumla0sHLtAAr5dBsCfQOLtZPEzXhRycEGJSmamQYEOUXvuWTOxk
o232Uwli4TSPb2IxG/shBgQ+Rm4HbII3Uw9+fwUOa0i3iTQ9vzma3SjiS0sh8dhKpxvWC4e2cpkw
Fu6NKacUYqkFIPei77VuzWsCE/Lexq3RdcO4VJC3LBwvXxIC9qzldcrKuVZfQTv3FQtkOFhlfPfj
Lv6fA+9f7YRxGtEW/9WBN/7t/G3KPps/jzR+fNvvh55pr+tcjMPh6p7/06Fnhr/QeZPFR6MKFXE9
fn47A22fb2JuEQa0o7CJHPrn389A8YttEYkekP3o46YC9vHTmfdXZ6D7UyNO0h6/3qVtdTlNQWr+
1CVDuC7x1tb5lUJQML87zQo3rx2/d3ZmihGEcnSkcp+PGQO6yjg1VopGMGLwUh/xKZsHJoHzV0We
LRoQsyUCK5+H5XKqPf8bZYm/zYB6qEUea+roomOwWI6z80Bs6BJowCgahXT3tQQzTk0+479xd1zD
eYoyLzN6/25o9IAhrPV63CIP5IPF5IaOWANeMSqW2bzWtKvbE81SXV1kbFOiKfCpqQeypyCXJUSI
TekVA07ZBg+p5YO/ziP27iSqCVQy9N953VbdYxdwx++C3LFL8yWTfg/FuG6HwCKOw6xwr2UYwFkg
mfIzNTq192U73xLmULNFmsecb/VmY3lra9PPzv9zA/6QdvzLG5AS4C9vwEb16d+278XPDkn7xzf+
dguG3i8Y9yHFCm81PFprQfGbNkOYlCSOtyJjGYX9ebLIzUkgJbcHIg0Cu/7okHR/WZ2M3J4m7KlV
vfHv3ILgXf5UhqxTMGgqHmMWizvR+XF6/LEMoU5uO2/yravFdJ1kOWSk5PWMViwY6vgejR4neVvx
wNwMgZvLDcbO5dWwSoSsViaOHVbeKx6iejdLo9ons2xoM5fu3CT1kbWZvggkAEuHWKvLRtfGAz55
ZlN1Qm9LPuKmdSrvYQja6Yl4th4PP36bg2glaV5dLiOvo2Dg54m9xVCfuPMhttnthOwU+R4Encmx
yNKzZ1fqwgrZi6cyvhsXeTN1zZapLUl1aCSObADsTeAxevFL70I4NFua3LE0kV81E7qtztsuqgZF
UJVdz+dYJWgzeh7kg8kNh9EA2q6xI15P7GdzWQ7ummxfJ9aB0qN+AYSeE0tYkL5UOrtyUjeqmJ0d
DIX+XVm9TeBlFSDpY8tqVx6/vxJ07rN0tn0dhMe509k9BrBmWwnykNrCCiN48kQ4oKk/Jn1+o+bQ
ZLRULDvwTmLDss8j9KW1d5Dz7G2SGe5mrPS0GdiYXRSZf05FyDTVru5DMh93PQKXsNLH1llHHaXF
VptpVuTA4EUtaB4MXAERgsNntydybejXF0GS9rbXcLfLWSeRcg2Pzk5/VB1zvGlikEZWxWWrshnb
6LRrFn8PaLfd45WrtwhokOS7q7/S9Y4hVqueuUcUFBazsSU2nmc7aza2qd1d17SkP2j0j5aD0J/o
rvlkNZgvWLsvp44ImS0bLnagk3CRdRjztptMZ1sDZ964QXKYtMf+3Ub/Gor8rZ1a51KiHQV+gWLc
teVWsx3GqJIcUltDUCTPhNQpMJG5fGw67zmYlqvcGv1NMnjO3qgzcyfMJT34bfW+gNHJZe8ccnLa
WJ6OpEPSPV9IK/zmLAZRi1hRt1wTa++68UYuiUAld6gmmEIkrICsNS2wSHp8rGKJnK40yWpzT9LK
xdvsLIJWmig8o/hYZmfaTWnQ7vKMp51bE8O0LOhVjZJrIatzufWTFprB4pC3B583wkMpt4VQX4yu
Z8bqTzEb8w5FIYCMA7MKZ9fYobP3KET3sZ0/KfYF59oEN2kHH0nYmcB0SB5zW894hK7AWhnwg7P1
yyy7rwa8jcAPzU1erOGVWagezRphsfDD4n5hAL3tuuXcscnbB+zjd1aceoRDMuzFO+Lv6gkBTG8Z
JlIXhT1sKaodQol09YtaKBdtZjh+7p2EhTSAoQ+JeFZCss5gXXaGqbcGT/kneBW8iwE2CgvKQeQl
4YhdpZIb020wG7u5+YRAinAtQ3jcuYRw9GnrR6FeBMvson4osFLdxq02L0Tfje4GwFcKC8coUgze
+DanHsszSuZiZ8/ER/Cn6iufWTVfaFzVQC8OSHqvDaf4yJgRwF1YZd7Sp+wOBmPrE3F4bpfOPfpp
iZbaNr9PcQoHbITCBCUFDpXXP6AcPel68C4C1tTrevHe+z/sndd228i2RX/l/gA8EArpFQSDKJHK
suwXDFm2kFMhFICvvxMO99rudPr99MOxx2mxIZJA1a6915orytqt0i1SMRBZYactnFAIRrxm678O
fXGXAl+OjOGGMNkeVGdqkP+pfSnFMu+IFbuUvXuVKn4epvxeOURBVigMsI9qJCJJZBRzRNcGxzd5
oyJ9aesY5by33Hd0Bw/uCg4rcgoU5Q39BgHgvDXTGkVVRSdXjx15mk13N5Tmi0/CU+AR1s5kuLPv
IzOJN6Xrb1e5uM6jBsGl/TJ2HKbcBT2ALTN6aIVhHCOiBndZYY7bfAXEzH3OeckvvUOCyJyQj4+O
011lscCYa09PngJriqm638DKddDKpdWD74/vYYST19O4X1CKEE8R0VlXcfFgGsOlK3p5bjzzmNY0
7+26Lk4FUptKlzdFEhErZSXeJmrbN2ICdNr2mArtZaj3QgzkVNkzyWFYq68IXEIPO0mPaUjkHwqG
G52VfPRnz3+YxXyoCeO5XBz6P4SKtbveK8Zw8rhitSwPnMjSGyyh+KLYhCYtmjgY0UKD/lLs5GBD
ci3t+4ZGX+iQOnE5t91FLFsCLkZLC+IeRTcdNj3kjO98KPLpWUXDcHBnnB2DiU0hLoitM3tF5tek
7fDy2Ru3HH24suONHpPthLxw/cUxgLZdtOltEwcbqkOsK7QH0t3UpipgQSMCKdHeY9jMglabPlsp
JhWrGAaiDBdAHmkqwQJGzoH1Nz1iLGKQo7HKIRljDIEkDTKwae1JSbN3MY4/xNoNehPRGPvYzd6r
MbXp53sPc99ddnm72j3jN0tr3GNRFdFOc8lgFI1j7IAleVtDlPrRa3QQv1i7UELX0Q69Tx1i+Vis
6lPhdFX/CIg0YlYAOgeiz2HCoCaaDaoSr1ZPPVnNGCszpgkZ3CfuvtLD8iV93LtuYubrQ8Zky+6s
Q4scYgQa1IBtebQGVVn05+dZdogs7a5m9c6ZLDQKLjBoN/uOOF1OCtCkSVmrjoQbdq6/ycgoxipQ
ZQWQG6DKjVyk/G95/eU/Kq8hinLc++vz7XWS/nqy/faC72W1p7+zgY7pVMekrMAdY+L5vaz2xDuP
xp3B9N360en70d0z3vmubZLPQGo8f9j05H6cbL13FkdaUDtgBXk5fM5/cbI1aDT+3NyjzAb1yQSY
VjaTYIyqvzb3IqXFJDjb9sWIdTYKzWzJ75IV8mujmttYs929J5d02VFBEeMEyQtkLd4iNubp0a4I
PxJORnqQRX5cPHFa/OmT/JOB8R+gZkTcc7ogaxQAC9TT3+bv/uBJeEu+uMhGQaZcIogC05NqxRgw
wW3p6uxRIVJNNHUuvslU/rLxCUXvt88GYIyNB2M9FaEzENZvagZaRxgch7RFgxg9l22Ei0kNqX/K
fVk7SDRt94pZdwWQZHbcy0n48EjIHPs4LdXy2R3wJxLlNlvHuKAbmsPux/gth3wr29q5dami5g1w
AfsiUmV/ZTRWs6NWxleLJ5SmYsk6LcauvE7MWUcXZLBM6F6LOlLRDQmHgcy6wBsSjdFF71BTZ475
gZkO86Quw8DRefWl2wlEVXUx3AGJrkihFBU+p97yiHZoMSAheEyyDcFG+nuNSRDebfdhmBZZkOLV
sgcTvFthPZzirZZoagxkbY2HWSujTa4tVpAt/UBvwVUjEBbS1zZNUmFfNaf5ucpWDJKGmuCK3AyK
Pjn37z1MTsxy9YKkTgZZxEXxBTgHz8rnHR5cB5m8mW40QesuQPvS3vmDlt3qHSa4MKMziCdOd6Cq
ubqERjH5WzVYMt2NFsHZQcqjdAdpLp7WNFKnoOeR9A/GUCeYJFw1XADGLrC4mFV/N6UDZZ5hqQ5B
pmPouxLxnhdUUZ9TTthOY2jwDJfVeyh1CpM4NRWmS38IMrngRG0wcx2oA00Nm62Da8+2n91s9lDT
OdVNXskJMWSL7Hug6U09hf4uiPXJ2DH8ljDMlX0zk/G1X0wv/twm5riDi7VDCTqGPKk+7l63vFsI
CbWQYA3Zccm8LPTs3n1JENAewIIsW79oeiDASLN3GAFjLDyZOTO3GqnSNiOn1z0WBOMy0rzp6HtG
9ITIHriFStiEoGclX4TSx2sDh7QdpJVbfoG+vXodF7Bw6AuguDBYbrHZj4tNxqML2yDk2btPYi2z
zli+8KkHsHIcdQ8yIJ2aoHWretxEjIfjTTZFiB+8ps8/V1kSpeQpymyNT1efETsSzzXmaL2TANja
qJ+61pfpCxP7AhBARZLdddfJ6LgMy8qStbLx2ZnSmPQVm2hJGDD9AF9hmCRPRav1r1X0NWKSzADG
tT279rbHuadta9QJp3E2qpnulNsTCD5qS3o/W/U8H1AF0BLToorhY13JMoZrR+r2Coagy8ZgmzAp
okNI9otVTooh5hC2gr66kgnJB4y1rfqlq4HtGXIuuNUnvb6YYYffGS6LZjwlvP8cLNN1tgzu2Ryg
PxIl4nM1ub63OYnse2wDpBO2dhdRC4+ie9+nTiYCSe6NtuXgsxAKB3IJDhvBdORDfVCj6SNEt0cI
LIniQd526G+1ANjc8EnH4KfjkJe2fvYjBeuwMZv6RXYFx79GK5bd16WcLgCfk8iI6iSrl3U01/rx
PKXm8lR0xIbUm1xZUJn2U4RFD+G/EMb8Yg+D1JujhwWXP/IYyDL30WxQITPzWdT4XMX467tAY/z/
ggEFlSle0u6ylotzbjuD3xidTq3t1NADYAIaD4TGM4vruUpI98GEiLEZBfd0O6SxeS3IV5BBSpl+
Le0CDFAVO7UdgiwagYq6zLsZWiflFRkVLgni/Abcu8RvX1QGh3G4PxJTIQVhNITEA7kftbHCZMuH
gxukiLGYI8pxSDgbErTwdGNc9aE2tJqkiZmxrOdkdRARanQRm8Sg5qqrP3VG/2gRjHcx+n5m743e
V7eDU1hFqKG9Hfde4rUICshAHPH70vkRdhbtjAGLZ2KNEY4Wba6uEur5BzMHKkEpONivyDMdREPY
1na1yreZWWtkiBj2dCUKJkRRMiZ41aAdk6vOyW5qvcZGIiONS0sr+guf8YaLLjfSHnL2GWiZlr9m
ieNsJ0m5dM0NQCzUCkNtotqe+zUvsFIWfgtjdDKJ6mlhMhPbAjE0C35XWt37//Zl/7PCkUz7n8qd
P0yCr3E/1b+Ge4mvL/kxFDGcdzC8cXsRQ2XR+aT++NGRNQXdWgv+r03fk+YrzdIfpaPzznToq6H1
RLKIZY6K73vpSLiXz2PJpIRqBjy47v+b0pFy89f6iDarBY+e4kwH+gq87repSN4N5CYNfnqT5Sws
PtbL1Ton49y59qNGiFvhtNAl0WpVNHcin/IYu2jqbPIIeut0ph3G9NDN2zzosA301l3ybcRo07nI
dQJDOcY2Y5UfeF51ddMXrf651BvFlux2VeptpJF4SFQGoyattOZk5Y0EhIt4W5JDeVyDHd8sQjgR
HnWt90kz19waB+67m4uWAJd44cSG/M6mMNnHCyYnC1sbavyUfYyT2DAEbOJlHixFI4E6WkJ7dHXt
k8c4OixXsR+EEvfsJGN6AT0gu5qIOL1wR3v4qNbllXKOBqisnORO4rRIkC9O8w0SwMgPUdeXcms1
vGOquKVnJScSOfT1hPF4RH02pvEG9przKWWQ89jR28nOZJVqJCg07nUqdcSBczrRKyqglGx6N1nR
TP7kY6LQ+xRwjN33Vcg3MT9Hcw2eBzXfgHEsiu9ptUd+QA8OcMvMr3+ROlFyuahpesbgZth7B5LO
RUxE7NZnHkUcu5FBBXJ7B0u1m1rNe8CxbIxxm3Ubzx3Lo9ZVeh1oNiBUTviLd+3hahw4xK8GoGxJ
WXxcGBVLmLEckQSEsfkDxWOLmk1yZ21MioIphMc5hWjocd/r0glK0INvrqRJmMRpfuhSMexUbBHq
1KZDSGXn3rY4jOhwEx8QmqRw3RJeK49zTTNFL1vjVrN90n/H0jlGwqUlJKXtfFbYAkL67sOZWQOW
7WSuy4Sj/EyZtGsrrbkSsZ7NJ70adLc5Iu5RXsMwr+o8ugNZyUGf0qVqbkgNTuqLBdO0CHSL6LIq
AOHCtjVAurvCIUHvOaAO8Dxm6QbAl7Dk6G/dDh24tmAxRve+bCrS2F0N0OJTIUcXmWjdraoKH+00
KAf0oLSx3S50zLirj2uH179CGJh8LlvsUMTOuLkbFN6M9H+0iaJESjfV504DxDZWfXLpRJV6McvV
r513iukH3PP5YooxnNKENStJ79bRE5CAhVkfGPRA/umNuTc2CpFif9Bl6e6qOE1hwM50h5N2hClU
y6jkyY48CCFWM8MPQM6AZq+JmnG8WpZ0aEMTxMumTvg2w2Ys19NLpcklyBiXxjcEdaTdRpZD6Z4A
D6tz0dn6XuZQ75LYimfuOKGNm8wleaLQ3PSs0UAbEQ5ERULcku7IsCw89WymXb3vaVEie9S7O5xC
2XLLseEV4FDFM6U5NRIRO5vtc19bHbVyS5z5Lh7m+nnCvioCbx6Sh2XxTFpvUSMrcHWIMJAqQiY6
sBLN94h+SXczbVpkG0pU7KaFDl0JzW1kXVh1I9+UJh7twfGuAFZ2y/2Ym+SxqXyN5JPRPIVeo7Ff
d51+WqLMvBWV4nkE6JYRqRqzmtmE08JwbLP9MlneEaYVfl1PadN0Na05Iq7VVeCkQTbtPS/qtoUR
RxpMnMKod3GzZKG5COtWawgP3llDUoSOn5mXtQP/hcweAsG0tFlD5lZscLOINNQJsuN7zkWcfZKt
m71keq89WrIYP3CyHyWHRiF41pD+hFq2WNvScLT+gnGT2BTWAPHOSbpYXvIDAmaLRnUZ0M9o5jhw
PDjSR9FpNkPhWbh2Q38eYhdtSVr3G5N+PbZTR8bgAyljD5Dh6DJHfanQ2tV2OYhTXTWDF3gkDD0A
vraeUHS8F9zCSPC/xu35RLUfHE+5tw6YyTDuoxkmVIIKGuOnviW819yiQsXujMBwuquiTpxJgR/G
oJRuaZyUrOvT0tM13XttbT23/fQcT9PoB72TArg2UsLMNuOo9x0g0mwaTih98KrORndXQkUgu539
K741JsD3dNAFsMf5UFpu79rZRiCSjY7EWCnvLLzc2P23nvqP6il4AXRo/roRd/Olqrq5GF+q9Fd9
3bcXfq+qXIHhxaTxBmkAOyN/+7+q6muvjjxqnwJq7bmt7aYfVZVJVQWcgD4eihL6Qj/J7fx3OGdM
gnlADPloof4ViQDl7q9VFfYWxH+YcXRT0BzES/NrR66gAl/KRme6BnB+DqltuMVt6NVnM5oIqvGZ
ylmbskQ1u1O90/qB2Ul5IbyaPsbSIkPZJIUOXIoMxIIIOSaQWkCkFVFk/msz9tG1cpz5spwNPRTp
MBkBSFobMIHWdVsYHCJcIJYSs2d1dEGYmkACM2Gtk/qdJctewxz3JEkEPs5Zm5zpU+pbV1uWxwhH
OLOjwk22EgBItmXvarHMSniDBNCTPWNMuvuyZHDhGUAwOw1qQgVUQJGUh0yFCRdOqkMK2+6LZhjx
q8Kwfpp4zbM919kQ+povrhLCHgH+uxx7A9fyO5j6dmxua42Wiu/FxeVo+dl1Wif9aVQdE/ooI4xT
jyB+1f04ban0GPu4cTaiPsvjzYTbH3ChQ3RcWfqwRxtoumNhW48eaaUbNNs5lzAJnAFAMGwrmCRM
Adt4a/p88iIVxlEtfnnTa5az652lvNWXor7J6Fxew1AUZjDqeXXEuMVe7S00zlTi7giN0fvN6qXH
qB7rW0SIKgkk5o4MgID+ngZffzXU4pmUyv7eQM3s7WmFwokztSxughJzxh52nPVE6pS5Q3QNI6KJ
M0jESxSdcD1g57B0kINEEOCcHbs716m9bOuQFnIk7FF/Y2estqI07tzxZlUUhp3Cq0zhcyMIsarX
2sA6G1o3fDDmJn6UeN+vxy6zN36JH4X0sI1NBgln2L7cW9VUHGEORVdMcKpbzKrihCL6faqEEyKz
z8PZGWZwonF0Pw92C4DTLg9KLzd6bfQAbbPsLhpa/XrQOjeMJqEuOOzvoTB5Wzh+apMMeh1GJJiS
ODvW0SHzI3s3OGX+5iv1akS+tmO/ikC694Vxx03OSXaa2otuMWAZF3CaSTfBf2qZgvGzfVtzt22Y
El/ickiC0mudkHSAZzDvVPkT/LOE3nsASJjfsqNQigcsMMZgpFiUEu2ZI1Z80RRJe2cXTXOaBfF0
rteBsCGTdivZFjaFkMnZGlvuG25bsv+c2dwTbUweZ5WkpOUJSm+6y5zlOevfzaq3A3zjoo6pvcs5
Nh4JjpnSHQ1UtbYkjUU4Q5ipJE68O+VAiWs2swaj6940c1vd22yrmNDslqLjyRDcC1vSddJLR+ru
bQ9cOXk/iaUEekbOhLWr/JrGD2TKmeuTYoB5zaTR3wC8K8DWQVZmPImPyKg1+xmDRZVdqFXUFhT1
kvFuMn0R1V7WsDbvxzQV6p5M0LUhSKY43cHc0sfsQ573Esw01IMKbW5id+ZmbgAvhWNHizjkNovj
D6WRxishz6AMzrWa4DgLTYm+nebF4FBnpNM64FXzGinLbNvbtqXV5/Fh7j3xYagr1b+6OQm0zgc+
I58tvhj6+kifzoJeUUWcKvnDwawMX8TWKNBhSUUPVT441Jgth96N2UuTyYdmTN+mF/+VhP6TIs1F
wvl3O/VdUn/+8j8XXfFSff5FFPrthT92auMdincTPRo7r/lNdva9/+Ea7zywDQzwv4eU/7RP8wrk
ns7/+2P/v/thCPwTXzf2f0Xrx6r++x5N58Ui3Yvfgd+LkK9f9+gWhpQsfbggGn0Iqtukvgep1qfb
2PPLbWraz6ocxxMsA1waQ/NcxLZ2oSvawET1siovSR42nShv/bGskFDoT0jkYyz3BSz2msIxXAYC
PKRB+J6YNXeXQaUJvM49N8UISXIyiBBR8oWA3xMq6BMr+j7qmd/10gZ2oxi9gIvwglGmb4M+pGck
EYwG3AbdWlW3gAhBfk0AuBjGLJe1r984GPwDX6qXtWJGIc3AXaBtl3361hUZ+zNnsi1pkWfXmvYk
oTQbCCdvfl6dlDHeRZONKz2FT27mp2FebkRGMgCIzY3MtIAexQtVRB3W7fJq9zmLqPGK/eS5nbtd
XaA9ktBU30etOACYdwK4LYRidtAeKvDHRm8952Px4hI9s9NjdafL/LR+Aj27YIjf5S1rSGfv0J/t
rAIWoVWiHhtW9QEh0Q+xpe68anI2HsqiC1n4r1QA/t5IxCGO58scG9bFsqY5a6rjg9F12rbp0UwG
E5b19OAk851qxHNi5Uf62y+yzV7qxT4DmKRB4YhuK3hDSqRv0G1vBEfV3Wz1gGwb+r0iPyKEwjxJ
o5rxPSxDs+aDMhMZBcgBwLKaerJN8xXtqa2xgA3rcaytn2VSvgwG9Ex9lef2rIib9VqN4AeI/7lR
nX7Tm2pPDPSl4aHC0kb9snGhyzBXebOQ/G5tIz3l+XRJ1WgfvJpGVEbuy8rqeVqiHqtX7xTITggf
IIABFUbKiCnxxXIliTmp5+VJijZi1Z4eSt0Op7lSmyqROOPq9KUaiS0tzOnVq5fLkbQWFnAJBbx1
n9NJ/+S11rWPixINMjpEWFMEfssDpo+HpbUPaQpItZfWAaJWQlfKQ3vWY0Bjonnp1HOyVYCYN4zG
raPvcidMS9/ThyutoOn0pyo2Xn1LweuH4k44QXE03PGhlcODmIq3kr7NRneg4Azl9GBFRoIHs292
9DaA0TgabW+DDIivn7tROWfapc91W2U7okzPjS3cXb++jvcZJBNqHWU5z6kr5wMQyCVgizg3pkZm
cUR9jeV2DqUWjbdEq9ZhMZGOjFbS3swM8g50Z8ZjW9vjRVc63sU0aljTkrmAf9mUcEqaeacn+Bfo
VHYbUyus197oPs6jdK4ML29Wy22doryUeQLDzy9bK3TzRb1Ebo1lDxIh49JMtNUTQbxP5aRRHSwC
wD4MTJqcSXQGC/MRUM+4yacCzR7b3WKlYdPPEv7flBDj5DhMHtJJxkev7jNGfO250JKbqhaoczTx
VGtYZaH62dtxsF+maga9Ttg5T2WWbAl7DMBTZ0Gz+M6uTEuI83Md3SAcxEtYcfsvmfla45QPurak
yTbS0J1MY2e59D74LaiEYLlg2eEcMqFMuMaCP+wnk5tuzt1nV3OAxbTqIhrlm6bkpXDy40+bzp+o
C37rXwsPHidnQI5snN6Yq67//idjU4qxZcBJUh8E7WbEnW2/Ns/Oqd3SpjGcf9AT/K60WK9GDCRe
L8LZDMJmfr0aReBQOTOGALjhdYjD82gSrRc4Fgv637+v31UTXGlVLrhcTGd08HX3+ul9KdedrCxq
6oPZ5y8MAoktYznODIUGlhFbfcHf9G9dib9US/yqzgZSsF7TgxWFjAQ/hvvbZxlblZ94XYTXEioo
yqXxAcIrgcYWZHTNLlZH67Eo0AV2rG5//3atP+g01mv7BC66HMQN9/dg1yaP1cLwvTp02PHDrC69
mxk1wrpcXNKtyQ+6P72qDl5zrsbxmI0EzkgfBaVM5teEPmtcLZdDvEayWvbB90ttk8FBAe15qRyW
b2K7SN2gpdzW2aly5K60x7upjJ90O4ERNYnzQBd/A5HN3wMIbD7Etu1shMfy8Pfv9E9uIehQqPAN
NAm2+fvAxSxSv6xNgV7dhFVe6ze6v9yUi2z/4RNd5UW/qILWbxOJPS0SpPbcSr8pX3xlMOLw1nvV
L4imJgptNlK8LjQnKKb9LOy8/NTHRnlbjPON2+slWe7soWKJ39qRdXktVbKcAsIwp8tYQ2bhq+GB
gPOzJcc9sL4+sJu0ZIJA9EY7mfTfbHPel7HZbKd0Ti8HXZL4lU9Pk2TbH8xUHJHhl6gG+zU/MX2L
UpTVVV58pRTWe2jBb1G9PHnxsFt6ThpTYx2S2T4kSUXWAjkU9KmnSzSlxBkPy407I3NgdmrsMEZ/
lDYqaNegxvr7L+xPVhgL0AUAD91zTWZkvz7zi6sBWNSs6rAo42s5MbGy4Qp0Ak1Zh7+/1toX+smm
+fUJtAEo821BLbFXT8jPq5k0Z6KaxVwd7HyEsJgey/qfFsyvT9Jv13BRYRG+y//SRfvtGtAScrIr
dExN/tjsuhQWMhbG13WlR3w573uEDbkpiGU0zyryySGqiqM2Re+7LPsEsx0wB+YF1JqZdSAgjU3W
Z3Vq5vJEw+dtcZS1dSMmPYXlMChAN4qwYemuitTZYr149GiwBA7SyAsxI+gnzVAFJM1Cs/DbZmdK
Eza735p7PJhoks30za64Bds0P41TDmKEsQKDfQpUgyOsDXqk4iy+oc17V1dmssUw8k+J3X/yxPJd
EPAO+keHvGP++qVUZgMPYC6rg1FwUBgTcuTSHmelqeW8ZxQckC3whBazdy6RHeHylGCEjfKaMcaT
xwBpS5uGoVe0KHrTRk2LTH9WWWOFns6ZOh+dM2lb6MMjm2gaMwuJG9Q2Ta0wlWTzk26q16XTA4Kv
7ieL6hD+JOQQbQKYqT/NFGLQhZNmbxUwxRp1F9vOKnHi/hQNC1/njABINMyyZVT4e9NenvxGjt+U
pX+5dfzJQ8Kesf5D/5TT22+fkYpbTDtqrA7Kq0JKnClwFb+OoMMXNfE/fCOQc/74nKyYI5Y1w8Ad
/fsz2Qprpg00QAY3u2prOPhvvCg7RuxUvsH3g/WNge/MAWk0WaayjAowLk5OTgEI9dxBLAQzBpFH
y2wUp2ladH1AtCwwYaAio3dd+LgUEp9qf6pqK7Sa7rXMlrupoOnqrpsxt1ls5S+RWqtU0ILZop/a
AWbGVJsbytXtiC6HkCn7/PV4yYTTCkmTBlMJVowxDK9oCGZsoqEH3twnF5NHpOR6CIoqoj9Un9fH
alAPac9B0qPzC6OBo569KDLHYj2YhR/41ogKxbhptfRoWVRrBpO3dG04r3/RSv6faFxvyGYYoZ7K
brs+Rt1kY8RVDw4jF4jducbzBEa6aKmW9Cg7TSR5hG7DT0v6Rm1GYElFWNYVSWivssfKPKxBikV6
Si3OLP5EKS4K8Zwl452yBELK2oZLyzR5RPOGrxwxAQ9w3xdHDsU4mNlZ0njkxuTpcFR/QifzMelU
dcwN+zx2Y2iZct6sByNEjPD24GxcelT2RS+eTTxA/7AfO3/yeFPrwE/Cb88d9Ts1GC9ARsYkvczO
nV+xtdwhMztTX/Dh2TzWa/319ahd974B5J5K7+szXyX9blYwyduMl9HQgoxXQS3F6eWNZAyBVid7
CG9/tSXfcj4URqdxQMtxlcSI2wBcxK+tVvinRgJcWWL2RQJSfdwgBVW+y6RAY43J+vlptCi3dGk1
G0dPh80UEypUeFTWMQdD9sPEwqSCtHIdZg4P/cgKihEMICdHUn8oTuMw3Al7SBFxONMW8ZQVtmq5
LBP1gPSPxCWScZlYz69OtzRkdvV3LqcDrG7OeWQT4ZA5PFjkh67VfO/+2F//22H7hw6bhfGWe/Gv
Z2EPzMK+dN2XLz+3176/6ocy3XjnYG2jV4avkv/Y99aar7+DNIbTcp2RUdGv87EffmvnHW01qG7C
5ASjG6sV+3tzzRLvCJxfRUc+S+q/xXEL9w8FKBnd8CKEThGK+/r3AtSdpaUlyq4utDFHOrgny4yR
zTbSlDKDvtQxZJKVa6qr3pznTdm1rFvdBBAmjtxDWwqipOyInCMyPY1z1wrnYcr1fOukehXGsQO9
ijwfgCzO9FwyKGiZltjWix8TRmg2OvAr31ablpRb6hH381A1/cVodfEeXWwcYs9sN0aUE4uEAHo/
j7oewMUTdbD4U7eDT19uispjcJShMhBNSwiv7MqLYYqXnZ46u6FDwK33nIjHLI2vDRl5h2pO8Q0h
FEyDsRMMMGhN18+JMbR7E9XqEVIQzzoQJucTqouGXLaSbiED7Tg+1YirH/Os964m9pK7QUkzrAps
4YPhn/QMd6FXgqApyIhh4c8BebkDCX4pR+0o0+VeuhzcVCrw+Vnzbd3U7oVEJ71zANQGRNka15Xr
H+MqD+16ym+gNjH4iUxWs1l5W9TtNTEVLXJWfABb1Qp9w3hAADmdugtykbVDpC3GUeSJdqQMIsrU
bBGSoCsICVCpT62TMDQkfwJBleKYYKSN2OICBjwdlfYeG0+JqxamKLXgctuMZndyQYASimU+OFM5
vc5087edQvVOFlx3uxB8HajZKXbOUMMkbqb5TqSZ+2kAF9JU80cIqN0ewT1JfiPeWEgC0dPopfUu
yyLnMwqefKZINLNTzIyL9bKZEgaFfbn1StxVaeJ5h86Rctc6JnM2ndGoh4EBL1BfEHgh/U+erNQb
JDR/t6yGxE1LGtmW5wZJHOs+pq6seUyYxDyi1ZlfNE57nKsWWz9p5NRcetrqPULolgSpnzTbBt5U
gD8IjNqSe8dId6pryxjrU6GMx2TSqOI4Z7cHOLP57VS30EVQbl2bpfQvRUt8M31lgWghNbTSPQwa
CIOdxKQ7Bv4g8nyzDGsgBv6OrDLRQCyTtHaJaLyNCaQUD1dtlod58BhNLj7gUYongrcKExulpZbR
DLM2dsOO2imYzKW8QQB88BlEBQl87ZN0zJe6aN3oinzIKbkk4Py9A/z4rqztPeJ0QyP5chCRuS8w
XKJlGn1V+a+LmFva6dG8XC/j1N10g+mVrxzao+VKVPSgvH54tJvJWukniRwIW3EfRNSxi8rB2EJG
9o+qdk1U7FEHZ61BAHXXTFpJLHM6j/GhEW4uH81CCbDVNjNaEknAMdTuEbad12no+zJTv2ah5HMv
x2bZRU7G4X8LDU//sCSY8zY6PrIzgPTSfa/DSGvltrNn47aa/CH6nK2BWna6+AErHKEaQuMAPdSk
VUZ2HjAnGKitpTDyzTQWKekdvZ99crVo1g5eNSImt+sC/i/owCEPR1A2pONMCeoYBVLwqZwb+yXH
H8SdoqPCxkDX62NQtWq6we4gPs+CMdme5i9KJA67bhWOWupTTBkoMbeVnXPJpYglKjvg0g8W8kcS
vLqCslVXTbr/lvBNtBuQMTTnqIfAV2UWZYhf1dcu88KakJKhTaz+ElqFrYc1YM4gdic3BopROdcg
q6advaYH6HoxQg23+Yw3jhHND8UaTSCBYkiSZmRLdlTpK9qZxBhUvmgv8tTnuZ/sKLS/5h2YA+Sa
wTCTPUw0b1+vwQgVCQlLzIQokIZdX01rgEKEFRMZdU+qQoHQYlUYpRiphzV4occfs2J39kwBs/VZ
xVlnxE66lXFtaTuAFPq9W6BbcEzGxhtL2dqa31DR6h8ItRtdKhinHT8g6iYTwrT8y9nyyAhvie/K
JxFz+O2XjgyYAft02S3zazu3n9ij5Jna0dkpd5VsIZ/3AlNv9fuYnNTdpGfeIziD7lYgG2JzqAoo
XW53XfeetisIKjmOlR69AtW3aWoZYecyxWDpjA4ESejPuWukIbA178NogPQK+ogoxcxup0t3cZcT
B1IviNuJaZOas48J4paj3dbI4+Np12uVYDShoznorQQlbgaUaZvN0XJDiwf9BmOSrqiax8Wt+4vZ
GYf9mni+B4Vko+k0mMsTEzxuVFEn167wKXjlZBIIZ7HE+0iGQyD28J25/v3kCzswjTQJYkzYN+jE
cMsyBdsKYmf2Dm9g13RMeQJDiYSlcRHPltVK9kLbb17gi/Qnw12MLyPjmp3dI0jLAUgenK613msT
1zN9kp0aWIe7LG2araz64pzrqn0aeA5P/8vemS23jWzb9lfuD6ACiR6v7ClSsqjOll8QKstG3yXa
xNefkXTVvWVXHVfs+7xjR9SuxhJJEMhcudacYw6yl/cu/rwzXdNqvSSgXPJkTvetnYx3Obi8NZAS
71As4+c2cNKzcpLkY1QPJrFfIuSXdB6VQLmgBQkgBNSlbd51M0rCdcqTf+9m/kxSqSffaJohvPFy
4ANLf6HbSRiFUwbesSRiBnWqntdkef37hD9o1czk++YgB46JGX/kdOOtRVWCVaxAEuAWsBkl5jh/
TWF8mqvI3Doybm7dNDUR/3dpoXd/2FsQJTcOAy0OnFgUAL30ATiBuOtWjj9vQwNnRDfOHoogWqhr
4s3ItoUJQduk1J3clZl7Iua3mVOw2AEPtRz7DaBV982aA2oKJyGUwzczVgKJfYJR1uipxH+0ZRbE
bHlxSaLNU+epJr1ci9b/1vf/Vt8DPKK39r/X9y+pjNOfdG5UqPqH/pyeu79ZGqgEIprWIGU8bZU/
SvzA/s3zfRwAeEyBGoXa2PhniR/+5rguxT1gJc+zBBaB/1viA4jBhUBfySPQ1qLQ/E/cA774W4nP
y8Ov41fyLsBF/9RLDEYPXCdCl0MQqAp//lij5yc7CE67amEH2Ftu+c+qClz90MXJszk08drBdkXk
ZDzc2TW4k1CONiGvkYi2kl72PQkFDRtLpRNTYGvAFgiObdQ/RSOxNXq7ejPtJpcpYXMyfiY5onqx
ME/eN+XE3T1ahnx3idA81QluM0fN7hv8+AKbgNW5b3bj6c3Qc8KX3quNr4RHzc9wTcv5K+ei0M9u
UkSfd0ntbyUtIJyI2cnM8ibYe2NUPdHhYEa9ig3iHIceFQMxfrXxZDguBRxL0rhtAoTHPrhGfDh6
9udb9nwn5FzoKWDwuSCZB/REPwZcFvw8BxrW8TlrxLCGZAIXHvEiStoAlP5OtEibMaj/7pRLdYpx
rK3cYHHoDzr5J5nR+XJF5GwMgFvrIrKnF+xBStdklBIOnJc9hOsGdP9i+vjAEueIKth47bsiZWmZ
5+fE7BJOEBkB8e0CbuKl6dKxX/vejNp4kQtSoTmLCIWIQj0YgODZWx9Ic1zanYEJ5kmyzL4NjYM9
EpArNuLYCc64pMUTSFB9lXPBtUjqUDyFOQaUlbIm8QRxu0ap17j8+t4uKHhk3XPAs22sfH7fAXKw
m6qgUHdHKqMgIXRkbcgWFu1EMsJJSDgBJOjwtwU6KJSBjUcFRPONPwfJkJ9xbaaP56aaCVAkpKdc
u30ZvWQIedP1VeLdj46WTiXs35t4dsOXoM6x2tHnCl/EYHBykwFGt2ttBwjC5WOUBFfuSbMblv3c
h2jGk959a+ai7fZOH7DLkXW6nMJK8fqqFPUJwHW+gPhb+EC+vijUlg6RBPlSJDeIw3kDE/t9vEXI
yNUtx6h5BTKAtzCOCGDbEGZiYxidGQhsAr/2rLuIbKlo1/XITI59M6bLKq6z/j3LaAqn2BRxqZJZ
iluhhke2L7IMrTvBq/TUKIJM/gMMQH797OkPHyy0p1eLlXMF5aSt2EuLEZIsNuc4zwlfy9JhEkcw
Scy90fAhosEy70m3hUShX9Hzh3zejYZnH6eC496qHbU3J5vi6GWSeR/oZG4OFc5kjcteSuG8mUp1
wZq6hXA3UzavLdaNEaPqLA/Upa5zIdsp3Oa2dmSkdkoLMvIG2163FnqDVWwXfCxVsp0lUeF9dPpM
GS/XdxkUyxAfCgXrAQcT8GMmUx53mUGxdBdKwCugSDoKmY7xxEDiEQyXx56xcY52RX+lTGH1NclI
VrrrARadQnrKJyVr/jlUKQV1EMYw3Ui2S/cEAGlzAXikvT8VrFA+ASAHpzSF2qVtU3xbFpc7MvMM
fU+RrlyvYtcIyn09jNoIIMp5ILU+n9c6uW7a9KG1HDomJw/s3vP9mKnmlQn7YCOtHETAfVphtg0d
stD7YFjXjYtV2rWMFpeQhbhiKKvYXsObwMZk+tEpI1rkhS8Tg5MWKT+gcehJVIbY8to7QxftcBnP
jyN3MTDKoNwtqKjX5hi7uDb77ktGKhQ1MZvOSxEW82PgGaRZWJIb25KT5MNwAc6e6Rh8ujKv7dVS
46tZ93huCSIOK4KeuGQjxH3geYcJut+XFgwmAs6qDnSM5ITTwCL88hjHmXMksYrrq9A7vEjfZwUZ
qG55wXL6MAmXJCLO95jXeyZJCAsECaHSaQjnTm06mkGSgMRT8aUSTfVQjPglsCXjusSTllikSmlY
1CTVV8cv7ZsILdQhGwPxXrj+ddA4+zuTJfDcEvT11Sbu6gmthDo2Jdkm2GmidZ0azwig5EtiOd0G
Wnlfr4owSPdK0OrAy1WcxVwRkRvO1c4MStIbY3P5ipEIsBHgvu6EatXHHZr5ylkxw7RfyUvrTj0+
enjhli+Ow4IaqnQtF+jQJPURsUfSmEaLf3bj9k56svxK/zpxtksgqa9n4pFuqn4O7jhcPojSAIoF
E86Wa7xznTgXtAXaC26S5Dia4b7XZ7hltMdN1+bNLRKGGrvwEN1Xo2Q1UURQpUYzPIiKoKB4Qi/S
h90S78chtc9Njk/jOWrs+gV3v3zkrH2fuGP7QIZKzLmgEw8RaNvHyu85rw1zH3xomaQhAS+arRkz
6YqtaT45UfC00Pj6OMBV3dezW3OGm6paY7KJijuMEhJAbk+HuSELYGis+66L65VXNgmUZzMxz1O9
FGsVESlw6RJy02YLl0iRScEgwZbQ2XASN1uoBBWomyiZPkdU5gWs6MHNdmY5DPQ/2gJ6tCGcYjva
oOOC2eyfrCoPXlMrNDu2QrBBQ4YZpiTl9zh6EDHWk519ntneTxMsm7veMj9PMmhvGw6HZCJNc+Ot
fZgD5w7G+GZ0QutRMW07qTkTl1x4/Te8/PKzCuO6feOgVowXzGVRfEJWmx/jIq/WkMQ/WWqJLkki
og0RUARuBGI+jz3i9QJ1PMdWeTN0tvEBgj5NMgsdH1lh5VdGbvO5XdJsC2vIumRpP77S+Yo2MUab
+7AJ3Q/zMMX+Kq+g/0CzIp6W7kR+axKxVm1QZBsXeAHuxneGacvlonPjePNN05XV53TonTVKiOdo
aMyb3JQvPVviNsm4T2n5vQo4WtmUdWdDuc6naYrtkmeODFERdYIuLx5IYuLjD3ZQk2TnS1pbjEpz
32JibAomk37dzDjskt7hEwYQ/hKIlITDcvZh8zPuyP+09maanMspQAdTiI9R5gBPK7ySAUftrNEN
50g3imIjmpH7wKLlmHBGYqcIo2UTOy3qAo/2zC5k7jMjFWjsSxA73n0Qyv6xlgRs4+xEyQNsAwn7
MoMR6kdasbm7aob42TNbcaqkkW6EPTcEzpEkH0KffUyzmjl4Rvmxs/AHon0qsFM1pnbx9x4na9Ul
yT3qNnuHjFo9mVKOJ9XZGtHBD45eTOPP9UfYv0QfbfoyvNi0fvZNNST8o+U0J7tc2gcypIkjVFU3
bZFJc/JOplrcDPj+L2nqmRsZeUeaIMG5zmP1bHYFo03cVy/JkHxithOtOS8HFBQkCjyPTdiu/G4m
mrrt7BuvKefDbMbWykH1Q5fV43uA7zDRTCrRpGAJHZDJqDyBK+OVPUr3mewLBKLsjgWjUVARZbFv
Jid4aUI++NjM8jHKah9+XhtlW7bD6RBkhFIQ/kGzLMLOieX9IYmAxxHpAQFuUTFsAYc218pM1HCa
pVPvJsua7R0/M9/6JZy6tc968561g/ctIPYNqaXnLock7IsvBFK1h1ACLC50aQXcFG76SNTeAmUO
Sr6O3UiNFtIdPaR1MATD7dQQ0xupol9DUKB/TqToKc/K8W7pgsZ+Zn9DFFMh6hrXWEnIW+5Te93l
RIYiRoy9hyI0bBoNBpl0THgpC6rJ+T1HxRXvQq+qeIBMakEO4/kHqAOP8VjMZwju3VbBgJzXWRdE
l44y4BYuTcPKq+z4E7itqka3lFFjOeFrjF3oYYlQCKzKONm1+aDOhHa5d22VwL0K29bAN+sON8TS
96dZtGofVOl8L9y+e0qm8qad2lMTLPOmDa0WHH7dfQFGQtBf38obMbrRXsbBC4XatPPx8Y6+dC7Z
qArsf2OeY61BF1XcwK1F+ZmGywKtxiGkeg2mrCbP2/KWh8E2m9/nvCyIcwitYoQBUhYrm6YubWva
u/kgjfKL0l1fI6T/SxKzpBXcpO7we9A3T82gKvrEZIPorjG2Jds4kky6pxXpP9S0l5tro7m6Np3t
ynzrp7C5neFer9C4tsMxn1JoDEjGyBrJs8R/IG0O001a8ndywoZTRfd107U7l6aIRDDkNtPHJXHq
tWPLIPbvUSm19+x+x75kB53+Rcjzsx4CQbkeoQmbhCfhOD+HKAEQZPYQU9f6UjrHyeYk6qaJ9bQo
v3sPpUj3f+kc/IMM0v15io2p18b/YjEHNOkI/ixSIXZPIa7r6kPFxODcJ5TuACxpLxs9bV8k618w
lDnOHQq5AVG69OwIoIowkvKWvNaClY8He+u1lSM/lHIUd6XhLWSiwph9GZM+3BJ7SQHoLFVE2VZ6
3bsZm3bIgR6y8KPlGRGS1DmXhxSU92vfZO4butmpf+wQ83fIuYSYunXl0Ub9DMi4ybVMkwNbHLk2
tX7MWSRnxXgqfbt5nQrVvevw7m/BMlaPdhhT0fdtx5/3LLN5NUsHV23M2cjQa6fJAUsY0WXB6dTt
Qvgg3T6Ia3lQ/EEJhaQR3l4mgul3J4L69XoWLr1W3P36S9Ddjr8qq0LwYJ5DpwaiAzrGnzWMORVy
5HVmfXCVPi+7acbZYBAFx7Vfv5CW7v3thbApUgY4YHl/vrtITnSMtuCFiqTgK26CEvFA1fL98Ow5
b11K4h5nw5lDCH3f5vU/ffXAtANmu9gCQzvUE+S/itQaQwmfYKX6ILOG4d2EQCVtU0X9WMhDPWPE
W3m9zyHAmEqObb9+cfGz9Cc0YWWA5AotgTfwb599ylwjwkBfHxgp89vHKWacAn/CeqqyjmOzIzw+
/OgopPgxslKUE9XAwa+K/eKA1Vk8Xd/Qf9ub/9reDBy+m/+9vfnxjQy8Ku5/xKOwLOof+6PBiTf2
NxZJ1/Nc1Ko0Lcka+6PBiULxN91Y1F1PFrs/PbyaVY12Ua+vPGpXFN+f3iD3N9juwsZUAOWKVfc/
YlX/uJ46HG6RSYQCij1iCYvH7MebHI5Ii5Fx8C7lWJTLmv11uBAm2XureWq7z3+5MP+wev/4PF9f
DOGcVnmHDqLMnxfv2J215bZ3LonB0b9yagvM5Ri+oCPTD5Ne8mLTd97CMZP/slH940tjjjKDADw9
F/XHz5kauZh7Im4vyB546VDS+hvVxMyB8o+RYjCzqgDyoOWGmYceya8/+Y/7pP7kvuXQog4At/HF
/fzypFbFVYiZ8VKUBs2jwKBGWZv9wNaTAs5kGq3bPb9+TevHJeSPF+VWcRitgl/8ORGwamCNxU1o
XVyrYtlgAni0So+uJhCf8KXp3eDspEC0WLsHtpKkH/p3j97ovjCwt69bMFf7hq7dfOgMScLpsrDo
egEpKevIHU1xGptIiU261PQ5OpQPyWYuKvpYv/4cP+bwff8Y18Y74wHEBT8HGgRTAMsaFOmFjiX3
yoDKey50Ty4AYP2Efag+zbnbvf/6VX80CfzxqshhGSDwYPD/P94wNBL9bHaluGRiFE8VLLY9g+nk
m5nN7QW4yPzgOo24c/2QtrBK6EL/+vX//mD6FDp24DNx5775+VkZw7ACNjSLi0dQ5UOqHxii/+b7
ePzX/fynveb6WSEF8GTpDY/Rw0+LQKT8vjLNQVycNJwfDMiIOZF0gtZ2ZNvdO6Qg5200Pf10mnSZ
G3/iYTGYI0JTSox/+br/6YPjV2S1BD5n/+2utRyjDlszMi9D3/KQOH5U1GerL80R9F8e/n88JFpX
xnPJ//y/SdFFkxFLYY8W809GkZVK6BNfO7eDb9anUurG3UiPFFI+d3lYLJSMYzjHRKMLA0k3eOCT
4Y3zQ0x/N97mphWc+3wMt6JnVpMkYzvxWzOeMhdr33QTYuotdr++V67un/9XKF2/QB9oKxI0toqQ
O/bHmzUr4mgIVCguERqpdrdQjR+u9w1CoOZVSlwiAGhY9xQXsAwwxMXpQunWqbA9IGmnfCAKm4yx
ZVoKuRGR2b0H0pwffv0+/2EV9Ek+oZ6ibuSY8tPbNGawJl7kiIuL24A2vW6Qi4YGuSDW86kt5L9V
qnoH/UsFibWWXs/VbYACEKHdz69Y9rGVkX3XXSY6eyfGI+4b2Cn9F5vW9mASq0QuEA3vKI2o7HGC
J6gAEEM9plAjG056qn+3IRjf4yJP96bBQ0AqOgunvieulwhSDpsXcoHw3I0+zXTotWcDxPLR8vlA
i2KA8+vL+L3C/uv3zWbNoYORpHAgb/yNu7GQ6+5TisYXQEOk1TdqkZvMN7IP6JZUf6jGZJzgEY2k
UVkuzCS0HGWU7ELQVBkh7aZtrhUdyLWVwRQ3y97fjVeAUuJ1g6BVSeg98YkuzSXTXmiBmMlkPDdG
Gfcb069J7Z6uTCamprRxQGLxZGQa2MQWoNlNGZMAJ2iqy6CpTkFXZmerDOq7MaMXvAlqiVweU6Dx
SSg/B+upii8m0slNQR2A5VQtC8AAggPfFXJdj6CDpNqkPfv3DTNXbD2tnTX3wHVRAc1X+JSjOVSu
D9SQFptvNC9DVWTTxo58/zHER2CiXgb1RjuNZsiqdGPYTqEX0sTzeiv4HX2yhM5fdn1ObBNEHqZs
gyOPVgsn/hhxOjlb8UC53YzRjYmy9FFNI5NMn5a9vGCPgamVkarqIqewkFqWsDmbe58Yd7lGTZJE
myCbwpc4Gdh2c+4Rny4J9KFahSACElRHlAbh1hc9YyLmmu5bFzqUCVXAakMJqMe9DbtAlyp+jKN1
kYBkR0OPi42h5kx/zj/Dw80HdmaRCAhgy3ceGGkUwME8u27PYLtAhsXf+WFNOgdHJ06TuxFH75eg
yj3mHVZi0oiEtIhXO76TlgP/FZdm3XK2mkxz+UTiAH7jMYASRR3wOxCzmuMfo0E/tKKdtdj1Z7Qj
7idESu6q9ZrknRtl/hoPUabHxnG1MQe+nnUS9RAZ4sZFlO2Pa26s0rQZCFTzHKwUapIVLs93pyXb
kEzRuHkC1kae8VgFTFNuqgrbwpNPMJcZcgPgo/Y3pV8GGCN7IE6Bh2/BDSOL/xfWZCHsB3VnYK9N
laE8gJm5CJtPRkLjm7ebZ5XcMGkog50BvndfLDAuavpDoNq00dmMA4ohVnDnrQXjBO6NGbCiZRUV
z7PR8Y2piLluqRRTsNEP9chMT89SxV0JY02wmTpVy+9A/wWNGjVjirJs4UulvWqsTVMGmymcuL2q
mMk90iKW7NSJL4PP8HK9KM95i5iYrOLUpF7tC+2gKCdcrtESvtBG7N47Oj5HWpssPA7rkO+U4baU
uHVpXiaMIsls49erVg94OXHUJ8q66GXwsBHmqqxP5KNZTy0WQf5QXdBX6RHgIcTxaWYWTghvVoie
fxMvM58JnZq4+z5JXHw9WwxcLo602KlXfUGqFGZFkd2hqGSJ4VwdnOO2DM+hT1L8H2QygxX1ukZS
wwXnyGUTvQ4Xozro3luyawcMJI546rqBv72+W0YbjM9s/MD3NWUnKa9uqu5hofK3eeHRAGFIx4A1
pqmDW1cg6qcyVHoUP0Lb2F5FA0PKccMuMgtLgMX23BM9u1G6elQW156IST4ljySvlCdj957W3AxY
Prr3UeroBUbYyAvy0X0LCnZRvJ7de1Ow27Zh3L5meUn1O6edergWCgv5nupmzgrvuzop6wq+2pY3
g/Yse2cMwGgs9W37iBDWvEOJyLi5jpBrySKvz9xGfHe03Cne65aNp6PXA1p3fjAzkyK8BtOLNCJv
XqNBUwFUjiZkGxHZ84bFgQk4U0JVH9tO8s5HfmaEIzkpRimGpMV0LXAGXarkC+P174cfW+/JKoP2
tsGyRrSyY+QtPETwL6g5ocxANXId0M7w1/ZsO7zBxkLJvdLRhtkW9Fj0O8ZsXry6PkKCLFKm57PU
ZRA7D/C96RI4EwlhYcd31EQBxR3/GMaCDbhyXNa2Wh9VYC6ne6EQFLAM2EePb/qu6mz/yMepTzYD
+YdUDYR1ECPAu2WKJw+MFcVdr29PtyrEnUnaL3hksAYEM4yUqw6T7+G2mWIjOZQJxng8VZDbVqAJ
GNjS8OLNgC6mCefkuhUngvBlHlP/KctJYN32rZnuUWBzj1w7UkkJlno1N1imvi8CWDzh46TAF4kb
TsMzsEv7SAw3D5ynX76ckAtcVQVFL5rXTBDAysRMHij32wPUdr7V1OrACLKRcx0mStCwSqMXWD3z
/axi700GmEpz3K0YBtLF8DaxyxMvZcc7ud6JDhO57jSlLAGuoEbffheSOHEbd/chnOTpGNT6C8pa
bPc7q47aQylpf6b9MkOV4zjagR/oKYqsYKAGshDxPiqTTqetc3ksJvz4oTKOIc4cCKRCtJ1xACgx
rljnwwLSZ6gFFQ3Ve8vk8P76CdmJqJE7jxVI1vidrgfeZTKa14Xu8tMYc0RNWbrN1cSR9mlo+Zc1
Dg572+sqbQGGVXyvGK/bplpM7qimgDxiB1cVB1nE58oKDCAmVgkfe+Ako6+abMY5hEYkwENL/XYS
j0+Rp5Hz1gw9z2ul9VMMKHmsFkU4k28vNraHAkWCizLxHTMZDxeuf1bHpJMAxhNueWTdeTQ/JGnk
2dsJGCZ8cxc1j4sVyX2Y5QSMm5kJ0hhDmu7bH4qVFOFNpTXMTGidY97WRr3FUjIVN+Xo8dPFkFjt
I7bqiYo9yrnQ8C/EXZpd177ZIserjgWLPKVIrI/kTs95BW1nfVr0Bfi+FumD+5hZrAt6YZWxz45z
vXejeGZbm3tCs2Y/Vb9LtqHL9f50rCHaZzQC9uTqOfmtPwTcIoEJC8PBpHuTxApx5/cbopzK4FtD
8A2zIznKg5HBbiy0yDsmF+Hpeld4ZJPS6iaRmflmxYPcVuIOlyyPTt5pbjdDJAFbwb2qmRbceX5r
0YTAYYq+J9Uf6HtbFc8pzBVn4r8pCiG5Yb0Xd1Cj5IFbTjy5iVdPG1HEPFl+1LLDoESzd3XDTTNk
Nau9nYoPMM1AbSYLN7UJFW7QIg55uK6ATk6WKxJSn4vdR1fFC3JrPC3+pJtBbEBEe8W2Ahg69iwK
hIWO0Y5ArJDlatDvNhuwi23tVvG6caPmh1I5HAkajmov4YxGJXZjPvegRgDAk+X0xiZzJDA7SS0E
gRMM93zoh7FKPghtMjkSXyjupKmThdyg1/qntOZuN0W0yKfeHShCYiMPX67i9wpjAZ/XDydoaJb/
OARz+QFFMxlrkbHOw6w7wCTH9SNZ2ac8zr7FNiYYX8MrbI8j9XqsbR7gGU0demR2JJVOy7qn5RlS
oSjvJc8U1zlt+EJrd1rmPYnh9s6s4Jsj2K6Zc49zeUTKnN3aTifEml2zPHKynw9arYL5uWmq26gm
5DmcC+oFz8Kl71Bkar68BU54nrvevIFHgmQsi3DAr0NEAnfwNaGjkMhYHI3aogtDl21YtwXCmsc4
s/h6ZNnw1zYUXCTbXeZ7OoDAh+yJVDjULATajNQ4pS7p2iSYHwgOo8KbW2M9tEiUrgflnAnDabJD
HtUwaRllmJK3hyqFZpNVUx8g5OGdztfNJEJ8/rq4aZ1/rakx2V2QH2wR/cDWR+n+EuHP1ZFlerEz
QYsAksgalryeNa32ZlRL9NMYl6EWPKdhzMysCcXdVZsnjL57txYVbDxba4a4nYCfeRb7p2TWcxjK
mNVq8VLrScd8r6/rZpjlLI7IZm2yAiueiULXm00UBudSgnffALlljZ6d5jUv8DTWPeueRJB21xc4
J9LIyG+M2t15sV6Zl6VmB+JslxwsN0m/OqNndie3GXjieu30cfM2PJMMoCuMtj4NWhVXEsnrHIm8
Nf0jB7a51w5TBqRA+Pd13w27Qkc/c1ZBSGjmi3gKAmSDsxuyKtHn4ZL4YF/pNUUWJ4nrvMpjyveU
0LHeXMV6jTvzPCwxm9H3ktk1y28ec+cVXbLS3MV5SRaSp3prxysnT3hs5mcwMss5wXz/jMQh33Q8
IazOnHaWHcpKcut8rzShvDmNcS+v6F3KaTC8trTng4WQ7cvQ2O57RvrZ14Kq8ltdzB3l9sQsmLrK
onPRmWehmb6FpvsiVAb0O1yhvy2YnnZLHkJ74yLguoNBFWzizEs/lk0fP3rU+PN6KPH65BolrAJX
3UG0i54TGI5f6lbxm9wrdTi9EoiXK42YARtoBggWEoNKOHrf513/nfD824SHwQIdz19MeL52/f/5
RxX795/8U8Xu/+ajNPfo7wvXsh0tVf9TxW7hX7XCgKnHddZi0af6c9Jj/ubZpiC1B6yZzXAC7fuf
RlX/N/g0nomKnbG35uT/Jyp2L/ixGYa03tbgV0cbaYl5YmT/Y5cwVg4qzixOoDz5w6kOKkoZqA/d
yValsykcrVfOB1s8MC9H2xvjskjndFNogUueSAP5FQCHnexD+UgvwcCfWVA24iTcEyzMjnnVzCB6
a3fwLlHSzFpUwzjFl7shGyKtJ3HQ3WDLJYTEyV1vM4bAo10t0WkjDvZBPiCTVrHEpxHEz6LqiNwc
XSINQy/7BD/zRVy1P5jn1PPSj7RqmaHv0tEwN71WC8VaN8SoDgnRrNVEbOgIixYjAn+JSe/Mj4hm
I00fDVJtXNKoybpNQkb3QaKUu10mVa1mrV9atJIp05ommPT2DtFpco+1DJBUuOhPjtS22zJNSTep
VkfBbELvlEyqfIwTl1RNraPCiJNufBNtFfvTc40ATVu5xtvAUbtgRJpjtKBCY9RmIEBTp3/MUY/e
EzduX6KrkItUEURdtRpgXBSBsWzw6oWQrEYspyzrKw+l34b3jIOnQ8Tm1PhdLAM/TjTbH4c8bw60
JekGoC8TQ/IhRmXAdqrgpm/8MYGH4k7OCoP+4px7BFuwCiqvByG09Kuo7A+YG/tnp1PIf5p0EVtj
tAg4zRQCONlVLt+HO5yBkR96ZHKp1ssNWjmXR/1LVOEGI5zmWeXKWYfKrD7rzOkbkSAGKlWQYJZT
21j0LqTMOH7onMrG9ecTPBhkJWyvq5AvLMrEXzVl7X2Ih867z20jAn7qj6+RjKwLsbjZ1o29+ayW
5mt/lQtWavG2UZvG9wuavZuZfUVmnr0GBTWfC605LATCQUJzo4uw+0/4gStk835+TK5yxekqXZyv
Mkbsyt1nc2qHb2k2MogpG/cEf8B+zD0wI0THDOiVutZb92PJJZuaUt6iHf/MbjvcGcDXttZkfnWq
8jOQkJosXLdqj6PWXRZagakKX3SbUqrgFcvI8LQYQ73OxqhAnhIh4FzoeJQH8yrsjLy6KvBaTdNn
xPy1uRGKo9m2M1pSUnOtDsWEam1dH+Mvx8/RJGYbHWmuFaVNSyd5PQsVXUYEp5MrXpcufDXlALSf
tqP0zZIoIy+lW+P4SK/2QKdQJGoZq4ueNY6arybHAxJptNhVatmrW1BXfUgKcnUqRMIg9TwLABNr
B78BX4jdJVjZ01PghdNxxihG3eyBdF8PcTdZt91VeBtE8NzIRGxey6swV2qNrjS7XaZVu6PW70qt
5FVXTa9W9w7IfFHRJcf8Kv21yKQqD0MkyhDVm8pOiBCzfJt2+CpWZBy5tx1BlFvfrpMjJ16xbZt+
Wnm+YWxE4wUfHVkqd9UvJyK+jUPcd8k+D9jeI88ydm5EeRuaatpVTkbrC3rxpxnHxabM2ukUpD5d
vZ7MD3pRFDudk69ymbkXmtL5tvFyvAhTUq6DMXcIVyzbmyy3weKjGtqPEI/Woyjj22l0J65AthB/
WZju0cVhcYta13iZYmSrBWgpwiLKomtoFsY1hbJhl7usOXlq/oRfloAxCujjvETL1uVPnQrXrG9F
YZOF5TrGLDFEtxatcZJf/WNOv4+VSrYXO5T2E3AELK7ktm4SF9THWjWLwuUc1SS+Fnn+ulD64LTw
pxMmrGzFAoGrJ8io9ocE7KYfyh3dPLGal/GuWGL1jS4KOZs04HdESAOx9tNmwJDTfXEir914foI8
MvF0mpFlDseoVAUtrEie02L4rMlAOzJEx0O1tBNPaUS20Kpvpokk2jLtv1gVu83Wd/zu7JRRuBtj
8RgzGjnYRkmUu6n5nVWQ7QvfKFeo8A5dw2lLsMECwgZJKWjmHixZmUdT+YJIrjw5ehMRwXoAfPL6
yVyxYwe7rjEtQoxESOK9n9KoKx4ib4G41cX+nmKdfKJIk0rpPdW04gO07g1r7yTGgra51dLuESVn
wjhvN6a2fIt6bdSzpdYuj+ht0sSUgyYGr7yARgMxM9y4ZH7fqL6NiJtqT3NZtuT7zt074vEZHFgz
MR4o8ETYtMiXwUmOcsG2j0D3GLuSbims7yGffi9LgoxNOmZbaMXPtZDJMZBdfBgm7AplFNyNInro
u8q+s0viqoNhdC/AQMudNLq7WGUPg9kZlynJ7meu6w0oTounsbiL/XLZzV4esjWmsWuuvLHzCKVG
UunkYChQUxJ8K+lwPDs5/bhp4Lo+tEMae4TB9TTcVGfG9RaLkpAr6wpJpqejsOs7k8Yne8w5zG0S
hRyGy9QMjU9Tp6HLKS6JBZoQhDTOwprLPOeiIGHF74VQh8ZNH11fR70t19i3Dvs14wzaXWusYRDT
Mjpt+FFxFahrcpw5kGFu1ZaRbBqy8T7azTB/LGtzvvF1+tzQkkPXKgOz/Fj6UFiFovFhevnE0l9U
XAMEggel8+xEyYoZ5Ib3pnTaHfVcdoMFYbBXrk7DC5YBpJlZdvhS3C0EtGmnrul51mDsux78e6eC
djcFLYjJa+BeWbG85vS8MJkrpA14bOMXR0UNaCxA2LKhaYITB+5TKhfiKUwopasJ18y0YncDuFU7
jX2SzVAm296SmIsZow1hwHlpNHcuBAiaOSqBi9D5AxaonIO26gSAkCXoxuF4lSUXSW4cjWseIecy
qDyIMcIPwjW8fl33S5vucpeOcx2EjBsTe4CXroMOyY3+H/bOrTlxI4jCf8W171C6Cz1sqmKMvcZr
782bdfJCyaDAgJCERkLIvz7fCLOLsI03kR5SqejR4NbQGvVM95w+B4ZOaLbnn3qzdPWZ4nGB7ptT
in4MKPJCihEZLCiLdw+VjiKohjWaimXqgmeEDeRbCN3W2Ugiv7islBghay3vIABFalvaF2YG3ToS
5yjwKBQyp3/U7qB8R90RkXaEHjtCTgfmprO8sUqVxLIDWoX9JaQxl3Dea99GSjdymsCeDje6iZxk
UklLykWm9QVMT3cE74eBiZNgF9bv4VpA1dYlxTzliQK+DRegAE/hs4LtNcvn5Wma20Y/g98t6VvO
DILUlQTW7yxm+QBCyevELpJzT+lkFkox06nEM0Hf2J9kJakpqU1fWIqeAVk6c9irxDfDyConKEKi
lsye+yvqiO7VyIKaQDFAuO+lxtbsbDTVp941FLdm3yjdu0wJoCGLxEniFFG0UMmjGRtbu0w5Qk37
8Ng5v5uJxVEwmG8Qq4AtWEsM7zqcl2VgIP1BVVDoPvFUDEXR0SkhWM7dGhqbEnqVpYvc8AoGkTP6
7mEMyZA9L6PM/Axu2xzYThGdxpzfDjhc8y7AkOcDe7NeU1NZFzelhPxYwlpxOo8K4OD2Au6HRTLz
y1WByJIRx9a5LmJgZomegKg11hn8/xsBsDNbDToO2ufGWnMnAJc274EkPdz04KL9kiAnaveJ5/M/
40yXt4irhHdTXUMrExFqb0iP7mhIS442RCAWnBPz9UpbTZ1P5kNW9AstQRqHwvGg8wBhAuycyaBE
1IC9v+YMbOT3+jHtPQtC8zI6LxBNvZiHnehyo9FUkXhhcRvT+cUpYTrIkhXKDVNOq+cKVD9X8HqC
xBqSNDosYhemEbkm8pn078IeAzR/oUD6ZYXXXyjofqxA/IsKzi/Yo4RLbcUGCrD/rML9u1ULgGoG
WGfoUDpVh0CimgXWVd9AoVoIqqT2//z/1fyf7rOj+T9n4iA8a/RUTvU/O3inZnV56eAfACqm0QZG
Dr+Dd+o6H6lzCkU0Rfv4j8Tf7pL2G6T8lqv07VS5YAfx1JT4HUScWg/IIj1Bxt9J/A/g2uCIbXBB
AJh1AKXk/aossEexO8oLXdijVXGTLydTGZ7Nwvs9bzwD66wD9MDVHNzgoK6QbsxwmWy4QW/ucOC9
PM09X6xvhMfBxCuovAr29gP5ojA8oM5BvposPcBgDwE9pS710A4tHTR/yJkUrSP0vmpOSVHBgNbp
DznfTHvjGWpfGViGxJAoVMacZIpoCOplNV1OQDP03CkJpTXTPPdilE5VAS7KA9HTKJi+z1P0oKwr
4G4Pl6H05qP0tjfXyiuw6PHotlxl53ND2EPJluHjnAwU6VBoO6KsT6yi8mumcEobaweKdgQETY8e
r3C5mi2+0KQyXQM4QdbYjc8YBOu6oI4oT6PcGKagvL+W4BqvwtEqh/mCPpXiHN6U0FxeuRl8JfbG
IQrqCGj80Yk1h9ZGuCxOe6z2ffD6lvnB6rjJw9U882adLwVtvlY0MNdT9EaSfgbh1mZ04YapkFuc
4n8majz+EKVoOaikmz7lQVp+DmQeZnKnRq4+/RiLKLuN/9mXjhs6CfZEo8ZxHmVqBBzaHChq8ubW
qpDVkKrxHrMQ+hk8rJPg7RvT69rAN1zVHFNd8FiEMYJ32487HqhyMKUOWhCKwhTC+P0V4pgTjv++
rTePf6f2C/wJAfVMyCwV42w/rtLeCxD3Z5xwYGLPCW4XGhHKsCBaqwtY9L4TSPm6oKFpOLa2TK7b
G+7Nk5dmwvEf2J4TTPBiBOlmXtDRYzV7Vk9nFVHXgReYChwfwbiusN7q2lbA/0VeYOAKsd7IC0av
a3s2CHiF/FfXgRd6RldRa9Fg9PgFXhhu+C/yAsQNT5R5XwgLL74RltGlf4mWORNQlroOwoJrd9m2
QAvLqUB1sYD/rBd+wlXfo2x/JsJJFV9FIJ8Lwy99YffiPf38MapcTt6+YXPzfZdUfVFt+7b3/hF+
f6k5qXrQex/uHvz+vz/+wKe3fnZQuz++E0Hqp2MUtKrI/zjMG39JlP419O/9pb8f9nhHeSY/RvL2
TW2ce2/BK4bl4sCu6pZobDelhSOqG4YDrQ3DCz+SvtxZUo+RigAvadMh9/0QFZv0gHVqu7o0tg1V
SupP4t0o1ahpKeKlaW4ZJtxxJsZ5bVGkQER0bmr8LAj9wk+DnSU1bJShWnD2biE/if88YTOdL+/r
opZ0vrUwC8/xupjUZ+F2iWjqmYsghqGsbpl4yOaoqeV3eFyInZ1qepuOav5qavhy4s9qE1BHgLOF
EHIJTjSKRf2N5ECnhfl3GU0QW6p7WbG9teCMuDgwSydPc7NXT2MTTYt6C4Z5+vl4Ue4sVfPCwcu7
PzxbsPi+ETq2BLyPcyGfuNljf9Pc9rUvolr04OykjeXl2k/LJ+p6GvuyNoYspT+e5TLIstqcNhCY
bMMlYjwTU7+expFgtPCGXwvFih5ntZlNg67iRmwaPa6FhG5FgsirxSYI3rSWrMd5emi6lYHHUXYQ
Q2iP73nNXXIT3Ke0VtS9bXA83YbptV9ft6hIqSpc08d4ExQn7/xlImeivqxj32vh7VH2h0Eqg3I3
VhWpyEj0loxfBxsxri1jGFdJXxue+R36op2lx3GrTKqx6TjNZid9P41ZKevTxXT01m5w5i8O333o
UVvYknyYibrHLWZLc7d8WITsSOpZDR3vXgtB9kMaTA8rZeSqzcf88RUR9r2i3T9Jx15Tjm1o/kuc
vzARKR/pLTzS7Q2eTkRlvoX94FHZj4a+uQ029azysaTW9OX/mvmz3bxTMQUudKOFtf63IEXcvJbz
mSzFLQTCZ1GrUCO3EEiO8540fIDfXoPcNrUv5DiOpKjt3GCRVszOTSfJt5ePC4+O+rlK0/da5NP6
067e/Ny/1Ytr6hvjMPDTX/4CAAD//w==</cx:binary>
              </cx:geoCache>
            </cx:geography>
          </cx:layoutPr>
          <cx:valueColors>
            <cx:minColor>
              <a:schemeClr val="accent6">
                <a:lumMod val="20000"/>
                <a:lumOff val="80000"/>
              </a:schemeClr>
            </cx:minColor>
            <cx:midColor>
              <a:schemeClr val="accent6">
                <a:lumMod val="60000"/>
                <a:lumOff val="40000"/>
              </a:schemeClr>
            </cx:midColor>
            <cx:maxColor>
              <a:srgbClr val="42573E"/>
            </cx:maxColor>
          </cx:valueColors>
          <cx:valueColorPositions count="3"/>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7" Type="http://schemas.openxmlformats.org/officeDocument/2006/relationships/image" Target="../media/image4.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png"/><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7" Type="http://schemas.openxmlformats.org/officeDocument/2006/relationships/image" Target="../media/image4.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3.png"/><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275766</xdr:colOff>
      <xdr:row>16</xdr:row>
      <xdr:rowOff>152706</xdr:rowOff>
    </xdr:from>
    <xdr:to>
      <xdr:col>14</xdr:col>
      <xdr:colOff>145362</xdr:colOff>
      <xdr:row>26</xdr:row>
      <xdr:rowOff>175963</xdr:rowOff>
    </xdr:to>
    <xdr:graphicFrame macro="">
      <xdr:nvGraphicFramePr>
        <xdr:cNvPr id="3" name="Chart 2">
          <a:extLst>
            <a:ext uri="{FF2B5EF4-FFF2-40B4-BE49-F238E27FC236}">
              <a16:creationId xmlns:a16="http://schemas.microsoft.com/office/drawing/2014/main" id="{A412E2CD-715B-3929-AB25-517079506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229010</xdr:colOff>
      <xdr:row>14</xdr:row>
      <xdr:rowOff>66551</xdr:rowOff>
    </xdr:from>
    <xdr:to>
      <xdr:col>7</xdr:col>
      <xdr:colOff>438131</xdr:colOff>
      <xdr:row>15</xdr:row>
      <xdr:rowOff>22101</xdr:rowOff>
    </xdr:to>
    <xdr:sp macro="" textlink="">
      <xdr:nvSpPr>
        <xdr:cNvPr id="4" name="Flowchart: Delay 3">
          <a:extLst>
            <a:ext uri="{FF2B5EF4-FFF2-40B4-BE49-F238E27FC236}">
              <a16:creationId xmlns:a16="http://schemas.microsoft.com/office/drawing/2014/main" id="{049244B0-4C84-4F03-FD6A-F276BEAEC615}"/>
            </a:ext>
          </a:extLst>
        </xdr:cNvPr>
        <xdr:cNvSpPr/>
      </xdr:nvSpPr>
      <xdr:spPr>
        <a:xfrm>
          <a:off x="7894914" y="2744262"/>
          <a:ext cx="209121" cy="139164"/>
        </a:xfrm>
        <a:prstGeom prst="flowChartDelay">
          <a:avLst/>
        </a:prstGeom>
        <a:solidFill>
          <a:srgbClr val="4257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181318</xdr:colOff>
      <xdr:row>27</xdr:row>
      <xdr:rowOff>162346</xdr:rowOff>
    </xdr:from>
    <xdr:to>
      <xdr:col>14</xdr:col>
      <xdr:colOff>137709</xdr:colOff>
      <xdr:row>42</xdr:row>
      <xdr:rowOff>68856</xdr:rowOff>
    </xdr:to>
    <xdr:graphicFrame macro="">
      <xdr:nvGraphicFramePr>
        <xdr:cNvPr id="5" name="Chart 4">
          <a:extLst>
            <a:ext uri="{FF2B5EF4-FFF2-40B4-BE49-F238E27FC236}">
              <a16:creationId xmlns:a16="http://schemas.microsoft.com/office/drawing/2014/main" id="{A5EC643A-424D-1882-C30D-81751201F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303729</xdr:colOff>
      <xdr:row>44</xdr:row>
      <xdr:rowOff>1682</xdr:rowOff>
    </xdr:from>
    <xdr:to>
      <xdr:col>12</xdr:col>
      <xdr:colOff>53554</xdr:colOff>
      <xdr:row>54</xdr:row>
      <xdr:rowOff>38253</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37B1774D-49BB-37ED-B668-099427FBD9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843469" y="8231282"/>
              <a:ext cx="4017025" cy="191109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478320</xdr:colOff>
      <xdr:row>57</xdr:row>
      <xdr:rowOff>74405</xdr:rowOff>
    </xdr:from>
    <xdr:to>
      <xdr:col>14</xdr:col>
      <xdr:colOff>191190</xdr:colOff>
      <xdr:row>71</xdr:row>
      <xdr:rowOff>160268</xdr:rowOff>
    </xdr:to>
    <xdr:graphicFrame macro="">
      <xdr:nvGraphicFramePr>
        <xdr:cNvPr id="8" name="Chart 7">
          <a:extLst>
            <a:ext uri="{FF2B5EF4-FFF2-40B4-BE49-F238E27FC236}">
              <a16:creationId xmlns:a16="http://schemas.microsoft.com/office/drawing/2014/main" id="{C13AEC37-C23D-8ECC-7CDA-7C4406C82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195331</xdr:colOff>
      <xdr:row>73</xdr:row>
      <xdr:rowOff>138043</xdr:rowOff>
    </xdr:from>
    <xdr:to>
      <xdr:col>12</xdr:col>
      <xdr:colOff>538369</xdr:colOff>
      <xdr:row>85</xdr:row>
      <xdr:rowOff>144944</xdr:rowOff>
    </xdr:to>
    <xdr:graphicFrame macro="">
      <xdr:nvGraphicFramePr>
        <xdr:cNvPr id="9" name="Chart 8">
          <a:extLst>
            <a:ext uri="{FF2B5EF4-FFF2-40B4-BE49-F238E27FC236}">
              <a16:creationId xmlns:a16="http://schemas.microsoft.com/office/drawing/2014/main" id="{5CEF3BD1-3D8A-DD72-16BF-495D371A9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501927</xdr:colOff>
      <xdr:row>5</xdr:row>
      <xdr:rowOff>109055</xdr:rowOff>
    </xdr:from>
    <xdr:to>
      <xdr:col>14</xdr:col>
      <xdr:colOff>303697</xdr:colOff>
      <xdr:row>12</xdr:row>
      <xdr:rowOff>1</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5C6DFEE7-A5CC-092F-AF6D-7A0D701857A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778449" y="1089164"/>
              <a:ext cx="1623943" cy="12437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518096</xdr:colOff>
      <xdr:row>0</xdr:row>
      <xdr:rowOff>91352</xdr:rowOff>
    </xdr:from>
    <xdr:to>
      <xdr:col>25</xdr:col>
      <xdr:colOff>100808</xdr:colOff>
      <xdr:row>37</xdr:row>
      <xdr:rowOff>62606</xdr:rowOff>
    </xdr:to>
    <xdr:sp macro="" textlink="">
      <xdr:nvSpPr>
        <xdr:cNvPr id="3" name="Rectangle: Rounded Corners 2">
          <a:extLst>
            <a:ext uri="{FF2B5EF4-FFF2-40B4-BE49-F238E27FC236}">
              <a16:creationId xmlns:a16="http://schemas.microsoft.com/office/drawing/2014/main" id="{8BE25EAC-82C2-4D39-46EE-C118845002E5}"/>
            </a:ext>
          </a:extLst>
        </xdr:cNvPr>
        <xdr:cNvSpPr/>
      </xdr:nvSpPr>
      <xdr:spPr>
        <a:xfrm>
          <a:off x="3558941" y="91352"/>
          <a:ext cx="11746092" cy="6920479"/>
        </a:xfrm>
        <a:prstGeom prst="roundRect">
          <a:avLst>
            <a:gd name="adj" fmla="val 5520"/>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206829</xdr:colOff>
      <xdr:row>3</xdr:row>
      <xdr:rowOff>125211</xdr:rowOff>
    </xdr:from>
    <xdr:to>
      <xdr:col>12</xdr:col>
      <xdr:colOff>254000</xdr:colOff>
      <xdr:row>15</xdr:row>
      <xdr:rowOff>8943</xdr:rowOff>
    </xdr:to>
    <xdr:sp macro="" textlink="">
      <xdr:nvSpPr>
        <xdr:cNvPr id="4" name="Rectangle: Rounded Corners 3">
          <a:extLst>
            <a:ext uri="{FF2B5EF4-FFF2-40B4-BE49-F238E27FC236}">
              <a16:creationId xmlns:a16="http://schemas.microsoft.com/office/drawing/2014/main" id="{E4896DFD-BAF1-19FC-C41A-7A8620CF5AA6}"/>
            </a:ext>
          </a:extLst>
        </xdr:cNvPr>
        <xdr:cNvSpPr/>
      </xdr:nvSpPr>
      <xdr:spPr>
        <a:xfrm>
          <a:off x="3855843" y="688662"/>
          <a:ext cx="3696185" cy="2137535"/>
        </a:xfrm>
        <a:prstGeom prst="roundRect">
          <a:avLst>
            <a:gd name="adj" fmla="val 5520"/>
          </a:avLst>
        </a:prstGeom>
        <a:noFill/>
        <a:ln w="3175">
          <a:solidFill>
            <a:srgbClr val="42573E"/>
          </a:solid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97564</xdr:colOff>
      <xdr:row>15</xdr:row>
      <xdr:rowOff>71548</xdr:rowOff>
    </xdr:from>
    <xdr:to>
      <xdr:col>12</xdr:col>
      <xdr:colOff>200976</xdr:colOff>
      <xdr:row>37</xdr:row>
      <xdr:rowOff>44718</xdr:rowOff>
    </xdr:to>
    <xdr:sp macro="" textlink="">
      <xdr:nvSpPr>
        <xdr:cNvPr id="5" name="Rectangle: Rounded Corners 4">
          <a:extLst>
            <a:ext uri="{FF2B5EF4-FFF2-40B4-BE49-F238E27FC236}">
              <a16:creationId xmlns:a16="http://schemas.microsoft.com/office/drawing/2014/main" id="{2C244A56-6628-2A42-9DF0-568C988430BD}"/>
            </a:ext>
          </a:extLst>
        </xdr:cNvPr>
        <xdr:cNvSpPr/>
      </xdr:nvSpPr>
      <xdr:spPr>
        <a:xfrm>
          <a:off x="3746578" y="2888802"/>
          <a:ext cx="3752426" cy="4105141"/>
        </a:xfrm>
        <a:prstGeom prst="roundRect">
          <a:avLst>
            <a:gd name="adj" fmla="val 5520"/>
          </a:avLst>
        </a:prstGeom>
        <a:noFill/>
        <a:ln w="3175">
          <a:solidFill>
            <a:srgbClr val="42573E"/>
          </a:solid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426356</xdr:colOff>
      <xdr:row>3</xdr:row>
      <xdr:rowOff>107323</xdr:rowOff>
    </xdr:from>
    <xdr:to>
      <xdr:col>25</xdr:col>
      <xdr:colOff>0</xdr:colOff>
      <xdr:row>36</xdr:row>
      <xdr:rowOff>160985</xdr:rowOff>
    </xdr:to>
    <xdr:sp macro="" textlink="">
      <xdr:nvSpPr>
        <xdr:cNvPr id="7" name="Rectangle: Rounded Corners 6">
          <a:extLst>
            <a:ext uri="{FF2B5EF4-FFF2-40B4-BE49-F238E27FC236}">
              <a16:creationId xmlns:a16="http://schemas.microsoft.com/office/drawing/2014/main" id="{0D98BA06-E6B7-F19A-B53F-26C7A66F3B8E}"/>
            </a:ext>
          </a:extLst>
        </xdr:cNvPr>
        <xdr:cNvSpPr/>
      </xdr:nvSpPr>
      <xdr:spPr>
        <a:xfrm>
          <a:off x="11373398" y="670774"/>
          <a:ext cx="3830827" cy="6251619"/>
        </a:xfrm>
        <a:prstGeom prst="roundRect">
          <a:avLst>
            <a:gd name="adj" fmla="val 5520"/>
          </a:avLst>
        </a:prstGeom>
        <a:noFill/>
        <a:ln w="3175">
          <a:solidFill>
            <a:srgbClr val="42573E"/>
          </a:solid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398503</xdr:colOff>
      <xdr:row>3</xdr:row>
      <xdr:rowOff>107324</xdr:rowOff>
    </xdr:from>
    <xdr:to>
      <xdr:col>18</xdr:col>
      <xdr:colOff>371289</xdr:colOff>
      <xdr:row>18</xdr:row>
      <xdr:rowOff>10605</xdr:rowOff>
    </xdr:to>
    <xdr:sp macro="" textlink="">
      <xdr:nvSpPr>
        <xdr:cNvPr id="8" name="Rectangle: Rounded Corners 7">
          <a:extLst>
            <a:ext uri="{FF2B5EF4-FFF2-40B4-BE49-F238E27FC236}">
              <a16:creationId xmlns:a16="http://schemas.microsoft.com/office/drawing/2014/main" id="{4EDF6F44-C0BA-9712-5BFA-A3840F73E681}"/>
            </a:ext>
          </a:extLst>
        </xdr:cNvPr>
        <xdr:cNvSpPr/>
      </xdr:nvSpPr>
      <xdr:spPr>
        <a:xfrm>
          <a:off x="7696531" y="670775"/>
          <a:ext cx="3621800" cy="2720534"/>
        </a:xfrm>
        <a:prstGeom prst="roundRect">
          <a:avLst>
            <a:gd name="adj" fmla="val 5520"/>
          </a:avLst>
        </a:prstGeom>
        <a:noFill/>
        <a:ln w="3175">
          <a:solidFill>
            <a:srgbClr val="42573E"/>
          </a:solid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390070</xdr:colOff>
      <xdr:row>18</xdr:row>
      <xdr:rowOff>152042</xdr:rowOff>
    </xdr:from>
    <xdr:to>
      <xdr:col>18</xdr:col>
      <xdr:colOff>393521</xdr:colOff>
      <xdr:row>36</xdr:row>
      <xdr:rowOff>160986</xdr:rowOff>
    </xdr:to>
    <xdr:sp macro="" textlink="">
      <xdr:nvSpPr>
        <xdr:cNvPr id="9" name="Rectangle: Rounded Corners 8">
          <a:extLst>
            <a:ext uri="{FF2B5EF4-FFF2-40B4-BE49-F238E27FC236}">
              <a16:creationId xmlns:a16="http://schemas.microsoft.com/office/drawing/2014/main" id="{A9F5E414-9C69-9A04-0546-1CFCB849D9A3}"/>
            </a:ext>
          </a:extLst>
        </xdr:cNvPr>
        <xdr:cNvSpPr/>
      </xdr:nvSpPr>
      <xdr:spPr>
        <a:xfrm>
          <a:off x="7688098" y="3532746"/>
          <a:ext cx="3652465" cy="3389648"/>
        </a:xfrm>
        <a:prstGeom prst="roundRect">
          <a:avLst>
            <a:gd name="adj" fmla="val 5520"/>
          </a:avLst>
        </a:prstGeom>
        <a:solidFill>
          <a:schemeClr val="bg1"/>
        </a:solidFill>
        <a:ln w="3175">
          <a:solidFill>
            <a:srgbClr val="42573E"/>
          </a:solid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209411</xdr:colOff>
      <xdr:row>3</xdr:row>
      <xdr:rowOff>152041</xdr:rowOff>
    </xdr:from>
    <xdr:to>
      <xdr:col>12</xdr:col>
      <xdr:colOff>250422</xdr:colOff>
      <xdr:row>14</xdr:row>
      <xdr:rowOff>160985</xdr:rowOff>
    </xdr:to>
    <xdr:sp macro="" textlink="">
      <xdr:nvSpPr>
        <xdr:cNvPr id="10" name="Rectangle: Rounded Corners 9">
          <a:extLst>
            <a:ext uri="{FF2B5EF4-FFF2-40B4-BE49-F238E27FC236}">
              <a16:creationId xmlns:a16="http://schemas.microsoft.com/office/drawing/2014/main" id="{ADF7AF1B-799F-52A8-5232-03E5B1C4FAA5}"/>
            </a:ext>
          </a:extLst>
        </xdr:cNvPr>
        <xdr:cNvSpPr/>
      </xdr:nvSpPr>
      <xdr:spPr>
        <a:xfrm>
          <a:off x="3858425" y="715492"/>
          <a:ext cx="3690025" cy="2074930"/>
        </a:xfrm>
        <a:prstGeom prst="roundRect">
          <a:avLst>
            <a:gd name="adj" fmla="val 5520"/>
          </a:avLst>
        </a:prstGeom>
        <a:solidFill>
          <a:srgbClr val="42573E"/>
        </a:solidFill>
        <a:ln w="3175">
          <a:solidFill>
            <a:srgbClr val="42573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435555</xdr:colOff>
      <xdr:row>7</xdr:row>
      <xdr:rowOff>35775</xdr:rowOff>
    </xdr:from>
    <xdr:to>
      <xdr:col>18</xdr:col>
      <xdr:colOff>321972</xdr:colOff>
      <xdr:row>17</xdr:row>
      <xdr:rowOff>169930</xdr:rowOff>
    </xdr:to>
    <xdr:sp macro="" textlink="">
      <xdr:nvSpPr>
        <xdr:cNvPr id="11" name="Rectangle: Rounded Corners 10">
          <a:extLst>
            <a:ext uri="{FF2B5EF4-FFF2-40B4-BE49-F238E27FC236}">
              <a16:creationId xmlns:a16="http://schemas.microsoft.com/office/drawing/2014/main" id="{6CC57ADF-C152-172C-E9FC-AACD254961BE}"/>
            </a:ext>
          </a:extLst>
        </xdr:cNvPr>
        <xdr:cNvSpPr/>
      </xdr:nvSpPr>
      <xdr:spPr>
        <a:xfrm>
          <a:off x="7733583" y="1350493"/>
          <a:ext cx="3535431" cy="2012324"/>
        </a:xfrm>
        <a:prstGeom prst="roundRect">
          <a:avLst>
            <a:gd name="adj" fmla="val 5520"/>
          </a:avLst>
        </a:prstGeom>
        <a:noFill/>
        <a:ln w="3175">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125211</xdr:colOff>
      <xdr:row>15</xdr:row>
      <xdr:rowOff>134154</xdr:rowOff>
    </xdr:from>
    <xdr:to>
      <xdr:col>12</xdr:col>
      <xdr:colOff>217969</xdr:colOff>
      <xdr:row>36</xdr:row>
      <xdr:rowOff>170443</xdr:rowOff>
    </xdr:to>
    <xdr:sp macro="" textlink="">
      <xdr:nvSpPr>
        <xdr:cNvPr id="12" name="Rectangle: Rounded Corners 11">
          <a:extLst>
            <a:ext uri="{FF2B5EF4-FFF2-40B4-BE49-F238E27FC236}">
              <a16:creationId xmlns:a16="http://schemas.microsoft.com/office/drawing/2014/main" id="{68DC4788-CB0D-BB08-EA1C-231DCA703838}"/>
            </a:ext>
          </a:extLst>
        </xdr:cNvPr>
        <xdr:cNvSpPr/>
      </xdr:nvSpPr>
      <xdr:spPr>
        <a:xfrm>
          <a:off x="3774225" y="2951408"/>
          <a:ext cx="3741772" cy="3980443"/>
        </a:xfrm>
        <a:prstGeom prst="roundRect">
          <a:avLst>
            <a:gd name="adj" fmla="val 5520"/>
          </a:avLst>
        </a:prstGeom>
        <a:noFill/>
        <a:ln w="3175">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444627</xdr:colOff>
      <xdr:row>19</xdr:row>
      <xdr:rowOff>35775</xdr:rowOff>
    </xdr:from>
    <xdr:to>
      <xdr:col>18</xdr:col>
      <xdr:colOff>290412</xdr:colOff>
      <xdr:row>36</xdr:row>
      <xdr:rowOff>169929</xdr:rowOff>
    </xdr:to>
    <xdr:sp macro="" textlink="">
      <xdr:nvSpPr>
        <xdr:cNvPr id="13" name="Rectangle: Rounded Corners 12">
          <a:extLst>
            <a:ext uri="{FF2B5EF4-FFF2-40B4-BE49-F238E27FC236}">
              <a16:creationId xmlns:a16="http://schemas.microsoft.com/office/drawing/2014/main" id="{0F81D3E0-382B-5812-CC27-E4D47BA6BF40}"/>
            </a:ext>
          </a:extLst>
        </xdr:cNvPr>
        <xdr:cNvSpPr/>
      </xdr:nvSpPr>
      <xdr:spPr>
        <a:xfrm>
          <a:off x="7742655" y="3604296"/>
          <a:ext cx="3494799" cy="3327041"/>
        </a:xfrm>
        <a:prstGeom prst="roundRect">
          <a:avLst>
            <a:gd name="adj" fmla="val 5520"/>
          </a:avLst>
        </a:prstGeom>
        <a:noFill/>
        <a:ln w="3175">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489856</xdr:colOff>
      <xdr:row>3</xdr:row>
      <xdr:rowOff>178873</xdr:rowOff>
    </xdr:from>
    <xdr:to>
      <xdr:col>24</xdr:col>
      <xdr:colOff>562429</xdr:colOff>
      <xdr:row>36</xdr:row>
      <xdr:rowOff>82155</xdr:rowOff>
    </xdr:to>
    <xdr:sp macro="" textlink="">
      <xdr:nvSpPr>
        <xdr:cNvPr id="14" name="Rectangle: Rounded Corners 13">
          <a:extLst>
            <a:ext uri="{FF2B5EF4-FFF2-40B4-BE49-F238E27FC236}">
              <a16:creationId xmlns:a16="http://schemas.microsoft.com/office/drawing/2014/main" id="{D55C48B5-BA2A-CA40-1818-4A6DA8F736A0}"/>
            </a:ext>
          </a:extLst>
        </xdr:cNvPr>
        <xdr:cNvSpPr/>
      </xdr:nvSpPr>
      <xdr:spPr>
        <a:xfrm>
          <a:off x="11436898" y="742324"/>
          <a:ext cx="3721587" cy="6101239"/>
        </a:xfrm>
        <a:prstGeom prst="roundRect">
          <a:avLst>
            <a:gd name="adj" fmla="val 5520"/>
          </a:avLst>
        </a:prstGeom>
        <a:noFill/>
        <a:ln w="3175">
          <a:solidFill>
            <a:srgbClr val="42573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411409</xdr:colOff>
      <xdr:row>7</xdr:row>
      <xdr:rowOff>44719</xdr:rowOff>
    </xdr:from>
    <xdr:to>
      <xdr:col>18</xdr:col>
      <xdr:colOff>304085</xdr:colOff>
      <xdr:row>17</xdr:row>
      <xdr:rowOff>116268</xdr:rowOff>
    </xdr:to>
    <xdr:graphicFrame macro="">
      <xdr:nvGraphicFramePr>
        <xdr:cNvPr id="15" name="Chart 14">
          <a:extLst>
            <a:ext uri="{FF2B5EF4-FFF2-40B4-BE49-F238E27FC236}">
              <a16:creationId xmlns:a16="http://schemas.microsoft.com/office/drawing/2014/main" id="{D63E46E4-4D25-45C1-A106-3D1917293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134155</xdr:colOff>
      <xdr:row>16</xdr:row>
      <xdr:rowOff>143099</xdr:rowOff>
    </xdr:from>
    <xdr:to>
      <xdr:col>12</xdr:col>
      <xdr:colOff>44718</xdr:colOff>
      <xdr:row>36</xdr:row>
      <xdr:rowOff>160987</xdr:rowOff>
    </xdr:to>
    <xdr:graphicFrame macro="">
      <xdr:nvGraphicFramePr>
        <xdr:cNvPr id="16" name="Chart 15">
          <a:extLst>
            <a:ext uri="{FF2B5EF4-FFF2-40B4-BE49-F238E27FC236}">
              <a16:creationId xmlns:a16="http://schemas.microsoft.com/office/drawing/2014/main" id="{4111AAA7-03F6-4A96-9436-8846BD7AA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535215</xdr:colOff>
      <xdr:row>21</xdr:row>
      <xdr:rowOff>17887</xdr:rowOff>
    </xdr:from>
    <xdr:to>
      <xdr:col>24</xdr:col>
      <xdr:colOff>544286</xdr:colOff>
      <xdr:row>36</xdr:row>
      <xdr:rowOff>26830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CBEEE440-4C6C-4890-A993-EE27A9366B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370855" y="3858367"/>
              <a:ext cx="3620951" cy="275214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453571</xdr:colOff>
      <xdr:row>5</xdr:row>
      <xdr:rowOff>89435</xdr:rowOff>
    </xdr:from>
    <xdr:to>
      <xdr:col>24</xdr:col>
      <xdr:colOff>580571</xdr:colOff>
      <xdr:row>18</xdr:row>
      <xdr:rowOff>178873</xdr:rowOff>
    </xdr:to>
    <xdr:graphicFrame macro="">
      <xdr:nvGraphicFramePr>
        <xdr:cNvPr id="19" name="Chart 18">
          <a:extLst>
            <a:ext uri="{FF2B5EF4-FFF2-40B4-BE49-F238E27FC236}">
              <a16:creationId xmlns:a16="http://schemas.microsoft.com/office/drawing/2014/main" id="{6EF6828C-3C98-4BF7-B222-C21575F89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453572</xdr:colOff>
      <xdr:row>22</xdr:row>
      <xdr:rowOff>17887</xdr:rowOff>
    </xdr:from>
    <xdr:to>
      <xdr:col>18</xdr:col>
      <xdr:colOff>299358</xdr:colOff>
      <xdr:row>35</xdr:row>
      <xdr:rowOff>169929</xdr:rowOff>
    </xdr:to>
    <xdr:graphicFrame macro="">
      <xdr:nvGraphicFramePr>
        <xdr:cNvPr id="21" name="Chart 20">
          <a:extLst>
            <a:ext uri="{FF2B5EF4-FFF2-40B4-BE49-F238E27FC236}">
              <a16:creationId xmlns:a16="http://schemas.microsoft.com/office/drawing/2014/main" id="{8E19939D-0BAC-4FEF-AF69-3C98A4518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354169</xdr:colOff>
      <xdr:row>7</xdr:row>
      <xdr:rowOff>27343</xdr:rowOff>
    </xdr:from>
    <xdr:to>
      <xdr:col>6</xdr:col>
      <xdr:colOff>363240</xdr:colOff>
      <xdr:row>14</xdr:row>
      <xdr:rowOff>90842</xdr:rowOff>
    </xdr:to>
    <xdr:cxnSp macro="">
      <xdr:nvCxnSpPr>
        <xdr:cNvPr id="23" name="Straight Connector 22">
          <a:extLst>
            <a:ext uri="{FF2B5EF4-FFF2-40B4-BE49-F238E27FC236}">
              <a16:creationId xmlns:a16="http://schemas.microsoft.com/office/drawing/2014/main" id="{018272AE-7060-726A-8B0B-2F779891872A}"/>
            </a:ext>
          </a:extLst>
        </xdr:cNvPr>
        <xdr:cNvCxnSpPr/>
      </xdr:nvCxnSpPr>
      <xdr:spPr>
        <a:xfrm>
          <a:off x="4003183" y="1342061"/>
          <a:ext cx="9071" cy="1378218"/>
        </a:xfrm>
        <a:prstGeom prst="line">
          <a:avLst/>
        </a:prstGeom>
        <a:ln w="19050">
          <a:solidFill>
            <a:schemeClr val="accent6">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369859</xdr:colOff>
      <xdr:row>7</xdr:row>
      <xdr:rowOff>25400</xdr:rowOff>
    </xdr:from>
    <xdr:to>
      <xdr:col>8</xdr:col>
      <xdr:colOff>378930</xdr:colOff>
      <xdr:row>14</xdr:row>
      <xdr:rowOff>88899</xdr:rowOff>
    </xdr:to>
    <xdr:cxnSp macro="">
      <xdr:nvCxnSpPr>
        <xdr:cNvPr id="24" name="Straight Connector 23">
          <a:extLst>
            <a:ext uri="{FF2B5EF4-FFF2-40B4-BE49-F238E27FC236}">
              <a16:creationId xmlns:a16="http://schemas.microsoft.com/office/drawing/2014/main" id="{97C2961E-1E9E-3DEB-E43B-D3B880756BBE}"/>
            </a:ext>
          </a:extLst>
        </xdr:cNvPr>
        <xdr:cNvCxnSpPr/>
      </xdr:nvCxnSpPr>
      <xdr:spPr>
        <a:xfrm>
          <a:off x="5235211" y="1340118"/>
          <a:ext cx="9071" cy="1378218"/>
        </a:xfrm>
        <a:prstGeom prst="line">
          <a:avLst/>
        </a:prstGeom>
        <a:ln w="19050">
          <a:solidFill>
            <a:schemeClr val="accent6">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331886</xdr:colOff>
      <xdr:row>7</xdr:row>
      <xdr:rowOff>23458</xdr:rowOff>
    </xdr:from>
    <xdr:to>
      <xdr:col>10</xdr:col>
      <xdr:colOff>340957</xdr:colOff>
      <xdr:row>14</xdr:row>
      <xdr:rowOff>86957</xdr:rowOff>
    </xdr:to>
    <xdr:cxnSp macro="">
      <xdr:nvCxnSpPr>
        <xdr:cNvPr id="25" name="Straight Connector 24">
          <a:extLst>
            <a:ext uri="{FF2B5EF4-FFF2-40B4-BE49-F238E27FC236}">
              <a16:creationId xmlns:a16="http://schemas.microsoft.com/office/drawing/2014/main" id="{D5F9BB9D-8587-9C83-AB1C-A6EBB23B7427}"/>
            </a:ext>
          </a:extLst>
        </xdr:cNvPr>
        <xdr:cNvCxnSpPr/>
      </xdr:nvCxnSpPr>
      <xdr:spPr>
        <a:xfrm>
          <a:off x="6413576" y="1338176"/>
          <a:ext cx="9071" cy="1378218"/>
        </a:xfrm>
        <a:prstGeom prst="line">
          <a:avLst/>
        </a:prstGeom>
        <a:ln w="19050">
          <a:solidFill>
            <a:schemeClr val="accent6">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354679</xdr:colOff>
      <xdr:row>7</xdr:row>
      <xdr:rowOff>9457</xdr:rowOff>
    </xdr:from>
    <xdr:to>
      <xdr:col>8</xdr:col>
      <xdr:colOff>254894</xdr:colOff>
      <xdr:row>8</xdr:row>
      <xdr:rowOff>100170</xdr:rowOff>
    </xdr:to>
    <xdr:sp macro="" textlink="">
      <xdr:nvSpPr>
        <xdr:cNvPr id="26" name="TextBox 25">
          <a:extLst>
            <a:ext uri="{FF2B5EF4-FFF2-40B4-BE49-F238E27FC236}">
              <a16:creationId xmlns:a16="http://schemas.microsoft.com/office/drawing/2014/main" id="{320BBC9D-5B22-D522-6FA8-3B060F783FA8}"/>
            </a:ext>
          </a:extLst>
        </xdr:cNvPr>
        <xdr:cNvSpPr txBox="1"/>
      </xdr:nvSpPr>
      <xdr:spPr>
        <a:xfrm>
          <a:off x="4003693" y="1324175"/>
          <a:ext cx="1116553" cy="278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a:solidFill>
                <a:schemeClr val="bg1"/>
              </a:solidFill>
            </a:rPr>
            <a:t>Revenue</a:t>
          </a:r>
        </a:p>
      </xdr:txBody>
    </xdr:sp>
    <xdr:clientData/>
  </xdr:twoCellAnchor>
  <xdr:twoCellAnchor>
    <xdr:from>
      <xdr:col>8</xdr:col>
      <xdr:colOff>432590</xdr:colOff>
      <xdr:row>6</xdr:row>
      <xdr:rowOff>186772</xdr:rowOff>
    </xdr:from>
    <xdr:to>
      <xdr:col>10</xdr:col>
      <xdr:colOff>332806</xdr:colOff>
      <xdr:row>8</xdr:row>
      <xdr:rowOff>89668</xdr:rowOff>
    </xdr:to>
    <xdr:sp macro="" textlink="">
      <xdr:nvSpPr>
        <xdr:cNvPr id="27" name="TextBox 26">
          <a:extLst>
            <a:ext uri="{FF2B5EF4-FFF2-40B4-BE49-F238E27FC236}">
              <a16:creationId xmlns:a16="http://schemas.microsoft.com/office/drawing/2014/main" id="{6D4FFD52-4B89-F07A-EC9F-F4A89398E665}"/>
            </a:ext>
          </a:extLst>
        </xdr:cNvPr>
        <xdr:cNvSpPr txBox="1"/>
      </xdr:nvSpPr>
      <xdr:spPr>
        <a:xfrm>
          <a:off x="5297942" y="1313673"/>
          <a:ext cx="1116554" cy="278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a:solidFill>
                <a:schemeClr val="bg1"/>
              </a:solidFill>
            </a:rPr>
            <a:t>Orders</a:t>
          </a:r>
        </a:p>
      </xdr:txBody>
    </xdr:sp>
    <xdr:clientData/>
  </xdr:twoCellAnchor>
  <xdr:twoCellAnchor>
    <xdr:from>
      <xdr:col>10</xdr:col>
      <xdr:colOff>295854</xdr:colOff>
      <xdr:row>6</xdr:row>
      <xdr:rowOff>167199</xdr:rowOff>
    </xdr:from>
    <xdr:to>
      <xdr:col>12</xdr:col>
      <xdr:colOff>196069</xdr:colOff>
      <xdr:row>8</xdr:row>
      <xdr:rowOff>70095</xdr:rowOff>
    </xdr:to>
    <xdr:sp macro="" textlink="">
      <xdr:nvSpPr>
        <xdr:cNvPr id="28" name="TextBox 27">
          <a:extLst>
            <a:ext uri="{FF2B5EF4-FFF2-40B4-BE49-F238E27FC236}">
              <a16:creationId xmlns:a16="http://schemas.microsoft.com/office/drawing/2014/main" id="{7CF2C5F8-A28E-31D7-DB22-0CCA6A387166}"/>
            </a:ext>
          </a:extLst>
        </xdr:cNvPr>
        <xdr:cNvSpPr txBox="1"/>
      </xdr:nvSpPr>
      <xdr:spPr>
        <a:xfrm>
          <a:off x="6377544" y="1294100"/>
          <a:ext cx="1116553" cy="278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a:solidFill>
                <a:schemeClr val="bg1"/>
              </a:solidFill>
            </a:rPr>
            <a:t>Tickets</a:t>
          </a:r>
          <a:r>
            <a:rPr lang="en-GB" sz="1000" baseline="0">
              <a:solidFill>
                <a:schemeClr val="bg1"/>
              </a:solidFill>
            </a:rPr>
            <a:t> Sold</a:t>
          </a:r>
          <a:endParaRPr lang="en-GB" sz="1000">
            <a:solidFill>
              <a:schemeClr val="bg1"/>
            </a:solidFill>
          </a:endParaRPr>
        </a:p>
      </xdr:txBody>
    </xdr:sp>
    <xdr:clientData/>
  </xdr:twoCellAnchor>
  <xdr:twoCellAnchor>
    <xdr:from>
      <xdr:col>6</xdr:col>
      <xdr:colOff>406400</xdr:colOff>
      <xdr:row>9</xdr:row>
      <xdr:rowOff>142691</xdr:rowOff>
    </xdr:from>
    <xdr:to>
      <xdr:col>8</xdr:col>
      <xdr:colOff>306615</xdr:colOff>
      <xdr:row>11</xdr:row>
      <xdr:rowOff>51976</xdr:rowOff>
    </xdr:to>
    <xdr:sp macro="" textlink="Revenue">
      <xdr:nvSpPr>
        <xdr:cNvPr id="29" name="TextBox 28">
          <a:extLst>
            <a:ext uri="{FF2B5EF4-FFF2-40B4-BE49-F238E27FC236}">
              <a16:creationId xmlns:a16="http://schemas.microsoft.com/office/drawing/2014/main" id="{81A7B51B-EFAF-DC81-F9AD-2887E1FD5159}"/>
            </a:ext>
          </a:extLst>
        </xdr:cNvPr>
        <xdr:cNvSpPr txBox="1"/>
      </xdr:nvSpPr>
      <xdr:spPr>
        <a:xfrm>
          <a:off x="4055414" y="1833043"/>
          <a:ext cx="1116553" cy="284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C22052-0E99-4418-88A7-5B18D79239D4}" type="TxLink">
            <a:rPr lang="en-US" sz="1600" b="1" i="0" u="none" strike="noStrike">
              <a:solidFill>
                <a:schemeClr val="bg1"/>
              </a:solidFill>
              <a:latin typeface="Calibri"/>
              <a:ea typeface="Calibri"/>
              <a:cs typeface="Calibri"/>
            </a:rPr>
            <a:pPr algn="ctr"/>
            <a:t> $95,765 </a:t>
          </a:fld>
          <a:endParaRPr lang="en-GB" sz="1600" b="1">
            <a:solidFill>
              <a:schemeClr val="bg1"/>
            </a:solidFill>
          </a:endParaRPr>
        </a:p>
      </xdr:txBody>
    </xdr:sp>
    <xdr:clientData/>
  </xdr:twoCellAnchor>
  <xdr:twoCellAnchor>
    <xdr:from>
      <xdr:col>8</xdr:col>
      <xdr:colOff>359099</xdr:colOff>
      <xdr:row>9</xdr:row>
      <xdr:rowOff>158764</xdr:rowOff>
    </xdr:from>
    <xdr:to>
      <xdr:col>10</xdr:col>
      <xdr:colOff>259315</xdr:colOff>
      <xdr:row>11</xdr:row>
      <xdr:rowOff>107324</xdr:rowOff>
    </xdr:to>
    <xdr:sp macro="" textlink="Orders">
      <xdr:nvSpPr>
        <xdr:cNvPr id="30" name="TextBox 29">
          <a:extLst>
            <a:ext uri="{FF2B5EF4-FFF2-40B4-BE49-F238E27FC236}">
              <a16:creationId xmlns:a16="http://schemas.microsoft.com/office/drawing/2014/main" id="{11C177E3-5515-6494-03D0-DE68B7F5FDEA}"/>
            </a:ext>
          </a:extLst>
        </xdr:cNvPr>
        <xdr:cNvSpPr txBox="1"/>
      </xdr:nvSpPr>
      <xdr:spPr>
        <a:xfrm>
          <a:off x="5224451" y="1849116"/>
          <a:ext cx="1116554" cy="324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A1BB42-CD0A-4B35-9B88-4511E90AEC3F}" type="TxLink">
            <a:rPr lang="en-US" sz="1600" b="1" i="0" u="none" strike="noStrike">
              <a:solidFill>
                <a:schemeClr val="bg1"/>
              </a:solidFill>
              <a:latin typeface="Calibri"/>
              <a:ea typeface="Calibri"/>
              <a:cs typeface="Calibri"/>
            </a:rPr>
            <a:pPr algn="ctr"/>
            <a:t> 642 </a:t>
          </a:fld>
          <a:endParaRPr lang="en-GB" sz="2000" b="1">
            <a:solidFill>
              <a:schemeClr val="bg1"/>
            </a:solidFill>
          </a:endParaRPr>
        </a:p>
      </xdr:txBody>
    </xdr:sp>
    <xdr:clientData/>
  </xdr:twoCellAnchor>
  <xdr:twoCellAnchor>
    <xdr:from>
      <xdr:col>10</xdr:col>
      <xdr:colOff>276026</xdr:colOff>
      <xdr:row>9</xdr:row>
      <xdr:rowOff>165893</xdr:rowOff>
    </xdr:from>
    <xdr:to>
      <xdr:col>12</xdr:col>
      <xdr:colOff>176241</xdr:colOff>
      <xdr:row>11</xdr:row>
      <xdr:rowOff>75178</xdr:rowOff>
    </xdr:to>
    <xdr:sp macro="" textlink="Quanity">
      <xdr:nvSpPr>
        <xdr:cNvPr id="31" name="TextBox 30">
          <a:extLst>
            <a:ext uri="{FF2B5EF4-FFF2-40B4-BE49-F238E27FC236}">
              <a16:creationId xmlns:a16="http://schemas.microsoft.com/office/drawing/2014/main" id="{14C38A4B-9E31-1594-32EC-299DE7FC8670}"/>
            </a:ext>
          </a:extLst>
        </xdr:cNvPr>
        <xdr:cNvSpPr txBox="1"/>
      </xdr:nvSpPr>
      <xdr:spPr>
        <a:xfrm>
          <a:off x="6357716" y="1856245"/>
          <a:ext cx="1116553" cy="284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087E34-F3BD-40D0-8654-46E08492A687}" type="TxLink">
            <a:rPr lang="en-US" sz="1600" b="1" i="0" u="none" strike="noStrike">
              <a:solidFill>
                <a:schemeClr val="bg1"/>
              </a:solidFill>
              <a:latin typeface="Calibri"/>
              <a:ea typeface="Calibri"/>
              <a:cs typeface="Calibri"/>
            </a:rPr>
            <a:pPr algn="ctr"/>
            <a:t> 1,925 </a:t>
          </a:fld>
          <a:endParaRPr lang="en-GB" sz="2800" b="1">
            <a:solidFill>
              <a:schemeClr val="bg1"/>
            </a:solidFill>
          </a:endParaRPr>
        </a:p>
      </xdr:txBody>
    </xdr:sp>
    <xdr:clientData/>
  </xdr:twoCellAnchor>
  <xdr:twoCellAnchor>
    <xdr:from>
      <xdr:col>6</xdr:col>
      <xdr:colOff>415598</xdr:colOff>
      <xdr:row>12</xdr:row>
      <xdr:rowOff>187026</xdr:rowOff>
    </xdr:from>
    <xdr:to>
      <xdr:col>8</xdr:col>
      <xdr:colOff>315813</xdr:colOff>
      <xdr:row>14</xdr:row>
      <xdr:rowOff>89923</xdr:rowOff>
    </xdr:to>
    <xdr:sp macro="" textlink="RevenueMoM">
      <xdr:nvSpPr>
        <xdr:cNvPr id="32" name="TextBox 31">
          <a:extLst>
            <a:ext uri="{FF2B5EF4-FFF2-40B4-BE49-F238E27FC236}">
              <a16:creationId xmlns:a16="http://schemas.microsoft.com/office/drawing/2014/main" id="{211255CC-EF52-DC2D-906E-E2FB723376B8}"/>
            </a:ext>
          </a:extLst>
        </xdr:cNvPr>
        <xdr:cNvSpPr txBox="1"/>
      </xdr:nvSpPr>
      <xdr:spPr>
        <a:xfrm>
          <a:off x="4064612" y="2440829"/>
          <a:ext cx="1116553" cy="278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9301A2-9996-48D9-81B8-327481C3C60F}" type="TxLink">
            <a:rPr lang="en-US" sz="1050" b="0" i="0" u="none" strike="noStrike">
              <a:solidFill>
                <a:schemeClr val="bg1"/>
              </a:solidFill>
              <a:latin typeface="Calibri"/>
              <a:ea typeface="Calibri"/>
              <a:cs typeface="Calibri"/>
            </a:rPr>
            <a:pPr algn="ctr"/>
            <a:t>▼100% MoM</a:t>
          </a:fld>
          <a:endParaRPr lang="en-GB" sz="1050">
            <a:solidFill>
              <a:schemeClr val="bg1"/>
            </a:solidFill>
          </a:endParaRPr>
        </a:p>
      </xdr:txBody>
    </xdr:sp>
    <xdr:clientData/>
  </xdr:twoCellAnchor>
  <xdr:twoCellAnchor>
    <xdr:from>
      <xdr:col>8</xdr:col>
      <xdr:colOff>358971</xdr:colOff>
      <xdr:row>12</xdr:row>
      <xdr:rowOff>176268</xdr:rowOff>
    </xdr:from>
    <xdr:to>
      <xdr:col>10</xdr:col>
      <xdr:colOff>259187</xdr:colOff>
      <xdr:row>14</xdr:row>
      <xdr:rowOff>79165</xdr:rowOff>
    </xdr:to>
    <xdr:sp macro="" textlink="OrdersMoM">
      <xdr:nvSpPr>
        <xdr:cNvPr id="33" name="TextBox 32">
          <a:extLst>
            <a:ext uri="{FF2B5EF4-FFF2-40B4-BE49-F238E27FC236}">
              <a16:creationId xmlns:a16="http://schemas.microsoft.com/office/drawing/2014/main" id="{801F4BD3-C364-E69E-0B87-99FE4CF65AB4}"/>
            </a:ext>
          </a:extLst>
        </xdr:cNvPr>
        <xdr:cNvSpPr txBox="1"/>
      </xdr:nvSpPr>
      <xdr:spPr>
        <a:xfrm>
          <a:off x="5224323" y="2430071"/>
          <a:ext cx="1116554" cy="278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68DAC2F-1BD4-4FA5-881D-C656F685C781}" type="TxLink">
            <a:rPr lang="en-US" sz="1050" b="0" i="0" u="none" strike="noStrike">
              <a:solidFill>
                <a:schemeClr val="bg1"/>
              </a:solidFill>
              <a:latin typeface="Calibri"/>
              <a:ea typeface="Calibri"/>
              <a:cs typeface="Calibri"/>
            </a:rPr>
            <a:pPr algn="ctr"/>
            <a:t>▼100% MoM</a:t>
          </a:fld>
          <a:endParaRPr lang="en-GB" sz="1050">
            <a:solidFill>
              <a:schemeClr val="bg1"/>
            </a:solidFill>
          </a:endParaRPr>
        </a:p>
      </xdr:txBody>
    </xdr:sp>
    <xdr:clientData/>
  </xdr:twoCellAnchor>
  <xdr:twoCellAnchor>
    <xdr:from>
      <xdr:col>10</xdr:col>
      <xdr:colOff>266570</xdr:colOff>
      <xdr:row>12</xdr:row>
      <xdr:rowOff>174455</xdr:rowOff>
    </xdr:from>
    <xdr:to>
      <xdr:col>12</xdr:col>
      <xdr:colOff>166785</xdr:colOff>
      <xdr:row>14</xdr:row>
      <xdr:rowOff>77352</xdr:rowOff>
    </xdr:to>
    <xdr:sp macro="" textlink="QtyMoM">
      <xdr:nvSpPr>
        <xdr:cNvPr id="34" name="TextBox 33">
          <a:extLst>
            <a:ext uri="{FF2B5EF4-FFF2-40B4-BE49-F238E27FC236}">
              <a16:creationId xmlns:a16="http://schemas.microsoft.com/office/drawing/2014/main" id="{82195591-631F-7482-E28D-F33A0D42450A}"/>
            </a:ext>
          </a:extLst>
        </xdr:cNvPr>
        <xdr:cNvSpPr txBox="1"/>
      </xdr:nvSpPr>
      <xdr:spPr>
        <a:xfrm>
          <a:off x="6348260" y="2428258"/>
          <a:ext cx="1116553" cy="278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619BFA-95E1-408F-B836-B9B117498251}" type="TxLink">
            <a:rPr lang="en-US" sz="1050" b="0" i="0" u="none" strike="noStrike">
              <a:solidFill>
                <a:schemeClr val="bg1"/>
              </a:solidFill>
              <a:latin typeface="Calibri"/>
              <a:ea typeface="Calibri"/>
              <a:cs typeface="Calibri"/>
            </a:rPr>
            <a:pPr algn="ctr"/>
            <a:t>▼100% MoM</a:t>
          </a:fld>
          <a:endParaRPr lang="en-GB" sz="1050">
            <a:solidFill>
              <a:schemeClr val="bg1"/>
            </a:solidFill>
          </a:endParaRPr>
        </a:p>
      </xdr:txBody>
    </xdr:sp>
    <xdr:clientData/>
  </xdr:twoCellAnchor>
  <xdr:twoCellAnchor>
    <xdr:from>
      <xdr:col>6</xdr:col>
      <xdr:colOff>261256</xdr:colOff>
      <xdr:row>3</xdr:row>
      <xdr:rowOff>135432</xdr:rowOff>
    </xdr:from>
    <xdr:to>
      <xdr:col>9</xdr:col>
      <xdr:colOff>190500</xdr:colOff>
      <xdr:row>5</xdr:row>
      <xdr:rowOff>61048</xdr:rowOff>
    </xdr:to>
    <xdr:sp macro="" textlink="">
      <xdr:nvSpPr>
        <xdr:cNvPr id="35" name="TextBox 34">
          <a:extLst>
            <a:ext uri="{FF2B5EF4-FFF2-40B4-BE49-F238E27FC236}">
              <a16:creationId xmlns:a16="http://schemas.microsoft.com/office/drawing/2014/main" id="{B092C3A1-818B-2CC9-5F0D-C79E8CDC2455}"/>
            </a:ext>
          </a:extLst>
        </xdr:cNvPr>
        <xdr:cNvSpPr txBox="1"/>
      </xdr:nvSpPr>
      <xdr:spPr>
        <a:xfrm>
          <a:off x="3910270" y="698883"/>
          <a:ext cx="1753751" cy="30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chemeClr val="bg1"/>
              </a:solidFill>
            </a:rPr>
            <a:t>Key</a:t>
          </a:r>
          <a:r>
            <a:rPr lang="en-GB" sz="1000" baseline="0">
              <a:solidFill>
                <a:schemeClr val="bg1"/>
              </a:solidFill>
            </a:rPr>
            <a:t> Performance Indicators</a:t>
          </a:r>
          <a:endParaRPr lang="en-GB" sz="1000">
            <a:solidFill>
              <a:schemeClr val="bg1"/>
            </a:solidFill>
          </a:endParaRPr>
        </a:p>
      </xdr:txBody>
    </xdr:sp>
    <xdr:clientData/>
  </xdr:twoCellAnchor>
  <xdr:twoCellAnchor>
    <xdr:from>
      <xdr:col>6</xdr:col>
      <xdr:colOff>232228</xdr:colOff>
      <xdr:row>4</xdr:row>
      <xdr:rowOff>145142</xdr:rowOff>
    </xdr:from>
    <xdr:to>
      <xdr:col>10</xdr:col>
      <xdr:colOff>108857</xdr:colOff>
      <xdr:row>6</xdr:row>
      <xdr:rowOff>23587</xdr:rowOff>
    </xdr:to>
    <xdr:sp macro="" textlink="">
      <xdr:nvSpPr>
        <xdr:cNvPr id="36" name="TextBox 35">
          <a:extLst>
            <a:ext uri="{FF2B5EF4-FFF2-40B4-BE49-F238E27FC236}">
              <a16:creationId xmlns:a16="http://schemas.microsoft.com/office/drawing/2014/main" id="{DEB96D72-4512-421A-1AA8-048EDA7B0048}"/>
            </a:ext>
          </a:extLst>
        </xdr:cNvPr>
        <xdr:cNvSpPr txBox="1"/>
      </xdr:nvSpPr>
      <xdr:spPr>
        <a:xfrm>
          <a:off x="3881242" y="896410"/>
          <a:ext cx="2309305" cy="254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i="1">
              <a:solidFill>
                <a:schemeClr val="bg1"/>
              </a:solidFill>
            </a:rPr>
            <a:t>Overall</a:t>
          </a:r>
          <a:r>
            <a:rPr lang="en-GB" sz="1000" i="1" baseline="0">
              <a:solidFill>
                <a:schemeClr val="bg1"/>
              </a:solidFill>
            </a:rPr>
            <a:t> Health of the Business across Q3</a:t>
          </a:r>
          <a:endParaRPr lang="en-GB" sz="1000" i="1">
            <a:solidFill>
              <a:schemeClr val="bg1"/>
            </a:solidFill>
          </a:endParaRPr>
        </a:p>
      </xdr:txBody>
    </xdr:sp>
    <xdr:clientData/>
  </xdr:twoCellAnchor>
  <xdr:twoCellAnchor>
    <xdr:from>
      <xdr:col>6</xdr:col>
      <xdr:colOff>232994</xdr:colOff>
      <xdr:row>15</xdr:row>
      <xdr:rowOff>88515</xdr:rowOff>
    </xdr:from>
    <xdr:to>
      <xdr:col>9</xdr:col>
      <xdr:colOff>162238</xdr:colOff>
      <xdr:row>17</xdr:row>
      <xdr:rowOff>7743</xdr:rowOff>
    </xdr:to>
    <xdr:sp macro="" textlink="">
      <xdr:nvSpPr>
        <xdr:cNvPr id="37" name="TextBox 36">
          <a:extLst>
            <a:ext uri="{FF2B5EF4-FFF2-40B4-BE49-F238E27FC236}">
              <a16:creationId xmlns:a16="http://schemas.microsoft.com/office/drawing/2014/main" id="{66D6129B-C526-04D8-0D59-C38F0F3B6DCE}"/>
            </a:ext>
          </a:extLst>
        </xdr:cNvPr>
        <xdr:cNvSpPr txBox="1"/>
      </xdr:nvSpPr>
      <xdr:spPr>
        <a:xfrm>
          <a:off x="3882008" y="2905769"/>
          <a:ext cx="1753751" cy="294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ysClr val="windowText" lastClr="000000"/>
              </a:solidFill>
            </a:rPr>
            <a:t>Movie</a:t>
          </a:r>
          <a:r>
            <a:rPr lang="en-GB" sz="1000" baseline="0">
              <a:solidFill>
                <a:sysClr val="windowText" lastClr="000000"/>
              </a:solidFill>
            </a:rPr>
            <a:t> Analysis</a:t>
          </a:r>
          <a:endParaRPr lang="en-GB" sz="1000">
            <a:solidFill>
              <a:sysClr val="windowText" lastClr="000000"/>
            </a:solidFill>
          </a:endParaRPr>
        </a:p>
      </xdr:txBody>
    </xdr:sp>
    <xdr:clientData/>
  </xdr:twoCellAnchor>
  <xdr:twoCellAnchor>
    <xdr:from>
      <xdr:col>6</xdr:col>
      <xdr:colOff>213038</xdr:colOff>
      <xdr:row>16</xdr:row>
      <xdr:rowOff>81771</xdr:rowOff>
    </xdr:from>
    <xdr:to>
      <xdr:col>11</xdr:col>
      <xdr:colOff>590792</xdr:colOff>
      <xdr:row>17</xdr:row>
      <xdr:rowOff>157970</xdr:rowOff>
    </xdr:to>
    <xdr:sp macro="" textlink="">
      <xdr:nvSpPr>
        <xdr:cNvPr id="38" name="TextBox 37">
          <a:extLst>
            <a:ext uri="{FF2B5EF4-FFF2-40B4-BE49-F238E27FC236}">
              <a16:creationId xmlns:a16="http://schemas.microsoft.com/office/drawing/2014/main" id="{022E0106-138F-9B73-A1D2-449FA12013FB}"/>
            </a:ext>
          </a:extLst>
        </xdr:cNvPr>
        <xdr:cNvSpPr txBox="1"/>
      </xdr:nvSpPr>
      <xdr:spPr>
        <a:xfrm>
          <a:off x="3862052" y="3086841"/>
          <a:ext cx="3418599" cy="264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i="1">
              <a:solidFill>
                <a:sysClr val="windowText" lastClr="000000"/>
              </a:solidFill>
            </a:rPr>
            <a:t>Shows</a:t>
          </a:r>
          <a:r>
            <a:rPr lang="en-GB" sz="900" i="1" baseline="0">
              <a:solidFill>
                <a:sysClr val="windowText" lastClr="000000"/>
              </a:solidFill>
            </a:rPr>
            <a:t> the Performance of Movies in Q3 based on Revenue</a:t>
          </a:r>
          <a:endParaRPr lang="en-GB" sz="900" i="1">
            <a:solidFill>
              <a:sysClr val="windowText" lastClr="000000"/>
            </a:solidFill>
          </a:endParaRPr>
        </a:p>
      </xdr:txBody>
    </xdr:sp>
    <xdr:clientData/>
  </xdr:twoCellAnchor>
  <xdr:twoCellAnchor>
    <xdr:from>
      <xdr:col>12</xdr:col>
      <xdr:colOff>465886</xdr:colOff>
      <xdr:row>4</xdr:row>
      <xdr:rowOff>105098</xdr:rowOff>
    </xdr:from>
    <xdr:to>
      <xdr:col>15</xdr:col>
      <xdr:colOff>395130</xdr:colOff>
      <xdr:row>6</xdr:row>
      <xdr:rowOff>30715</xdr:rowOff>
    </xdr:to>
    <xdr:sp macro="" textlink="">
      <xdr:nvSpPr>
        <xdr:cNvPr id="39" name="TextBox 38">
          <a:extLst>
            <a:ext uri="{FF2B5EF4-FFF2-40B4-BE49-F238E27FC236}">
              <a16:creationId xmlns:a16="http://schemas.microsoft.com/office/drawing/2014/main" id="{122D1F6E-B162-3463-229E-73DFF8B3E37A}"/>
            </a:ext>
          </a:extLst>
        </xdr:cNvPr>
        <xdr:cNvSpPr txBox="1"/>
      </xdr:nvSpPr>
      <xdr:spPr>
        <a:xfrm>
          <a:off x="7763914" y="856366"/>
          <a:ext cx="1753751" cy="30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ysClr val="windowText" lastClr="000000"/>
              </a:solidFill>
            </a:rPr>
            <a:t>Weekday</a:t>
          </a:r>
          <a:r>
            <a:rPr lang="en-GB" sz="1000" baseline="0">
              <a:solidFill>
                <a:sysClr val="windowText" lastClr="000000"/>
              </a:solidFill>
            </a:rPr>
            <a:t> Trend Analysis</a:t>
          </a:r>
          <a:endParaRPr lang="en-GB" sz="1000">
            <a:solidFill>
              <a:sysClr val="windowText" lastClr="000000"/>
            </a:solidFill>
          </a:endParaRPr>
        </a:p>
      </xdr:txBody>
    </xdr:sp>
    <xdr:clientData/>
  </xdr:twoCellAnchor>
  <xdr:twoCellAnchor>
    <xdr:from>
      <xdr:col>19</xdr:col>
      <xdr:colOff>110669</xdr:colOff>
      <xdr:row>0</xdr:row>
      <xdr:rowOff>0</xdr:rowOff>
    </xdr:from>
    <xdr:to>
      <xdr:col>22</xdr:col>
      <xdr:colOff>39913</xdr:colOff>
      <xdr:row>0</xdr:row>
      <xdr:rowOff>0</xdr:rowOff>
    </xdr:to>
    <xdr:sp macro="" textlink="">
      <xdr:nvSpPr>
        <xdr:cNvPr id="40" name="TextBox 39">
          <a:extLst>
            <a:ext uri="{FF2B5EF4-FFF2-40B4-BE49-F238E27FC236}">
              <a16:creationId xmlns:a16="http://schemas.microsoft.com/office/drawing/2014/main" id="{6EAA53C2-EAE4-788C-0E3F-86641308E7A4}"/>
            </a:ext>
          </a:extLst>
        </xdr:cNvPr>
        <xdr:cNvSpPr txBox="1"/>
      </xdr:nvSpPr>
      <xdr:spPr>
        <a:xfrm>
          <a:off x="11658598" y="0"/>
          <a:ext cx="1752601"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ysClr val="windowText" lastClr="000000"/>
              </a:solidFill>
            </a:rPr>
            <a:t>Weekday</a:t>
          </a:r>
          <a:r>
            <a:rPr lang="en-GB" sz="1000" baseline="0">
              <a:solidFill>
                <a:sysClr val="windowText" lastClr="000000"/>
              </a:solidFill>
            </a:rPr>
            <a:t> Trend Analysis</a:t>
          </a:r>
          <a:endParaRPr lang="en-GB" sz="1000">
            <a:solidFill>
              <a:sysClr val="windowText" lastClr="000000"/>
            </a:solidFill>
          </a:endParaRPr>
        </a:p>
      </xdr:txBody>
    </xdr:sp>
    <xdr:clientData/>
  </xdr:twoCellAnchor>
  <xdr:twoCellAnchor>
    <xdr:from>
      <xdr:col>12</xdr:col>
      <xdr:colOff>455128</xdr:colOff>
      <xdr:row>5</xdr:row>
      <xdr:rowOff>135306</xdr:rowOff>
    </xdr:from>
    <xdr:to>
      <xdr:col>17</xdr:col>
      <xdr:colOff>389816</xdr:colOff>
      <xdr:row>7</xdr:row>
      <xdr:rowOff>30948</xdr:rowOff>
    </xdr:to>
    <xdr:sp macro="" textlink="">
      <xdr:nvSpPr>
        <xdr:cNvPr id="41" name="TextBox 40">
          <a:extLst>
            <a:ext uri="{FF2B5EF4-FFF2-40B4-BE49-F238E27FC236}">
              <a16:creationId xmlns:a16="http://schemas.microsoft.com/office/drawing/2014/main" id="{0C43F715-9B64-0699-5FEC-817061F47275}"/>
            </a:ext>
          </a:extLst>
        </xdr:cNvPr>
        <xdr:cNvSpPr txBox="1"/>
      </xdr:nvSpPr>
      <xdr:spPr>
        <a:xfrm>
          <a:off x="7753156" y="1074391"/>
          <a:ext cx="2975533" cy="271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i="1">
              <a:solidFill>
                <a:sysClr val="windowText" lastClr="000000"/>
              </a:solidFill>
            </a:rPr>
            <a:t>Identifies</a:t>
          </a:r>
          <a:r>
            <a:rPr lang="en-GB" sz="900" i="1" baseline="0">
              <a:solidFill>
                <a:sysClr val="windowText" lastClr="000000"/>
              </a:solidFill>
            </a:rPr>
            <a:t> the day of the week with the most revenue</a:t>
          </a:r>
          <a:endParaRPr lang="en-GB" sz="900" i="1">
            <a:solidFill>
              <a:sysClr val="windowText" lastClr="000000"/>
            </a:solidFill>
          </a:endParaRPr>
        </a:p>
      </xdr:txBody>
    </xdr:sp>
    <xdr:clientData/>
  </xdr:twoCellAnchor>
  <xdr:twoCellAnchor>
    <xdr:from>
      <xdr:col>12</xdr:col>
      <xdr:colOff>483236</xdr:colOff>
      <xdr:row>19</xdr:row>
      <xdr:rowOff>84502</xdr:rowOff>
    </xdr:from>
    <xdr:to>
      <xdr:col>15</xdr:col>
      <xdr:colOff>412480</xdr:colOff>
      <xdr:row>21</xdr:row>
      <xdr:rowOff>3730</xdr:rowOff>
    </xdr:to>
    <xdr:sp macro="" textlink="">
      <xdr:nvSpPr>
        <xdr:cNvPr id="42" name="TextBox 41">
          <a:extLst>
            <a:ext uri="{FF2B5EF4-FFF2-40B4-BE49-F238E27FC236}">
              <a16:creationId xmlns:a16="http://schemas.microsoft.com/office/drawing/2014/main" id="{1767A247-83C5-A268-AD43-2700D3111272}"/>
            </a:ext>
          </a:extLst>
        </xdr:cNvPr>
        <xdr:cNvSpPr txBox="1"/>
      </xdr:nvSpPr>
      <xdr:spPr>
        <a:xfrm>
          <a:off x="7781264" y="3653023"/>
          <a:ext cx="1753751" cy="294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ysClr val="windowText" lastClr="000000"/>
              </a:solidFill>
            </a:rPr>
            <a:t>Time</a:t>
          </a:r>
          <a:r>
            <a:rPr lang="en-GB" sz="1000" baseline="0">
              <a:solidFill>
                <a:sysClr val="windowText" lastClr="000000"/>
              </a:solidFill>
            </a:rPr>
            <a:t> Based Analysis</a:t>
          </a:r>
          <a:endParaRPr lang="en-GB" sz="1000">
            <a:solidFill>
              <a:sysClr val="windowText" lastClr="000000"/>
            </a:solidFill>
          </a:endParaRPr>
        </a:p>
      </xdr:txBody>
    </xdr:sp>
    <xdr:clientData/>
  </xdr:twoCellAnchor>
  <xdr:twoCellAnchor>
    <xdr:from>
      <xdr:col>12</xdr:col>
      <xdr:colOff>526268</xdr:colOff>
      <xdr:row>20</xdr:row>
      <xdr:rowOff>99275</xdr:rowOff>
    </xdr:from>
    <xdr:to>
      <xdr:col>18</xdr:col>
      <xdr:colOff>136199</xdr:colOff>
      <xdr:row>22</xdr:row>
      <xdr:rowOff>35774</xdr:rowOff>
    </xdr:to>
    <xdr:sp macro="" textlink="">
      <xdr:nvSpPr>
        <xdr:cNvPr id="43" name="TextBox 42">
          <a:extLst>
            <a:ext uri="{FF2B5EF4-FFF2-40B4-BE49-F238E27FC236}">
              <a16:creationId xmlns:a16="http://schemas.microsoft.com/office/drawing/2014/main" id="{BAC2132A-40AD-DF60-EFF5-98EEE7F31220}"/>
            </a:ext>
          </a:extLst>
        </xdr:cNvPr>
        <xdr:cNvSpPr txBox="1"/>
      </xdr:nvSpPr>
      <xdr:spPr>
        <a:xfrm>
          <a:off x="7824296" y="3855613"/>
          <a:ext cx="3258945" cy="312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i="1">
              <a:solidFill>
                <a:sysClr val="windowText" lastClr="000000"/>
              </a:solidFill>
            </a:rPr>
            <a:t>Shows</a:t>
          </a:r>
          <a:r>
            <a:rPr lang="en-GB" sz="900" i="1" baseline="0">
              <a:solidFill>
                <a:sysClr val="windowText" lastClr="000000"/>
              </a:solidFill>
            </a:rPr>
            <a:t> the time of the day with the most/least tickets sold</a:t>
          </a:r>
          <a:endParaRPr lang="en-GB" sz="900" i="1">
            <a:solidFill>
              <a:sysClr val="windowText" lastClr="000000"/>
            </a:solidFill>
          </a:endParaRPr>
        </a:p>
      </xdr:txBody>
    </xdr:sp>
    <xdr:clientData/>
  </xdr:twoCellAnchor>
  <xdr:twoCellAnchor>
    <xdr:from>
      <xdr:col>18</xdr:col>
      <xdr:colOff>563601</xdr:colOff>
      <xdr:row>4</xdr:row>
      <xdr:rowOff>19932</xdr:rowOff>
    </xdr:from>
    <xdr:to>
      <xdr:col>23</xdr:col>
      <xdr:colOff>579933</xdr:colOff>
      <xdr:row>5</xdr:row>
      <xdr:rowOff>182348</xdr:rowOff>
    </xdr:to>
    <xdr:sp macro="" textlink="">
      <xdr:nvSpPr>
        <xdr:cNvPr id="44" name="TextBox 43">
          <a:extLst>
            <a:ext uri="{FF2B5EF4-FFF2-40B4-BE49-F238E27FC236}">
              <a16:creationId xmlns:a16="http://schemas.microsoft.com/office/drawing/2014/main" id="{93965965-F586-C467-9DA7-90C421F5B778}"/>
            </a:ext>
          </a:extLst>
        </xdr:cNvPr>
        <xdr:cNvSpPr txBox="1"/>
      </xdr:nvSpPr>
      <xdr:spPr>
        <a:xfrm>
          <a:off x="11510643" y="771200"/>
          <a:ext cx="3057177" cy="350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ysClr val="windowText" lastClr="000000"/>
              </a:solidFill>
            </a:rPr>
            <a:t>Revenue</a:t>
          </a:r>
          <a:r>
            <a:rPr lang="en-GB" sz="1000" baseline="0">
              <a:solidFill>
                <a:sysClr val="windowText" lastClr="000000"/>
              </a:solidFill>
            </a:rPr>
            <a:t> Contribution based on Ticket Category</a:t>
          </a:r>
          <a:endParaRPr lang="en-GB" sz="1000">
            <a:solidFill>
              <a:sysClr val="windowText" lastClr="000000"/>
            </a:solidFill>
          </a:endParaRPr>
        </a:p>
      </xdr:txBody>
    </xdr:sp>
    <xdr:clientData/>
  </xdr:twoCellAnchor>
  <xdr:twoCellAnchor>
    <xdr:from>
      <xdr:col>19</xdr:col>
      <xdr:colOff>6897</xdr:colOff>
      <xdr:row>5</xdr:row>
      <xdr:rowOff>9301</xdr:rowOff>
    </xdr:from>
    <xdr:to>
      <xdr:col>24</xdr:col>
      <xdr:colOff>23229</xdr:colOff>
      <xdr:row>6</xdr:row>
      <xdr:rowOff>171718</xdr:rowOff>
    </xdr:to>
    <xdr:sp macro="" textlink="">
      <xdr:nvSpPr>
        <xdr:cNvPr id="46" name="TextBox 45">
          <a:extLst>
            <a:ext uri="{FF2B5EF4-FFF2-40B4-BE49-F238E27FC236}">
              <a16:creationId xmlns:a16="http://schemas.microsoft.com/office/drawing/2014/main" id="{0E371B7D-2DAD-2FF1-10DF-C5C30C4405AE}"/>
            </a:ext>
          </a:extLst>
        </xdr:cNvPr>
        <xdr:cNvSpPr txBox="1"/>
      </xdr:nvSpPr>
      <xdr:spPr>
        <a:xfrm>
          <a:off x="11562108" y="948386"/>
          <a:ext cx="3057177" cy="350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i="1">
              <a:solidFill>
                <a:sysClr val="windowText" lastClr="000000"/>
              </a:solidFill>
            </a:rPr>
            <a:t>Compares</a:t>
          </a:r>
          <a:r>
            <a:rPr lang="en-GB" sz="900" i="1" baseline="0">
              <a:solidFill>
                <a:sysClr val="windowText" lastClr="000000"/>
              </a:solidFill>
            </a:rPr>
            <a:t> revenue across ticket category</a:t>
          </a:r>
          <a:endParaRPr lang="en-GB" sz="900" i="1">
            <a:solidFill>
              <a:sysClr val="windowText" lastClr="000000"/>
            </a:solidFill>
          </a:endParaRPr>
        </a:p>
      </xdr:txBody>
    </xdr:sp>
    <xdr:clientData/>
  </xdr:twoCellAnchor>
  <xdr:twoCellAnchor>
    <xdr:from>
      <xdr:col>18</xdr:col>
      <xdr:colOff>525246</xdr:colOff>
      <xdr:row>18</xdr:row>
      <xdr:rowOff>141413</xdr:rowOff>
    </xdr:from>
    <xdr:to>
      <xdr:col>23</xdr:col>
      <xdr:colOff>541578</xdr:colOff>
      <xdr:row>20</xdr:row>
      <xdr:rowOff>109624</xdr:rowOff>
    </xdr:to>
    <xdr:sp macro="" textlink="">
      <xdr:nvSpPr>
        <xdr:cNvPr id="47" name="TextBox 46">
          <a:extLst>
            <a:ext uri="{FF2B5EF4-FFF2-40B4-BE49-F238E27FC236}">
              <a16:creationId xmlns:a16="http://schemas.microsoft.com/office/drawing/2014/main" id="{2A954215-A8DB-14E5-978B-B21DA88FBF19}"/>
            </a:ext>
          </a:extLst>
        </xdr:cNvPr>
        <xdr:cNvSpPr txBox="1"/>
      </xdr:nvSpPr>
      <xdr:spPr>
        <a:xfrm>
          <a:off x="11472288" y="3522117"/>
          <a:ext cx="3057177" cy="34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ysClr val="windowText" lastClr="000000"/>
              </a:solidFill>
            </a:rPr>
            <a:t>Location</a:t>
          </a:r>
          <a:r>
            <a:rPr lang="en-GB" sz="1000" baseline="0">
              <a:solidFill>
                <a:sysClr val="windowText" lastClr="000000"/>
              </a:solidFill>
            </a:rPr>
            <a:t> Based Analysis</a:t>
          </a:r>
          <a:endParaRPr lang="en-GB" sz="1000">
            <a:solidFill>
              <a:sysClr val="windowText" lastClr="000000"/>
            </a:solidFill>
          </a:endParaRPr>
        </a:p>
      </xdr:txBody>
    </xdr:sp>
    <xdr:clientData/>
  </xdr:twoCellAnchor>
  <xdr:twoCellAnchor>
    <xdr:from>
      <xdr:col>18</xdr:col>
      <xdr:colOff>507488</xdr:colOff>
      <xdr:row>19</xdr:row>
      <xdr:rowOff>136581</xdr:rowOff>
    </xdr:from>
    <xdr:to>
      <xdr:col>23</xdr:col>
      <xdr:colOff>349646</xdr:colOff>
      <xdr:row>21</xdr:row>
      <xdr:rowOff>34982</xdr:rowOff>
    </xdr:to>
    <xdr:sp macro="" textlink="">
      <xdr:nvSpPr>
        <xdr:cNvPr id="48" name="TextBox 47">
          <a:extLst>
            <a:ext uri="{FF2B5EF4-FFF2-40B4-BE49-F238E27FC236}">
              <a16:creationId xmlns:a16="http://schemas.microsoft.com/office/drawing/2014/main" id="{684AE45A-9B73-F6C4-0B44-204F0D716556}"/>
            </a:ext>
          </a:extLst>
        </xdr:cNvPr>
        <xdr:cNvSpPr txBox="1"/>
      </xdr:nvSpPr>
      <xdr:spPr>
        <a:xfrm>
          <a:off x="11454530" y="3705102"/>
          <a:ext cx="2883003" cy="27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i="1">
              <a:solidFill>
                <a:sysClr val="windowText" lastClr="000000"/>
              </a:solidFill>
            </a:rPr>
            <a:t>Tracks</a:t>
          </a:r>
          <a:r>
            <a:rPr lang="en-GB" sz="1000" i="1" baseline="0">
              <a:solidFill>
                <a:sysClr val="windowText" lastClr="000000"/>
              </a:solidFill>
            </a:rPr>
            <a:t> revenue across different states in the US</a:t>
          </a:r>
          <a:endParaRPr lang="en-GB" sz="1000" i="1">
            <a:solidFill>
              <a:sysClr val="windowText" lastClr="000000"/>
            </a:solidFill>
          </a:endParaRPr>
        </a:p>
      </xdr:txBody>
    </xdr:sp>
    <xdr:clientData/>
  </xdr:twoCellAnchor>
  <xdr:twoCellAnchor editAs="oneCell">
    <xdr:from>
      <xdr:col>6</xdr:col>
      <xdr:colOff>232535</xdr:colOff>
      <xdr:row>0</xdr:row>
      <xdr:rowOff>89436</xdr:rowOff>
    </xdr:from>
    <xdr:to>
      <xdr:col>7</xdr:col>
      <xdr:colOff>196761</xdr:colOff>
      <xdr:row>3</xdr:row>
      <xdr:rowOff>89436</xdr:rowOff>
    </xdr:to>
    <xdr:pic>
      <xdr:nvPicPr>
        <xdr:cNvPr id="50" name="Picture 49">
          <a:extLst>
            <a:ext uri="{FF2B5EF4-FFF2-40B4-BE49-F238E27FC236}">
              <a16:creationId xmlns:a16="http://schemas.microsoft.com/office/drawing/2014/main" id="{212BAF2F-F582-BDCA-1365-197B4E0912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881549" y="89436"/>
          <a:ext cx="572395" cy="563451"/>
        </a:xfrm>
        <a:prstGeom prst="rect">
          <a:avLst/>
        </a:prstGeom>
      </xdr:spPr>
    </xdr:pic>
    <xdr:clientData/>
  </xdr:twoCellAnchor>
  <xdr:twoCellAnchor>
    <xdr:from>
      <xdr:col>7</xdr:col>
      <xdr:colOff>134971</xdr:colOff>
      <xdr:row>1</xdr:row>
      <xdr:rowOff>71549</xdr:rowOff>
    </xdr:from>
    <xdr:to>
      <xdr:col>8</xdr:col>
      <xdr:colOff>465072</xdr:colOff>
      <xdr:row>3</xdr:row>
      <xdr:rowOff>34932</xdr:rowOff>
    </xdr:to>
    <xdr:sp macro="" textlink="">
      <xdr:nvSpPr>
        <xdr:cNvPr id="51" name="TextBox 50">
          <a:extLst>
            <a:ext uri="{FF2B5EF4-FFF2-40B4-BE49-F238E27FC236}">
              <a16:creationId xmlns:a16="http://schemas.microsoft.com/office/drawing/2014/main" id="{072D0012-5209-7F97-190E-E5B6668F1CB1}"/>
            </a:ext>
          </a:extLst>
        </xdr:cNvPr>
        <xdr:cNvSpPr txBox="1"/>
      </xdr:nvSpPr>
      <xdr:spPr>
        <a:xfrm>
          <a:off x="4392154" y="259366"/>
          <a:ext cx="938270" cy="33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1">
              <a:solidFill>
                <a:sysClr val="windowText" lastClr="000000"/>
              </a:solidFill>
            </a:rPr>
            <a:t>FILMax</a:t>
          </a:r>
        </a:p>
      </xdr:txBody>
    </xdr:sp>
    <xdr:clientData/>
  </xdr:twoCellAnchor>
  <xdr:twoCellAnchor>
    <xdr:from>
      <xdr:col>9</xdr:col>
      <xdr:colOff>188634</xdr:colOff>
      <xdr:row>1</xdr:row>
      <xdr:rowOff>70986</xdr:rowOff>
    </xdr:from>
    <xdr:to>
      <xdr:col>13</xdr:col>
      <xdr:colOff>491902</xdr:colOff>
      <xdr:row>3</xdr:row>
      <xdr:rowOff>17887</xdr:rowOff>
    </xdr:to>
    <xdr:sp macro="" textlink="">
      <xdr:nvSpPr>
        <xdr:cNvPr id="52" name="TextBox 51">
          <a:extLst>
            <a:ext uri="{FF2B5EF4-FFF2-40B4-BE49-F238E27FC236}">
              <a16:creationId xmlns:a16="http://schemas.microsoft.com/office/drawing/2014/main" id="{443678E4-7F90-83AB-B521-3EC196078E0C}"/>
            </a:ext>
          </a:extLst>
        </xdr:cNvPr>
        <xdr:cNvSpPr txBox="1"/>
      </xdr:nvSpPr>
      <xdr:spPr>
        <a:xfrm>
          <a:off x="5662155" y="258803"/>
          <a:ext cx="2735944" cy="32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1">
              <a:solidFill>
                <a:sysClr val="windowText" lastClr="000000"/>
              </a:solidFill>
            </a:rPr>
            <a:t>Q3</a:t>
          </a:r>
          <a:r>
            <a:rPr lang="en-GB" sz="1600" b="1" baseline="0">
              <a:solidFill>
                <a:sysClr val="windowText" lastClr="000000"/>
              </a:solidFill>
            </a:rPr>
            <a:t> SALES OVERVIEW</a:t>
          </a:r>
          <a:endParaRPr lang="en-GB" sz="1600" b="1">
            <a:solidFill>
              <a:sysClr val="windowText" lastClr="000000"/>
            </a:solidFill>
          </a:endParaRPr>
        </a:p>
      </xdr:txBody>
    </xdr:sp>
    <xdr:clientData/>
  </xdr:twoCellAnchor>
  <xdr:twoCellAnchor editAs="oneCell">
    <xdr:from>
      <xdr:col>20</xdr:col>
      <xdr:colOff>223592</xdr:colOff>
      <xdr:row>1</xdr:row>
      <xdr:rowOff>44719</xdr:rowOff>
    </xdr:from>
    <xdr:to>
      <xdr:col>22</xdr:col>
      <xdr:colOff>563451</xdr:colOff>
      <xdr:row>3</xdr:row>
      <xdr:rowOff>98379</xdr:rowOff>
    </xdr:to>
    <mc:AlternateContent xmlns:mc="http://schemas.openxmlformats.org/markup-compatibility/2006" xmlns:a14="http://schemas.microsoft.com/office/drawing/2010/main">
      <mc:Choice Requires="a14">
        <xdr:graphicFrame macro="">
          <xdr:nvGraphicFramePr>
            <xdr:cNvPr id="53" name="Month 1">
              <a:extLst>
                <a:ext uri="{FF2B5EF4-FFF2-40B4-BE49-F238E27FC236}">
                  <a16:creationId xmlns:a16="http://schemas.microsoft.com/office/drawing/2014/main" id="{61224185-8D22-4318-953A-4ECA7D53B61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386972" y="232536"/>
              <a:ext cx="1556197" cy="4292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599226</xdr:colOff>
      <xdr:row>0</xdr:row>
      <xdr:rowOff>125210</xdr:rowOff>
    </xdr:from>
    <xdr:to>
      <xdr:col>24</xdr:col>
      <xdr:colOff>259368</xdr:colOff>
      <xdr:row>3</xdr:row>
      <xdr:rowOff>44718</xdr:rowOff>
    </xdr:to>
    <xdr:pic>
      <xdr:nvPicPr>
        <xdr:cNvPr id="55" name="Picture 54">
          <a:extLst>
            <a:ext uri="{FF2B5EF4-FFF2-40B4-BE49-F238E27FC236}">
              <a16:creationId xmlns:a16="http://schemas.microsoft.com/office/drawing/2014/main" id="{2821B5AF-FCC0-DA90-F4E3-C412DF112BC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978944" y="125210"/>
          <a:ext cx="876480" cy="4829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407242</xdr:colOff>
      <xdr:row>18</xdr:row>
      <xdr:rowOff>32377</xdr:rowOff>
    </xdr:from>
    <xdr:to>
      <xdr:col>18</xdr:col>
      <xdr:colOff>370957</xdr:colOff>
      <xdr:row>36</xdr:row>
      <xdr:rowOff>112869</xdr:rowOff>
    </xdr:to>
    <xdr:sp macro="" textlink="">
      <xdr:nvSpPr>
        <xdr:cNvPr id="48" name="Rectangle: Rounded Corners 47">
          <a:extLst>
            <a:ext uri="{FF2B5EF4-FFF2-40B4-BE49-F238E27FC236}">
              <a16:creationId xmlns:a16="http://schemas.microsoft.com/office/drawing/2014/main" id="{9C99CD09-45F7-4923-BCCB-47BD8C7BB0FC}"/>
            </a:ext>
          </a:extLst>
        </xdr:cNvPr>
        <xdr:cNvSpPr/>
      </xdr:nvSpPr>
      <xdr:spPr>
        <a:xfrm>
          <a:off x="7705270" y="3413081"/>
          <a:ext cx="3612729" cy="3461196"/>
        </a:xfrm>
        <a:prstGeom prst="roundRect">
          <a:avLst>
            <a:gd name="adj" fmla="val 5520"/>
          </a:avLst>
        </a:prstGeom>
        <a:solidFill>
          <a:schemeClr val="bg1"/>
        </a:solidFill>
        <a:ln w="3175">
          <a:solidFill>
            <a:srgbClr val="42573E"/>
          </a:solid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518096</xdr:colOff>
      <xdr:row>0</xdr:row>
      <xdr:rowOff>91352</xdr:rowOff>
    </xdr:from>
    <xdr:to>
      <xdr:col>25</xdr:col>
      <xdr:colOff>100808</xdr:colOff>
      <xdr:row>37</xdr:row>
      <xdr:rowOff>62606</xdr:rowOff>
    </xdr:to>
    <xdr:sp macro="" textlink="">
      <xdr:nvSpPr>
        <xdr:cNvPr id="2" name="Rectangle: Rounded Corners 1">
          <a:extLst>
            <a:ext uri="{FF2B5EF4-FFF2-40B4-BE49-F238E27FC236}">
              <a16:creationId xmlns:a16="http://schemas.microsoft.com/office/drawing/2014/main" id="{1808987A-A344-49FB-8C1C-B2371DF2CCA1}"/>
            </a:ext>
          </a:extLst>
        </xdr:cNvPr>
        <xdr:cNvSpPr/>
      </xdr:nvSpPr>
      <xdr:spPr>
        <a:xfrm>
          <a:off x="3566096" y="91352"/>
          <a:ext cx="11774712" cy="6784804"/>
        </a:xfrm>
        <a:prstGeom prst="roundRect">
          <a:avLst>
            <a:gd name="adj" fmla="val 5520"/>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206829</xdr:colOff>
      <xdr:row>3</xdr:row>
      <xdr:rowOff>125211</xdr:rowOff>
    </xdr:from>
    <xdr:to>
      <xdr:col>12</xdr:col>
      <xdr:colOff>254000</xdr:colOff>
      <xdr:row>15</xdr:row>
      <xdr:rowOff>8943</xdr:rowOff>
    </xdr:to>
    <xdr:sp macro="" textlink="">
      <xdr:nvSpPr>
        <xdr:cNvPr id="3" name="Rectangle: Rounded Corners 2">
          <a:extLst>
            <a:ext uri="{FF2B5EF4-FFF2-40B4-BE49-F238E27FC236}">
              <a16:creationId xmlns:a16="http://schemas.microsoft.com/office/drawing/2014/main" id="{A1695501-4F37-4D90-BBD9-4BB9F37C2442}"/>
            </a:ext>
          </a:extLst>
        </xdr:cNvPr>
        <xdr:cNvSpPr/>
      </xdr:nvSpPr>
      <xdr:spPr>
        <a:xfrm>
          <a:off x="3864429" y="677661"/>
          <a:ext cx="3704771" cy="2093532"/>
        </a:xfrm>
        <a:prstGeom prst="roundRect">
          <a:avLst>
            <a:gd name="adj" fmla="val 5520"/>
          </a:avLst>
        </a:prstGeom>
        <a:noFill/>
        <a:ln w="3175">
          <a:solidFill>
            <a:srgbClr val="42573E"/>
          </a:solid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97564</xdr:colOff>
      <xdr:row>15</xdr:row>
      <xdr:rowOff>71548</xdr:rowOff>
    </xdr:from>
    <xdr:to>
      <xdr:col>12</xdr:col>
      <xdr:colOff>200976</xdr:colOff>
      <xdr:row>37</xdr:row>
      <xdr:rowOff>44718</xdr:rowOff>
    </xdr:to>
    <xdr:sp macro="" textlink="">
      <xdr:nvSpPr>
        <xdr:cNvPr id="4" name="Rectangle: Rounded Corners 3">
          <a:extLst>
            <a:ext uri="{FF2B5EF4-FFF2-40B4-BE49-F238E27FC236}">
              <a16:creationId xmlns:a16="http://schemas.microsoft.com/office/drawing/2014/main" id="{4C95AC35-091F-4040-ADE3-13ABDAD3395F}"/>
            </a:ext>
          </a:extLst>
        </xdr:cNvPr>
        <xdr:cNvSpPr/>
      </xdr:nvSpPr>
      <xdr:spPr>
        <a:xfrm>
          <a:off x="3755164" y="2833798"/>
          <a:ext cx="3761012" cy="4024470"/>
        </a:xfrm>
        <a:prstGeom prst="roundRect">
          <a:avLst>
            <a:gd name="adj" fmla="val 5520"/>
          </a:avLst>
        </a:prstGeom>
        <a:noFill/>
        <a:ln w="3175">
          <a:solidFill>
            <a:srgbClr val="42573E"/>
          </a:solid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426356</xdr:colOff>
      <xdr:row>3</xdr:row>
      <xdr:rowOff>107323</xdr:rowOff>
    </xdr:from>
    <xdr:to>
      <xdr:col>25</xdr:col>
      <xdr:colOff>0</xdr:colOff>
      <xdr:row>36</xdr:row>
      <xdr:rowOff>160985</xdr:rowOff>
    </xdr:to>
    <xdr:sp macro="" textlink="">
      <xdr:nvSpPr>
        <xdr:cNvPr id="5" name="Rectangle: Rounded Corners 4">
          <a:extLst>
            <a:ext uri="{FF2B5EF4-FFF2-40B4-BE49-F238E27FC236}">
              <a16:creationId xmlns:a16="http://schemas.microsoft.com/office/drawing/2014/main" id="{F9766684-F6BF-4804-AF77-896031C38579}"/>
            </a:ext>
          </a:extLst>
        </xdr:cNvPr>
        <xdr:cNvSpPr/>
      </xdr:nvSpPr>
      <xdr:spPr>
        <a:xfrm>
          <a:off x="11399156" y="659773"/>
          <a:ext cx="3840844" cy="6130612"/>
        </a:xfrm>
        <a:prstGeom prst="roundRect">
          <a:avLst>
            <a:gd name="adj" fmla="val 5520"/>
          </a:avLst>
        </a:prstGeom>
        <a:noFill/>
        <a:ln w="3175">
          <a:solidFill>
            <a:srgbClr val="42573E"/>
          </a:solid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398503</xdr:colOff>
      <xdr:row>3</xdr:row>
      <xdr:rowOff>107324</xdr:rowOff>
    </xdr:from>
    <xdr:to>
      <xdr:col>18</xdr:col>
      <xdr:colOff>371289</xdr:colOff>
      <xdr:row>18</xdr:row>
      <xdr:rowOff>10605</xdr:rowOff>
    </xdr:to>
    <xdr:sp macro="" textlink="">
      <xdr:nvSpPr>
        <xdr:cNvPr id="6" name="Rectangle: Rounded Corners 5">
          <a:extLst>
            <a:ext uri="{FF2B5EF4-FFF2-40B4-BE49-F238E27FC236}">
              <a16:creationId xmlns:a16="http://schemas.microsoft.com/office/drawing/2014/main" id="{A346EFEF-036A-4280-B6F3-24A0BA19F476}"/>
            </a:ext>
          </a:extLst>
        </xdr:cNvPr>
        <xdr:cNvSpPr/>
      </xdr:nvSpPr>
      <xdr:spPr>
        <a:xfrm>
          <a:off x="7713703" y="659774"/>
          <a:ext cx="3630386" cy="2665531"/>
        </a:xfrm>
        <a:prstGeom prst="roundRect">
          <a:avLst>
            <a:gd name="adj" fmla="val 5520"/>
          </a:avLst>
        </a:prstGeom>
        <a:solidFill>
          <a:srgbClr val="161616"/>
        </a:solidFill>
        <a:ln w="3175">
          <a:no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390070</xdr:colOff>
      <xdr:row>18</xdr:row>
      <xdr:rowOff>98381</xdr:rowOff>
    </xdr:from>
    <xdr:to>
      <xdr:col>18</xdr:col>
      <xdr:colOff>353785</xdr:colOff>
      <xdr:row>36</xdr:row>
      <xdr:rowOff>178873</xdr:rowOff>
    </xdr:to>
    <xdr:sp macro="" textlink="">
      <xdr:nvSpPr>
        <xdr:cNvPr id="7" name="Rectangle: Rounded Corners 6">
          <a:extLst>
            <a:ext uri="{FF2B5EF4-FFF2-40B4-BE49-F238E27FC236}">
              <a16:creationId xmlns:a16="http://schemas.microsoft.com/office/drawing/2014/main" id="{FB5FE9EB-D02C-4811-8059-E16BB436E18A}"/>
            </a:ext>
          </a:extLst>
        </xdr:cNvPr>
        <xdr:cNvSpPr/>
      </xdr:nvSpPr>
      <xdr:spPr>
        <a:xfrm>
          <a:off x="7705270" y="3413081"/>
          <a:ext cx="3621315" cy="3395192"/>
        </a:xfrm>
        <a:prstGeom prst="roundRect">
          <a:avLst>
            <a:gd name="adj" fmla="val 5520"/>
          </a:avLst>
        </a:prstGeom>
        <a:solidFill>
          <a:srgbClr val="161616"/>
        </a:solidFill>
        <a:ln w="3175">
          <a:noFill/>
        </a:ln>
        <a:effectLst>
          <a:outerShdw blurRad="63500" sx="101000" sy="101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209411</xdr:colOff>
      <xdr:row>3</xdr:row>
      <xdr:rowOff>152041</xdr:rowOff>
    </xdr:from>
    <xdr:to>
      <xdr:col>12</xdr:col>
      <xdr:colOff>250422</xdr:colOff>
      <xdr:row>14</xdr:row>
      <xdr:rowOff>160985</xdr:rowOff>
    </xdr:to>
    <xdr:sp macro="" textlink="">
      <xdr:nvSpPr>
        <xdr:cNvPr id="8" name="Rectangle: Rounded Corners 7">
          <a:extLst>
            <a:ext uri="{FF2B5EF4-FFF2-40B4-BE49-F238E27FC236}">
              <a16:creationId xmlns:a16="http://schemas.microsoft.com/office/drawing/2014/main" id="{AE8CA10F-0C76-4B71-9138-A02D7B0E37A6}"/>
            </a:ext>
          </a:extLst>
        </xdr:cNvPr>
        <xdr:cNvSpPr/>
      </xdr:nvSpPr>
      <xdr:spPr>
        <a:xfrm>
          <a:off x="3867011" y="704491"/>
          <a:ext cx="3698611" cy="2034594"/>
        </a:xfrm>
        <a:prstGeom prst="roundRect">
          <a:avLst>
            <a:gd name="adj" fmla="val 5520"/>
          </a:avLst>
        </a:prstGeom>
        <a:solidFill>
          <a:srgbClr val="42573E"/>
        </a:solidFill>
        <a:ln w="3175">
          <a:solidFill>
            <a:srgbClr val="42573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435555</xdr:colOff>
      <xdr:row>3</xdr:row>
      <xdr:rowOff>178873</xdr:rowOff>
    </xdr:from>
    <xdr:to>
      <xdr:col>18</xdr:col>
      <xdr:colOff>321972</xdr:colOff>
      <xdr:row>17</xdr:row>
      <xdr:rowOff>134666</xdr:rowOff>
    </xdr:to>
    <xdr:sp macro="" textlink="">
      <xdr:nvSpPr>
        <xdr:cNvPr id="9" name="Rectangle: Rounded Corners 8">
          <a:extLst>
            <a:ext uri="{FF2B5EF4-FFF2-40B4-BE49-F238E27FC236}">
              <a16:creationId xmlns:a16="http://schemas.microsoft.com/office/drawing/2014/main" id="{5A63D3A5-D768-486A-8348-6CA46D00714A}"/>
            </a:ext>
          </a:extLst>
        </xdr:cNvPr>
        <xdr:cNvSpPr/>
      </xdr:nvSpPr>
      <xdr:spPr>
        <a:xfrm>
          <a:off x="7750755" y="731323"/>
          <a:ext cx="3544017" cy="2533893"/>
        </a:xfrm>
        <a:prstGeom prst="roundRect">
          <a:avLst>
            <a:gd name="adj" fmla="val 5520"/>
          </a:avLst>
        </a:prstGeom>
        <a:noFill/>
        <a:ln w="3175">
          <a:solidFill>
            <a:srgbClr val="42573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125211</xdr:colOff>
      <xdr:row>15</xdr:row>
      <xdr:rowOff>134154</xdr:rowOff>
    </xdr:from>
    <xdr:to>
      <xdr:col>12</xdr:col>
      <xdr:colOff>217969</xdr:colOff>
      <xdr:row>36</xdr:row>
      <xdr:rowOff>170443</xdr:rowOff>
    </xdr:to>
    <xdr:sp macro="" textlink="">
      <xdr:nvSpPr>
        <xdr:cNvPr id="10" name="Rectangle: Rounded Corners 9">
          <a:extLst>
            <a:ext uri="{FF2B5EF4-FFF2-40B4-BE49-F238E27FC236}">
              <a16:creationId xmlns:a16="http://schemas.microsoft.com/office/drawing/2014/main" id="{E4828C6D-7F52-4616-89FA-E3EDBA52A7CD}"/>
            </a:ext>
          </a:extLst>
        </xdr:cNvPr>
        <xdr:cNvSpPr/>
      </xdr:nvSpPr>
      <xdr:spPr>
        <a:xfrm>
          <a:off x="3782811" y="2896404"/>
          <a:ext cx="3750358" cy="3903439"/>
        </a:xfrm>
        <a:prstGeom prst="roundRect">
          <a:avLst>
            <a:gd name="adj" fmla="val 5520"/>
          </a:avLst>
        </a:prstGeom>
        <a:solidFill>
          <a:srgbClr val="161616"/>
        </a:solidFill>
        <a:ln w="3175">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453571</xdr:colOff>
      <xdr:row>18</xdr:row>
      <xdr:rowOff>134155</xdr:rowOff>
    </xdr:from>
    <xdr:to>
      <xdr:col>18</xdr:col>
      <xdr:colOff>299356</xdr:colOff>
      <xdr:row>36</xdr:row>
      <xdr:rowOff>80492</xdr:rowOff>
    </xdr:to>
    <xdr:sp macro="" textlink="">
      <xdr:nvSpPr>
        <xdr:cNvPr id="11" name="Rectangle: Rounded Corners 10">
          <a:extLst>
            <a:ext uri="{FF2B5EF4-FFF2-40B4-BE49-F238E27FC236}">
              <a16:creationId xmlns:a16="http://schemas.microsoft.com/office/drawing/2014/main" id="{A788698A-A52F-4ABC-85EA-6AA2A463AE10}"/>
            </a:ext>
          </a:extLst>
        </xdr:cNvPr>
        <xdr:cNvSpPr/>
      </xdr:nvSpPr>
      <xdr:spPr>
        <a:xfrm>
          <a:off x="7768771" y="3448855"/>
          <a:ext cx="3503385" cy="3261037"/>
        </a:xfrm>
        <a:prstGeom prst="roundRect">
          <a:avLst>
            <a:gd name="adj" fmla="val 5520"/>
          </a:avLst>
        </a:prstGeom>
        <a:noFill/>
        <a:ln w="3175">
          <a:solidFill>
            <a:srgbClr val="42573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489856</xdr:colOff>
      <xdr:row>3</xdr:row>
      <xdr:rowOff>178873</xdr:rowOff>
    </xdr:from>
    <xdr:to>
      <xdr:col>24</xdr:col>
      <xdr:colOff>562429</xdr:colOff>
      <xdr:row>36</xdr:row>
      <xdr:rowOff>82155</xdr:rowOff>
    </xdr:to>
    <xdr:sp macro="" textlink="">
      <xdr:nvSpPr>
        <xdr:cNvPr id="12" name="Rectangle: Rounded Corners 11">
          <a:extLst>
            <a:ext uri="{FF2B5EF4-FFF2-40B4-BE49-F238E27FC236}">
              <a16:creationId xmlns:a16="http://schemas.microsoft.com/office/drawing/2014/main" id="{019BD150-FC9F-4B4C-86E5-CC97468A72A2}"/>
            </a:ext>
          </a:extLst>
        </xdr:cNvPr>
        <xdr:cNvSpPr/>
      </xdr:nvSpPr>
      <xdr:spPr>
        <a:xfrm>
          <a:off x="11462656" y="731323"/>
          <a:ext cx="3730173" cy="5980232"/>
        </a:xfrm>
        <a:prstGeom prst="roundRect">
          <a:avLst>
            <a:gd name="adj" fmla="val 5520"/>
          </a:avLst>
        </a:prstGeom>
        <a:noFill/>
        <a:ln w="3175">
          <a:solidFill>
            <a:srgbClr val="42573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427507</xdr:colOff>
      <xdr:row>7</xdr:row>
      <xdr:rowOff>44719</xdr:rowOff>
    </xdr:from>
    <xdr:to>
      <xdr:col>18</xdr:col>
      <xdr:colOff>191649</xdr:colOff>
      <xdr:row>17</xdr:row>
      <xdr:rowOff>89437</xdr:rowOff>
    </xdr:to>
    <xdr:graphicFrame macro="">
      <xdr:nvGraphicFramePr>
        <xdr:cNvPr id="13" name="Chart 12">
          <a:extLst>
            <a:ext uri="{FF2B5EF4-FFF2-40B4-BE49-F238E27FC236}">
              <a16:creationId xmlns:a16="http://schemas.microsoft.com/office/drawing/2014/main" id="{E7E98E47-CCFB-4657-ABB4-8E844C273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134155</xdr:colOff>
      <xdr:row>16</xdr:row>
      <xdr:rowOff>143099</xdr:rowOff>
    </xdr:from>
    <xdr:to>
      <xdr:col>12</xdr:col>
      <xdr:colOff>44718</xdr:colOff>
      <xdr:row>36</xdr:row>
      <xdr:rowOff>160987</xdr:rowOff>
    </xdr:to>
    <xdr:graphicFrame macro="">
      <xdr:nvGraphicFramePr>
        <xdr:cNvPr id="14" name="Chart 13">
          <a:extLst>
            <a:ext uri="{FF2B5EF4-FFF2-40B4-BE49-F238E27FC236}">
              <a16:creationId xmlns:a16="http://schemas.microsoft.com/office/drawing/2014/main" id="{D67BEC84-8468-4746-98C8-B0808199B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535215</xdr:colOff>
      <xdr:row>21</xdr:row>
      <xdr:rowOff>17887</xdr:rowOff>
    </xdr:from>
    <xdr:to>
      <xdr:col>24</xdr:col>
      <xdr:colOff>544286</xdr:colOff>
      <xdr:row>36</xdr:row>
      <xdr:rowOff>26830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52E04D11-E795-4C7B-9DCE-AE98313B86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370855" y="3858367"/>
              <a:ext cx="3620951" cy="275214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453571</xdr:colOff>
      <xdr:row>5</xdr:row>
      <xdr:rowOff>89435</xdr:rowOff>
    </xdr:from>
    <xdr:to>
      <xdr:col>24</xdr:col>
      <xdr:colOff>580571</xdr:colOff>
      <xdr:row>18</xdr:row>
      <xdr:rowOff>178873</xdr:rowOff>
    </xdr:to>
    <xdr:graphicFrame macro="">
      <xdr:nvGraphicFramePr>
        <xdr:cNvPr id="16" name="Chart 15">
          <a:extLst>
            <a:ext uri="{FF2B5EF4-FFF2-40B4-BE49-F238E27FC236}">
              <a16:creationId xmlns:a16="http://schemas.microsoft.com/office/drawing/2014/main" id="{78F7906C-09D9-4BF1-9ECF-C0BB3E193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453572</xdr:colOff>
      <xdr:row>19</xdr:row>
      <xdr:rowOff>125211</xdr:rowOff>
    </xdr:from>
    <xdr:to>
      <xdr:col>18</xdr:col>
      <xdr:colOff>299358</xdr:colOff>
      <xdr:row>35</xdr:row>
      <xdr:rowOff>169929</xdr:rowOff>
    </xdr:to>
    <xdr:graphicFrame macro="">
      <xdr:nvGraphicFramePr>
        <xdr:cNvPr id="17" name="Chart 16">
          <a:extLst>
            <a:ext uri="{FF2B5EF4-FFF2-40B4-BE49-F238E27FC236}">
              <a16:creationId xmlns:a16="http://schemas.microsoft.com/office/drawing/2014/main" id="{B9B217F2-018B-4E0A-883F-F51A91E3D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354169</xdr:colOff>
      <xdr:row>7</xdr:row>
      <xdr:rowOff>27343</xdr:rowOff>
    </xdr:from>
    <xdr:to>
      <xdr:col>6</xdr:col>
      <xdr:colOff>363240</xdr:colOff>
      <xdr:row>14</xdr:row>
      <xdr:rowOff>90842</xdr:rowOff>
    </xdr:to>
    <xdr:cxnSp macro="">
      <xdr:nvCxnSpPr>
        <xdr:cNvPr id="18" name="Straight Connector 17">
          <a:extLst>
            <a:ext uri="{FF2B5EF4-FFF2-40B4-BE49-F238E27FC236}">
              <a16:creationId xmlns:a16="http://schemas.microsoft.com/office/drawing/2014/main" id="{55857B8A-029D-460F-82E8-AA3BBAB69AA4}"/>
            </a:ext>
          </a:extLst>
        </xdr:cNvPr>
        <xdr:cNvCxnSpPr/>
      </xdr:nvCxnSpPr>
      <xdr:spPr>
        <a:xfrm>
          <a:off x="4011769" y="1316393"/>
          <a:ext cx="9071" cy="1352549"/>
        </a:xfrm>
        <a:prstGeom prst="line">
          <a:avLst/>
        </a:prstGeom>
        <a:ln w="19050">
          <a:solidFill>
            <a:schemeClr val="accent6">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369859</xdr:colOff>
      <xdr:row>7</xdr:row>
      <xdr:rowOff>25400</xdr:rowOff>
    </xdr:from>
    <xdr:to>
      <xdr:col>8</xdr:col>
      <xdr:colOff>378930</xdr:colOff>
      <xdr:row>14</xdr:row>
      <xdr:rowOff>88899</xdr:rowOff>
    </xdr:to>
    <xdr:cxnSp macro="">
      <xdr:nvCxnSpPr>
        <xdr:cNvPr id="19" name="Straight Connector 18">
          <a:extLst>
            <a:ext uri="{FF2B5EF4-FFF2-40B4-BE49-F238E27FC236}">
              <a16:creationId xmlns:a16="http://schemas.microsoft.com/office/drawing/2014/main" id="{F5F1D1AF-015D-4DEC-AF2F-86B475F04FE1}"/>
            </a:ext>
          </a:extLst>
        </xdr:cNvPr>
        <xdr:cNvCxnSpPr/>
      </xdr:nvCxnSpPr>
      <xdr:spPr>
        <a:xfrm>
          <a:off x="5246659" y="1314450"/>
          <a:ext cx="9071" cy="1352549"/>
        </a:xfrm>
        <a:prstGeom prst="line">
          <a:avLst/>
        </a:prstGeom>
        <a:ln w="19050">
          <a:solidFill>
            <a:schemeClr val="accent6">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331886</xdr:colOff>
      <xdr:row>7</xdr:row>
      <xdr:rowOff>23458</xdr:rowOff>
    </xdr:from>
    <xdr:to>
      <xdr:col>10</xdr:col>
      <xdr:colOff>340957</xdr:colOff>
      <xdr:row>14</xdr:row>
      <xdr:rowOff>86957</xdr:rowOff>
    </xdr:to>
    <xdr:cxnSp macro="">
      <xdr:nvCxnSpPr>
        <xdr:cNvPr id="20" name="Straight Connector 19">
          <a:extLst>
            <a:ext uri="{FF2B5EF4-FFF2-40B4-BE49-F238E27FC236}">
              <a16:creationId xmlns:a16="http://schemas.microsoft.com/office/drawing/2014/main" id="{1C1257A4-62CE-41B9-8D7D-97CCFA480C16}"/>
            </a:ext>
          </a:extLst>
        </xdr:cNvPr>
        <xdr:cNvCxnSpPr/>
      </xdr:nvCxnSpPr>
      <xdr:spPr>
        <a:xfrm>
          <a:off x="6427886" y="1312508"/>
          <a:ext cx="9071" cy="1352549"/>
        </a:xfrm>
        <a:prstGeom prst="line">
          <a:avLst/>
        </a:prstGeom>
        <a:ln w="19050">
          <a:solidFill>
            <a:schemeClr val="accent6">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354679</xdr:colOff>
      <xdr:row>7</xdr:row>
      <xdr:rowOff>9457</xdr:rowOff>
    </xdr:from>
    <xdr:to>
      <xdr:col>8</xdr:col>
      <xdr:colOff>254894</xdr:colOff>
      <xdr:row>8</xdr:row>
      <xdr:rowOff>100170</xdr:rowOff>
    </xdr:to>
    <xdr:sp macro="" textlink="">
      <xdr:nvSpPr>
        <xdr:cNvPr id="21" name="TextBox 20">
          <a:extLst>
            <a:ext uri="{FF2B5EF4-FFF2-40B4-BE49-F238E27FC236}">
              <a16:creationId xmlns:a16="http://schemas.microsoft.com/office/drawing/2014/main" id="{82E28B31-C755-4E86-8292-79199DCB446B}"/>
            </a:ext>
          </a:extLst>
        </xdr:cNvPr>
        <xdr:cNvSpPr txBox="1"/>
      </xdr:nvSpPr>
      <xdr:spPr>
        <a:xfrm>
          <a:off x="4012279" y="1298507"/>
          <a:ext cx="1119415" cy="27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a:solidFill>
                <a:schemeClr val="bg1"/>
              </a:solidFill>
            </a:rPr>
            <a:t>Revenue</a:t>
          </a:r>
        </a:p>
      </xdr:txBody>
    </xdr:sp>
    <xdr:clientData/>
  </xdr:twoCellAnchor>
  <xdr:twoCellAnchor>
    <xdr:from>
      <xdr:col>8</xdr:col>
      <xdr:colOff>432590</xdr:colOff>
      <xdr:row>6</xdr:row>
      <xdr:rowOff>186772</xdr:rowOff>
    </xdr:from>
    <xdr:to>
      <xdr:col>10</xdr:col>
      <xdr:colOff>332806</xdr:colOff>
      <xdr:row>8</xdr:row>
      <xdr:rowOff>89668</xdr:rowOff>
    </xdr:to>
    <xdr:sp macro="" textlink="">
      <xdr:nvSpPr>
        <xdr:cNvPr id="22" name="TextBox 21">
          <a:extLst>
            <a:ext uri="{FF2B5EF4-FFF2-40B4-BE49-F238E27FC236}">
              <a16:creationId xmlns:a16="http://schemas.microsoft.com/office/drawing/2014/main" id="{44F7859D-E76F-4ECD-A1F8-56AF8CCD6E50}"/>
            </a:ext>
          </a:extLst>
        </xdr:cNvPr>
        <xdr:cNvSpPr txBox="1"/>
      </xdr:nvSpPr>
      <xdr:spPr>
        <a:xfrm>
          <a:off x="5309390" y="1291672"/>
          <a:ext cx="1119416" cy="271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a:solidFill>
                <a:schemeClr val="bg1"/>
              </a:solidFill>
            </a:rPr>
            <a:t>Orders</a:t>
          </a:r>
        </a:p>
      </xdr:txBody>
    </xdr:sp>
    <xdr:clientData/>
  </xdr:twoCellAnchor>
  <xdr:twoCellAnchor>
    <xdr:from>
      <xdr:col>10</xdr:col>
      <xdr:colOff>295854</xdr:colOff>
      <xdr:row>6</xdr:row>
      <xdr:rowOff>167199</xdr:rowOff>
    </xdr:from>
    <xdr:to>
      <xdr:col>12</xdr:col>
      <xdr:colOff>196069</xdr:colOff>
      <xdr:row>8</xdr:row>
      <xdr:rowOff>70095</xdr:rowOff>
    </xdr:to>
    <xdr:sp macro="" textlink="">
      <xdr:nvSpPr>
        <xdr:cNvPr id="23" name="TextBox 22">
          <a:extLst>
            <a:ext uri="{FF2B5EF4-FFF2-40B4-BE49-F238E27FC236}">
              <a16:creationId xmlns:a16="http://schemas.microsoft.com/office/drawing/2014/main" id="{F33109E3-3491-4237-988F-648A0F5B277E}"/>
            </a:ext>
          </a:extLst>
        </xdr:cNvPr>
        <xdr:cNvSpPr txBox="1"/>
      </xdr:nvSpPr>
      <xdr:spPr>
        <a:xfrm>
          <a:off x="6391854" y="1272099"/>
          <a:ext cx="1119415" cy="271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a:solidFill>
                <a:schemeClr val="bg1"/>
              </a:solidFill>
            </a:rPr>
            <a:t>Tickets</a:t>
          </a:r>
          <a:r>
            <a:rPr lang="en-GB" sz="1000" baseline="0">
              <a:solidFill>
                <a:schemeClr val="bg1"/>
              </a:solidFill>
            </a:rPr>
            <a:t> Sold</a:t>
          </a:r>
          <a:endParaRPr lang="en-GB" sz="1000">
            <a:solidFill>
              <a:schemeClr val="bg1"/>
            </a:solidFill>
          </a:endParaRPr>
        </a:p>
      </xdr:txBody>
    </xdr:sp>
    <xdr:clientData/>
  </xdr:twoCellAnchor>
  <xdr:twoCellAnchor>
    <xdr:from>
      <xdr:col>6</xdr:col>
      <xdr:colOff>406400</xdr:colOff>
      <xdr:row>9</xdr:row>
      <xdr:rowOff>142691</xdr:rowOff>
    </xdr:from>
    <xdr:to>
      <xdr:col>8</xdr:col>
      <xdr:colOff>306615</xdr:colOff>
      <xdr:row>11</xdr:row>
      <xdr:rowOff>51976</xdr:rowOff>
    </xdr:to>
    <xdr:sp macro="" textlink="Revenue">
      <xdr:nvSpPr>
        <xdr:cNvPr id="24" name="TextBox 23">
          <a:extLst>
            <a:ext uri="{FF2B5EF4-FFF2-40B4-BE49-F238E27FC236}">
              <a16:creationId xmlns:a16="http://schemas.microsoft.com/office/drawing/2014/main" id="{6B31C2C1-B8CE-4A66-AD4F-BB96720BA0B5}"/>
            </a:ext>
          </a:extLst>
        </xdr:cNvPr>
        <xdr:cNvSpPr txBox="1"/>
      </xdr:nvSpPr>
      <xdr:spPr>
        <a:xfrm>
          <a:off x="4064000" y="1800041"/>
          <a:ext cx="1119415" cy="277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C22052-0E99-4418-88A7-5B18D79239D4}" type="TxLink">
            <a:rPr lang="en-US" sz="1600" b="1" i="0" u="none" strike="noStrike">
              <a:solidFill>
                <a:schemeClr val="bg1"/>
              </a:solidFill>
              <a:latin typeface="Calibri"/>
              <a:ea typeface="Calibri"/>
              <a:cs typeface="Calibri"/>
            </a:rPr>
            <a:pPr algn="ctr"/>
            <a:t> $95,765 </a:t>
          </a:fld>
          <a:endParaRPr lang="en-GB" sz="1600" b="1">
            <a:solidFill>
              <a:schemeClr val="bg1"/>
            </a:solidFill>
          </a:endParaRPr>
        </a:p>
      </xdr:txBody>
    </xdr:sp>
    <xdr:clientData/>
  </xdr:twoCellAnchor>
  <xdr:twoCellAnchor>
    <xdr:from>
      <xdr:col>8</xdr:col>
      <xdr:colOff>359099</xdr:colOff>
      <xdr:row>9</xdr:row>
      <xdr:rowOff>158764</xdr:rowOff>
    </xdr:from>
    <xdr:to>
      <xdr:col>10</xdr:col>
      <xdr:colOff>259315</xdr:colOff>
      <xdr:row>11</xdr:row>
      <xdr:rowOff>107324</xdr:rowOff>
    </xdr:to>
    <xdr:sp macro="" textlink="Orders">
      <xdr:nvSpPr>
        <xdr:cNvPr id="25" name="TextBox 24">
          <a:extLst>
            <a:ext uri="{FF2B5EF4-FFF2-40B4-BE49-F238E27FC236}">
              <a16:creationId xmlns:a16="http://schemas.microsoft.com/office/drawing/2014/main" id="{4AB8F7D5-02D6-4FBC-8896-E781C0AAAE3E}"/>
            </a:ext>
          </a:extLst>
        </xdr:cNvPr>
        <xdr:cNvSpPr txBox="1"/>
      </xdr:nvSpPr>
      <xdr:spPr>
        <a:xfrm>
          <a:off x="5235899" y="1816114"/>
          <a:ext cx="1119416" cy="316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A1BB42-CD0A-4B35-9B88-4511E90AEC3F}" type="TxLink">
            <a:rPr lang="en-US" sz="1600" b="1" i="0" u="none" strike="noStrike">
              <a:solidFill>
                <a:schemeClr val="bg1"/>
              </a:solidFill>
              <a:latin typeface="Calibri"/>
              <a:ea typeface="Calibri"/>
              <a:cs typeface="Calibri"/>
            </a:rPr>
            <a:pPr algn="ctr"/>
            <a:t> 642 </a:t>
          </a:fld>
          <a:endParaRPr lang="en-GB" sz="2000" b="1">
            <a:solidFill>
              <a:schemeClr val="bg1"/>
            </a:solidFill>
          </a:endParaRPr>
        </a:p>
      </xdr:txBody>
    </xdr:sp>
    <xdr:clientData/>
  </xdr:twoCellAnchor>
  <xdr:twoCellAnchor>
    <xdr:from>
      <xdr:col>10</xdr:col>
      <xdr:colOff>276026</xdr:colOff>
      <xdr:row>9</xdr:row>
      <xdr:rowOff>165893</xdr:rowOff>
    </xdr:from>
    <xdr:to>
      <xdr:col>12</xdr:col>
      <xdr:colOff>176241</xdr:colOff>
      <xdr:row>11</xdr:row>
      <xdr:rowOff>75178</xdr:rowOff>
    </xdr:to>
    <xdr:sp macro="" textlink="Quanity">
      <xdr:nvSpPr>
        <xdr:cNvPr id="26" name="TextBox 25">
          <a:extLst>
            <a:ext uri="{FF2B5EF4-FFF2-40B4-BE49-F238E27FC236}">
              <a16:creationId xmlns:a16="http://schemas.microsoft.com/office/drawing/2014/main" id="{ECA1259D-D512-4B25-8731-C40351183DB3}"/>
            </a:ext>
          </a:extLst>
        </xdr:cNvPr>
        <xdr:cNvSpPr txBox="1"/>
      </xdr:nvSpPr>
      <xdr:spPr>
        <a:xfrm>
          <a:off x="6372026" y="1823243"/>
          <a:ext cx="1119415" cy="277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087E34-F3BD-40D0-8654-46E08492A687}" type="TxLink">
            <a:rPr lang="en-US" sz="1600" b="1" i="0" u="none" strike="noStrike">
              <a:solidFill>
                <a:schemeClr val="bg1"/>
              </a:solidFill>
              <a:latin typeface="Calibri"/>
              <a:ea typeface="Calibri"/>
              <a:cs typeface="Calibri"/>
            </a:rPr>
            <a:pPr algn="ctr"/>
            <a:t> 1,925 </a:t>
          </a:fld>
          <a:endParaRPr lang="en-GB" sz="2800" b="1">
            <a:solidFill>
              <a:schemeClr val="bg1"/>
            </a:solidFill>
          </a:endParaRPr>
        </a:p>
      </xdr:txBody>
    </xdr:sp>
    <xdr:clientData/>
  </xdr:twoCellAnchor>
  <xdr:twoCellAnchor>
    <xdr:from>
      <xdr:col>6</xdr:col>
      <xdr:colOff>415598</xdr:colOff>
      <xdr:row>12</xdr:row>
      <xdr:rowOff>187026</xdr:rowOff>
    </xdr:from>
    <xdr:to>
      <xdr:col>8</xdr:col>
      <xdr:colOff>315813</xdr:colOff>
      <xdr:row>14</xdr:row>
      <xdr:rowOff>89923</xdr:rowOff>
    </xdr:to>
    <xdr:sp macro="" textlink="RevenueMoM">
      <xdr:nvSpPr>
        <xdr:cNvPr id="27" name="TextBox 26">
          <a:extLst>
            <a:ext uri="{FF2B5EF4-FFF2-40B4-BE49-F238E27FC236}">
              <a16:creationId xmlns:a16="http://schemas.microsoft.com/office/drawing/2014/main" id="{DD8BDDC1-0995-4D4D-9FEF-F8841A588107}"/>
            </a:ext>
          </a:extLst>
        </xdr:cNvPr>
        <xdr:cNvSpPr txBox="1"/>
      </xdr:nvSpPr>
      <xdr:spPr>
        <a:xfrm>
          <a:off x="4073198" y="2396826"/>
          <a:ext cx="1119415" cy="271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9301A2-9996-48D9-81B8-327481C3C60F}" type="TxLink">
            <a:rPr lang="en-US" sz="1050" b="0" i="0" u="none" strike="noStrike">
              <a:solidFill>
                <a:schemeClr val="bg1"/>
              </a:solidFill>
              <a:latin typeface="Calibri"/>
              <a:ea typeface="Calibri"/>
              <a:cs typeface="Calibri"/>
            </a:rPr>
            <a:pPr algn="ctr"/>
            <a:t>▼100% MoM</a:t>
          </a:fld>
          <a:endParaRPr lang="en-GB" sz="1050">
            <a:solidFill>
              <a:schemeClr val="bg1"/>
            </a:solidFill>
          </a:endParaRPr>
        </a:p>
      </xdr:txBody>
    </xdr:sp>
    <xdr:clientData/>
  </xdr:twoCellAnchor>
  <xdr:twoCellAnchor>
    <xdr:from>
      <xdr:col>8</xdr:col>
      <xdr:colOff>358971</xdr:colOff>
      <xdr:row>12</xdr:row>
      <xdr:rowOff>176268</xdr:rowOff>
    </xdr:from>
    <xdr:to>
      <xdr:col>10</xdr:col>
      <xdr:colOff>259187</xdr:colOff>
      <xdr:row>14</xdr:row>
      <xdr:rowOff>79165</xdr:rowOff>
    </xdr:to>
    <xdr:sp macro="" textlink="OrdersMoM">
      <xdr:nvSpPr>
        <xdr:cNvPr id="28" name="TextBox 27">
          <a:extLst>
            <a:ext uri="{FF2B5EF4-FFF2-40B4-BE49-F238E27FC236}">
              <a16:creationId xmlns:a16="http://schemas.microsoft.com/office/drawing/2014/main" id="{B0F490CE-F4BA-42C4-B941-7FC463C596E0}"/>
            </a:ext>
          </a:extLst>
        </xdr:cNvPr>
        <xdr:cNvSpPr txBox="1"/>
      </xdr:nvSpPr>
      <xdr:spPr>
        <a:xfrm>
          <a:off x="5235771" y="2386068"/>
          <a:ext cx="1119416" cy="271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68DAC2F-1BD4-4FA5-881D-C656F685C781}" type="TxLink">
            <a:rPr lang="en-US" sz="1050" b="0" i="0" u="none" strike="noStrike">
              <a:solidFill>
                <a:schemeClr val="bg1"/>
              </a:solidFill>
              <a:latin typeface="Calibri"/>
              <a:ea typeface="Calibri"/>
              <a:cs typeface="Calibri"/>
            </a:rPr>
            <a:pPr algn="ctr"/>
            <a:t>▼100% MoM</a:t>
          </a:fld>
          <a:endParaRPr lang="en-GB" sz="1050">
            <a:solidFill>
              <a:schemeClr val="bg1"/>
            </a:solidFill>
          </a:endParaRPr>
        </a:p>
      </xdr:txBody>
    </xdr:sp>
    <xdr:clientData/>
  </xdr:twoCellAnchor>
  <xdr:twoCellAnchor>
    <xdr:from>
      <xdr:col>10</xdr:col>
      <xdr:colOff>266570</xdr:colOff>
      <xdr:row>12</xdr:row>
      <xdr:rowOff>174455</xdr:rowOff>
    </xdr:from>
    <xdr:to>
      <xdr:col>12</xdr:col>
      <xdr:colOff>166785</xdr:colOff>
      <xdr:row>14</xdr:row>
      <xdr:rowOff>77352</xdr:rowOff>
    </xdr:to>
    <xdr:sp macro="" textlink="QtyMoM">
      <xdr:nvSpPr>
        <xdr:cNvPr id="29" name="TextBox 28">
          <a:extLst>
            <a:ext uri="{FF2B5EF4-FFF2-40B4-BE49-F238E27FC236}">
              <a16:creationId xmlns:a16="http://schemas.microsoft.com/office/drawing/2014/main" id="{33B80DE7-2AA2-43E7-B46E-612539987375}"/>
            </a:ext>
          </a:extLst>
        </xdr:cNvPr>
        <xdr:cNvSpPr txBox="1"/>
      </xdr:nvSpPr>
      <xdr:spPr>
        <a:xfrm>
          <a:off x="6362570" y="2384255"/>
          <a:ext cx="1119415" cy="271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619BFA-95E1-408F-B836-B9B117498251}" type="TxLink">
            <a:rPr lang="en-US" sz="1050" b="0" i="0" u="none" strike="noStrike">
              <a:solidFill>
                <a:schemeClr val="bg1"/>
              </a:solidFill>
              <a:latin typeface="Calibri"/>
              <a:ea typeface="Calibri"/>
              <a:cs typeface="Calibri"/>
            </a:rPr>
            <a:pPr algn="ctr"/>
            <a:t>▼100% MoM</a:t>
          </a:fld>
          <a:endParaRPr lang="en-GB" sz="1050">
            <a:solidFill>
              <a:schemeClr val="bg1"/>
            </a:solidFill>
          </a:endParaRPr>
        </a:p>
      </xdr:txBody>
    </xdr:sp>
    <xdr:clientData/>
  </xdr:twoCellAnchor>
  <xdr:twoCellAnchor>
    <xdr:from>
      <xdr:col>6</xdr:col>
      <xdr:colOff>261256</xdr:colOff>
      <xdr:row>3</xdr:row>
      <xdr:rowOff>135432</xdr:rowOff>
    </xdr:from>
    <xdr:to>
      <xdr:col>9</xdr:col>
      <xdr:colOff>190500</xdr:colOff>
      <xdr:row>5</xdr:row>
      <xdr:rowOff>61048</xdr:rowOff>
    </xdr:to>
    <xdr:sp macro="" textlink="">
      <xdr:nvSpPr>
        <xdr:cNvPr id="30" name="TextBox 29">
          <a:extLst>
            <a:ext uri="{FF2B5EF4-FFF2-40B4-BE49-F238E27FC236}">
              <a16:creationId xmlns:a16="http://schemas.microsoft.com/office/drawing/2014/main" id="{104FC4E3-5B4D-4E94-A848-E466DAA2ACAC}"/>
            </a:ext>
          </a:extLst>
        </xdr:cNvPr>
        <xdr:cNvSpPr txBox="1"/>
      </xdr:nvSpPr>
      <xdr:spPr>
        <a:xfrm>
          <a:off x="3918856" y="687882"/>
          <a:ext cx="1758044" cy="293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chemeClr val="bg1"/>
              </a:solidFill>
            </a:rPr>
            <a:t>Key</a:t>
          </a:r>
          <a:r>
            <a:rPr lang="en-GB" sz="1000" baseline="0">
              <a:solidFill>
                <a:schemeClr val="bg1"/>
              </a:solidFill>
            </a:rPr>
            <a:t> Performance Indicators</a:t>
          </a:r>
          <a:endParaRPr lang="en-GB" sz="1000">
            <a:solidFill>
              <a:schemeClr val="bg1"/>
            </a:solidFill>
          </a:endParaRPr>
        </a:p>
      </xdr:txBody>
    </xdr:sp>
    <xdr:clientData/>
  </xdr:twoCellAnchor>
  <xdr:twoCellAnchor>
    <xdr:from>
      <xdr:col>6</xdr:col>
      <xdr:colOff>232228</xdr:colOff>
      <xdr:row>4</xdr:row>
      <xdr:rowOff>145142</xdr:rowOff>
    </xdr:from>
    <xdr:to>
      <xdr:col>10</xdr:col>
      <xdr:colOff>108857</xdr:colOff>
      <xdr:row>6</xdr:row>
      <xdr:rowOff>23587</xdr:rowOff>
    </xdr:to>
    <xdr:sp macro="" textlink="">
      <xdr:nvSpPr>
        <xdr:cNvPr id="31" name="TextBox 30">
          <a:extLst>
            <a:ext uri="{FF2B5EF4-FFF2-40B4-BE49-F238E27FC236}">
              <a16:creationId xmlns:a16="http://schemas.microsoft.com/office/drawing/2014/main" id="{23695B9C-C9C9-4AE1-9F6D-26B77BC2DA92}"/>
            </a:ext>
          </a:extLst>
        </xdr:cNvPr>
        <xdr:cNvSpPr txBox="1"/>
      </xdr:nvSpPr>
      <xdr:spPr>
        <a:xfrm>
          <a:off x="3889828" y="881742"/>
          <a:ext cx="2315029" cy="246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i="1">
              <a:solidFill>
                <a:schemeClr val="bg1"/>
              </a:solidFill>
            </a:rPr>
            <a:t>Overall</a:t>
          </a:r>
          <a:r>
            <a:rPr lang="en-GB" sz="1000" i="1" baseline="0">
              <a:solidFill>
                <a:schemeClr val="bg1"/>
              </a:solidFill>
            </a:rPr>
            <a:t> Health of the Business across Q3</a:t>
          </a:r>
          <a:endParaRPr lang="en-GB" sz="1000" i="1">
            <a:solidFill>
              <a:schemeClr val="bg1"/>
            </a:solidFill>
          </a:endParaRPr>
        </a:p>
      </xdr:txBody>
    </xdr:sp>
    <xdr:clientData/>
  </xdr:twoCellAnchor>
  <xdr:twoCellAnchor>
    <xdr:from>
      <xdr:col>6</xdr:col>
      <xdr:colOff>232994</xdr:colOff>
      <xdr:row>15</xdr:row>
      <xdr:rowOff>88515</xdr:rowOff>
    </xdr:from>
    <xdr:to>
      <xdr:col>9</xdr:col>
      <xdr:colOff>162238</xdr:colOff>
      <xdr:row>17</xdr:row>
      <xdr:rowOff>7743</xdr:rowOff>
    </xdr:to>
    <xdr:sp macro="" textlink="">
      <xdr:nvSpPr>
        <xdr:cNvPr id="32" name="TextBox 31">
          <a:extLst>
            <a:ext uri="{FF2B5EF4-FFF2-40B4-BE49-F238E27FC236}">
              <a16:creationId xmlns:a16="http://schemas.microsoft.com/office/drawing/2014/main" id="{0DE49433-76A8-4E1D-8B92-157B7CF32483}"/>
            </a:ext>
          </a:extLst>
        </xdr:cNvPr>
        <xdr:cNvSpPr txBox="1"/>
      </xdr:nvSpPr>
      <xdr:spPr>
        <a:xfrm>
          <a:off x="3890594" y="2850765"/>
          <a:ext cx="1758044" cy="28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chemeClr val="bg1"/>
              </a:solidFill>
            </a:rPr>
            <a:t>Movie</a:t>
          </a:r>
          <a:r>
            <a:rPr lang="en-GB" sz="1000" baseline="0">
              <a:solidFill>
                <a:schemeClr val="bg1"/>
              </a:solidFill>
            </a:rPr>
            <a:t> Analysis</a:t>
          </a:r>
          <a:endParaRPr lang="en-GB" sz="1000">
            <a:solidFill>
              <a:schemeClr val="bg1"/>
            </a:solidFill>
          </a:endParaRPr>
        </a:p>
      </xdr:txBody>
    </xdr:sp>
    <xdr:clientData/>
  </xdr:twoCellAnchor>
  <xdr:twoCellAnchor>
    <xdr:from>
      <xdr:col>6</xdr:col>
      <xdr:colOff>213038</xdr:colOff>
      <xdr:row>16</xdr:row>
      <xdr:rowOff>81771</xdr:rowOff>
    </xdr:from>
    <xdr:to>
      <xdr:col>11</xdr:col>
      <xdr:colOff>590792</xdr:colOff>
      <xdr:row>17</xdr:row>
      <xdr:rowOff>157970</xdr:rowOff>
    </xdr:to>
    <xdr:sp macro="" textlink="">
      <xdr:nvSpPr>
        <xdr:cNvPr id="33" name="TextBox 32">
          <a:extLst>
            <a:ext uri="{FF2B5EF4-FFF2-40B4-BE49-F238E27FC236}">
              <a16:creationId xmlns:a16="http://schemas.microsoft.com/office/drawing/2014/main" id="{A33F0BD8-1D59-40D8-9DA9-1F277C8B4D2A}"/>
            </a:ext>
          </a:extLst>
        </xdr:cNvPr>
        <xdr:cNvSpPr txBox="1"/>
      </xdr:nvSpPr>
      <xdr:spPr>
        <a:xfrm>
          <a:off x="3870638" y="3028171"/>
          <a:ext cx="3425754" cy="260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i="1">
              <a:solidFill>
                <a:schemeClr val="bg1"/>
              </a:solidFill>
            </a:rPr>
            <a:t>Shows</a:t>
          </a:r>
          <a:r>
            <a:rPr lang="en-GB" sz="900" i="1" baseline="0">
              <a:solidFill>
                <a:schemeClr val="bg1"/>
              </a:solidFill>
            </a:rPr>
            <a:t> the Performance of Movies in Q3 based on Revenue</a:t>
          </a:r>
          <a:endParaRPr lang="en-GB" sz="900" i="1">
            <a:solidFill>
              <a:schemeClr val="bg1"/>
            </a:solidFill>
          </a:endParaRPr>
        </a:p>
      </xdr:txBody>
    </xdr:sp>
    <xdr:clientData/>
  </xdr:twoCellAnchor>
  <xdr:twoCellAnchor>
    <xdr:from>
      <xdr:col>12</xdr:col>
      <xdr:colOff>465886</xdr:colOff>
      <xdr:row>4</xdr:row>
      <xdr:rowOff>105098</xdr:rowOff>
    </xdr:from>
    <xdr:to>
      <xdr:col>15</xdr:col>
      <xdr:colOff>395130</xdr:colOff>
      <xdr:row>6</xdr:row>
      <xdr:rowOff>30715</xdr:rowOff>
    </xdr:to>
    <xdr:sp macro="" textlink="">
      <xdr:nvSpPr>
        <xdr:cNvPr id="34" name="TextBox 33">
          <a:extLst>
            <a:ext uri="{FF2B5EF4-FFF2-40B4-BE49-F238E27FC236}">
              <a16:creationId xmlns:a16="http://schemas.microsoft.com/office/drawing/2014/main" id="{6E623EAE-C1E6-4E51-AA0A-236A4DB9D076}"/>
            </a:ext>
          </a:extLst>
        </xdr:cNvPr>
        <xdr:cNvSpPr txBox="1"/>
      </xdr:nvSpPr>
      <xdr:spPr>
        <a:xfrm>
          <a:off x="7781086" y="841698"/>
          <a:ext cx="1758044" cy="293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chemeClr val="bg1"/>
              </a:solidFill>
            </a:rPr>
            <a:t>Weekday</a:t>
          </a:r>
          <a:r>
            <a:rPr lang="en-GB" sz="1000" baseline="0">
              <a:solidFill>
                <a:schemeClr val="bg1"/>
              </a:solidFill>
            </a:rPr>
            <a:t> Trend Analysis</a:t>
          </a:r>
          <a:endParaRPr lang="en-GB" sz="1000">
            <a:solidFill>
              <a:schemeClr val="bg1"/>
            </a:solidFill>
          </a:endParaRPr>
        </a:p>
      </xdr:txBody>
    </xdr:sp>
    <xdr:clientData/>
  </xdr:twoCellAnchor>
  <xdr:twoCellAnchor>
    <xdr:from>
      <xdr:col>19</xdr:col>
      <xdr:colOff>110669</xdr:colOff>
      <xdr:row>0</xdr:row>
      <xdr:rowOff>0</xdr:rowOff>
    </xdr:from>
    <xdr:to>
      <xdr:col>22</xdr:col>
      <xdr:colOff>39913</xdr:colOff>
      <xdr:row>0</xdr:row>
      <xdr:rowOff>0</xdr:rowOff>
    </xdr:to>
    <xdr:sp macro="" textlink="">
      <xdr:nvSpPr>
        <xdr:cNvPr id="35" name="TextBox 34">
          <a:extLst>
            <a:ext uri="{FF2B5EF4-FFF2-40B4-BE49-F238E27FC236}">
              <a16:creationId xmlns:a16="http://schemas.microsoft.com/office/drawing/2014/main" id="{3F1CAA63-DE3B-48E6-83A7-CC563CADFA75}"/>
            </a:ext>
          </a:extLst>
        </xdr:cNvPr>
        <xdr:cNvSpPr txBox="1"/>
      </xdr:nvSpPr>
      <xdr:spPr>
        <a:xfrm>
          <a:off x="11693069" y="0"/>
          <a:ext cx="1758044"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ysClr val="windowText" lastClr="000000"/>
              </a:solidFill>
            </a:rPr>
            <a:t>Weekday</a:t>
          </a:r>
          <a:r>
            <a:rPr lang="en-GB" sz="1000" baseline="0">
              <a:solidFill>
                <a:sysClr val="windowText" lastClr="000000"/>
              </a:solidFill>
            </a:rPr>
            <a:t> Trend Analysis</a:t>
          </a:r>
          <a:endParaRPr lang="en-GB" sz="1000">
            <a:solidFill>
              <a:sysClr val="windowText" lastClr="000000"/>
            </a:solidFill>
          </a:endParaRPr>
        </a:p>
      </xdr:txBody>
    </xdr:sp>
    <xdr:clientData/>
  </xdr:twoCellAnchor>
  <xdr:twoCellAnchor>
    <xdr:from>
      <xdr:col>12</xdr:col>
      <xdr:colOff>455128</xdr:colOff>
      <xdr:row>5</xdr:row>
      <xdr:rowOff>135306</xdr:rowOff>
    </xdr:from>
    <xdr:to>
      <xdr:col>17</xdr:col>
      <xdr:colOff>389816</xdr:colOff>
      <xdr:row>7</xdr:row>
      <xdr:rowOff>30948</xdr:rowOff>
    </xdr:to>
    <xdr:sp macro="" textlink="">
      <xdr:nvSpPr>
        <xdr:cNvPr id="36" name="TextBox 35">
          <a:extLst>
            <a:ext uri="{FF2B5EF4-FFF2-40B4-BE49-F238E27FC236}">
              <a16:creationId xmlns:a16="http://schemas.microsoft.com/office/drawing/2014/main" id="{A50330C5-C61D-4766-AD46-D2047EE2CCC2}"/>
            </a:ext>
          </a:extLst>
        </xdr:cNvPr>
        <xdr:cNvSpPr txBox="1"/>
      </xdr:nvSpPr>
      <xdr:spPr>
        <a:xfrm>
          <a:off x="7770328" y="1056056"/>
          <a:ext cx="2982688" cy="263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i="1">
              <a:solidFill>
                <a:schemeClr val="bg1"/>
              </a:solidFill>
            </a:rPr>
            <a:t>Identifies</a:t>
          </a:r>
          <a:r>
            <a:rPr lang="en-GB" sz="900" i="1" baseline="0">
              <a:solidFill>
                <a:schemeClr val="bg1"/>
              </a:solidFill>
            </a:rPr>
            <a:t> the day of the week with the most revenue</a:t>
          </a:r>
          <a:endParaRPr lang="en-GB" sz="900" i="1">
            <a:solidFill>
              <a:schemeClr val="bg1"/>
            </a:solidFill>
          </a:endParaRPr>
        </a:p>
      </xdr:txBody>
    </xdr:sp>
    <xdr:clientData/>
  </xdr:twoCellAnchor>
  <xdr:twoCellAnchor>
    <xdr:from>
      <xdr:col>12</xdr:col>
      <xdr:colOff>483236</xdr:colOff>
      <xdr:row>19</xdr:row>
      <xdr:rowOff>84502</xdr:rowOff>
    </xdr:from>
    <xdr:to>
      <xdr:col>15</xdr:col>
      <xdr:colOff>412480</xdr:colOff>
      <xdr:row>21</xdr:row>
      <xdr:rowOff>3730</xdr:rowOff>
    </xdr:to>
    <xdr:sp macro="" textlink="">
      <xdr:nvSpPr>
        <xdr:cNvPr id="37" name="TextBox 36">
          <a:extLst>
            <a:ext uri="{FF2B5EF4-FFF2-40B4-BE49-F238E27FC236}">
              <a16:creationId xmlns:a16="http://schemas.microsoft.com/office/drawing/2014/main" id="{3FE9F7F8-6FEF-4C3C-95C8-C162C5577D28}"/>
            </a:ext>
          </a:extLst>
        </xdr:cNvPr>
        <xdr:cNvSpPr txBox="1"/>
      </xdr:nvSpPr>
      <xdr:spPr>
        <a:xfrm>
          <a:off x="7798436" y="3583352"/>
          <a:ext cx="1758044" cy="28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chemeClr val="bg1"/>
              </a:solidFill>
            </a:rPr>
            <a:t>Time</a:t>
          </a:r>
          <a:r>
            <a:rPr lang="en-GB" sz="1000" baseline="0">
              <a:solidFill>
                <a:schemeClr val="bg1"/>
              </a:solidFill>
            </a:rPr>
            <a:t> Based Analysis</a:t>
          </a:r>
          <a:endParaRPr lang="en-GB" sz="1000">
            <a:solidFill>
              <a:schemeClr val="bg1"/>
            </a:solidFill>
          </a:endParaRPr>
        </a:p>
      </xdr:txBody>
    </xdr:sp>
    <xdr:clientData/>
  </xdr:twoCellAnchor>
  <xdr:twoCellAnchor>
    <xdr:from>
      <xdr:col>12</xdr:col>
      <xdr:colOff>526268</xdr:colOff>
      <xdr:row>20</xdr:row>
      <xdr:rowOff>99275</xdr:rowOff>
    </xdr:from>
    <xdr:to>
      <xdr:col>18</xdr:col>
      <xdr:colOff>136199</xdr:colOff>
      <xdr:row>22</xdr:row>
      <xdr:rowOff>35774</xdr:rowOff>
    </xdr:to>
    <xdr:sp macro="" textlink="">
      <xdr:nvSpPr>
        <xdr:cNvPr id="38" name="TextBox 37">
          <a:extLst>
            <a:ext uri="{FF2B5EF4-FFF2-40B4-BE49-F238E27FC236}">
              <a16:creationId xmlns:a16="http://schemas.microsoft.com/office/drawing/2014/main" id="{7822A16B-7122-4654-9CA8-68B73D7F5C93}"/>
            </a:ext>
          </a:extLst>
        </xdr:cNvPr>
        <xdr:cNvSpPr txBox="1"/>
      </xdr:nvSpPr>
      <xdr:spPr>
        <a:xfrm>
          <a:off x="7841468" y="3782275"/>
          <a:ext cx="3267531"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i="1">
              <a:solidFill>
                <a:schemeClr val="bg1"/>
              </a:solidFill>
            </a:rPr>
            <a:t>Shows</a:t>
          </a:r>
          <a:r>
            <a:rPr lang="en-GB" sz="900" i="1" baseline="0">
              <a:solidFill>
                <a:schemeClr val="bg1"/>
              </a:solidFill>
            </a:rPr>
            <a:t> the time of the day with the most/least tickets sold</a:t>
          </a:r>
          <a:endParaRPr lang="en-GB" sz="900" i="1">
            <a:solidFill>
              <a:schemeClr val="bg1"/>
            </a:solidFill>
          </a:endParaRPr>
        </a:p>
      </xdr:txBody>
    </xdr:sp>
    <xdr:clientData/>
  </xdr:twoCellAnchor>
  <xdr:twoCellAnchor>
    <xdr:from>
      <xdr:col>18</xdr:col>
      <xdr:colOff>563601</xdr:colOff>
      <xdr:row>4</xdr:row>
      <xdr:rowOff>19932</xdr:rowOff>
    </xdr:from>
    <xdr:to>
      <xdr:col>23</xdr:col>
      <xdr:colOff>579933</xdr:colOff>
      <xdr:row>5</xdr:row>
      <xdr:rowOff>182348</xdr:rowOff>
    </xdr:to>
    <xdr:sp macro="" textlink="">
      <xdr:nvSpPr>
        <xdr:cNvPr id="39" name="TextBox 38">
          <a:extLst>
            <a:ext uri="{FF2B5EF4-FFF2-40B4-BE49-F238E27FC236}">
              <a16:creationId xmlns:a16="http://schemas.microsoft.com/office/drawing/2014/main" id="{71A94E47-161B-4D4E-8371-BFA02055867D}"/>
            </a:ext>
          </a:extLst>
        </xdr:cNvPr>
        <xdr:cNvSpPr txBox="1"/>
      </xdr:nvSpPr>
      <xdr:spPr>
        <a:xfrm>
          <a:off x="11536401" y="756532"/>
          <a:ext cx="3064332" cy="346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ysClr val="windowText" lastClr="000000"/>
              </a:solidFill>
            </a:rPr>
            <a:t>Revenue</a:t>
          </a:r>
          <a:r>
            <a:rPr lang="en-GB" sz="1000" baseline="0">
              <a:solidFill>
                <a:sysClr val="windowText" lastClr="000000"/>
              </a:solidFill>
            </a:rPr>
            <a:t> Contribution based on Ticket Category</a:t>
          </a:r>
          <a:endParaRPr lang="en-GB" sz="1000">
            <a:solidFill>
              <a:sysClr val="windowText" lastClr="000000"/>
            </a:solidFill>
          </a:endParaRPr>
        </a:p>
      </xdr:txBody>
    </xdr:sp>
    <xdr:clientData/>
  </xdr:twoCellAnchor>
  <xdr:twoCellAnchor>
    <xdr:from>
      <xdr:col>19</xdr:col>
      <xdr:colOff>6897</xdr:colOff>
      <xdr:row>5</xdr:row>
      <xdr:rowOff>9301</xdr:rowOff>
    </xdr:from>
    <xdr:to>
      <xdr:col>24</xdr:col>
      <xdr:colOff>23229</xdr:colOff>
      <xdr:row>6</xdr:row>
      <xdr:rowOff>171718</xdr:rowOff>
    </xdr:to>
    <xdr:sp macro="" textlink="">
      <xdr:nvSpPr>
        <xdr:cNvPr id="40" name="TextBox 39">
          <a:extLst>
            <a:ext uri="{FF2B5EF4-FFF2-40B4-BE49-F238E27FC236}">
              <a16:creationId xmlns:a16="http://schemas.microsoft.com/office/drawing/2014/main" id="{B3F98176-169E-4762-9244-FC2D81D782AE}"/>
            </a:ext>
          </a:extLst>
        </xdr:cNvPr>
        <xdr:cNvSpPr txBox="1"/>
      </xdr:nvSpPr>
      <xdr:spPr>
        <a:xfrm>
          <a:off x="11589297" y="930051"/>
          <a:ext cx="3064332" cy="346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i="1">
              <a:solidFill>
                <a:sysClr val="windowText" lastClr="000000"/>
              </a:solidFill>
            </a:rPr>
            <a:t>Compares</a:t>
          </a:r>
          <a:r>
            <a:rPr lang="en-GB" sz="900" i="1" baseline="0">
              <a:solidFill>
                <a:sysClr val="windowText" lastClr="000000"/>
              </a:solidFill>
            </a:rPr>
            <a:t> revenue across ticket category</a:t>
          </a:r>
          <a:endParaRPr lang="en-GB" sz="900" i="1">
            <a:solidFill>
              <a:sysClr val="windowText" lastClr="000000"/>
            </a:solidFill>
          </a:endParaRPr>
        </a:p>
      </xdr:txBody>
    </xdr:sp>
    <xdr:clientData/>
  </xdr:twoCellAnchor>
  <xdr:twoCellAnchor>
    <xdr:from>
      <xdr:col>18</xdr:col>
      <xdr:colOff>525246</xdr:colOff>
      <xdr:row>18</xdr:row>
      <xdr:rowOff>141413</xdr:rowOff>
    </xdr:from>
    <xdr:to>
      <xdr:col>23</xdr:col>
      <xdr:colOff>541578</xdr:colOff>
      <xdr:row>20</xdr:row>
      <xdr:rowOff>109624</xdr:rowOff>
    </xdr:to>
    <xdr:sp macro="" textlink="">
      <xdr:nvSpPr>
        <xdr:cNvPr id="41" name="TextBox 40">
          <a:extLst>
            <a:ext uri="{FF2B5EF4-FFF2-40B4-BE49-F238E27FC236}">
              <a16:creationId xmlns:a16="http://schemas.microsoft.com/office/drawing/2014/main" id="{DA78EE6F-8E20-4F92-AA9C-9D10120B3933}"/>
            </a:ext>
          </a:extLst>
        </xdr:cNvPr>
        <xdr:cNvSpPr txBox="1"/>
      </xdr:nvSpPr>
      <xdr:spPr>
        <a:xfrm>
          <a:off x="11498046" y="3456113"/>
          <a:ext cx="3064332" cy="336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a:solidFill>
                <a:schemeClr val="bg1"/>
              </a:solidFill>
            </a:rPr>
            <a:t>Location</a:t>
          </a:r>
          <a:r>
            <a:rPr lang="en-GB" sz="1000" baseline="0">
              <a:solidFill>
                <a:schemeClr val="bg1"/>
              </a:solidFill>
            </a:rPr>
            <a:t> Based Analysis</a:t>
          </a:r>
          <a:endParaRPr lang="en-GB" sz="1000">
            <a:solidFill>
              <a:schemeClr val="bg1"/>
            </a:solidFill>
          </a:endParaRPr>
        </a:p>
      </xdr:txBody>
    </xdr:sp>
    <xdr:clientData/>
  </xdr:twoCellAnchor>
  <xdr:twoCellAnchor>
    <xdr:from>
      <xdr:col>18</xdr:col>
      <xdr:colOff>507488</xdr:colOff>
      <xdr:row>19</xdr:row>
      <xdr:rowOff>136581</xdr:rowOff>
    </xdr:from>
    <xdr:to>
      <xdr:col>23</xdr:col>
      <xdr:colOff>349646</xdr:colOff>
      <xdr:row>21</xdr:row>
      <xdr:rowOff>34982</xdr:rowOff>
    </xdr:to>
    <xdr:sp macro="" textlink="">
      <xdr:nvSpPr>
        <xdr:cNvPr id="42" name="TextBox 41">
          <a:extLst>
            <a:ext uri="{FF2B5EF4-FFF2-40B4-BE49-F238E27FC236}">
              <a16:creationId xmlns:a16="http://schemas.microsoft.com/office/drawing/2014/main" id="{7B927FDF-95A9-416A-9D6D-88FE99DB3FE2}"/>
            </a:ext>
          </a:extLst>
        </xdr:cNvPr>
        <xdr:cNvSpPr txBox="1"/>
      </xdr:nvSpPr>
      <xdr:spPr>
        <a:xfrm>
          <a:off x="11480288" y="3635431"/>
          <a:ext cx="2890158"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000" i="1">
              <a:solidFill>
                <a:schemeClr val="bg1"/>
              </a:solidFill>
            </a:rPr>
            <a:t>Tracks</a:t>
          </a:r>
          <a:r>
            <a:rPr lang="en-GB" sz="1000" i="1" baseline="0">
              <a:solidFill>
                <a:schemeClr val="bg1"/>
              </a:solidFill>
            </a:rPr>
            <a:t> revenue across different states in the US</a:t>
          </a:r>
          <a:endParaRPr lang="en-GB" sz="1000" i="1">
            <a:solidFill>
              <a:schemeClr val="bg1"/>
            </a:solidFill>
          </a:endParaRPr>
        </a:p>
      </xdr:txBody>
    </xdr:sp>
    <xdr:clientData/>
  </xdr:twoCellAnchor>
  <xdr:twoCellAnchor editAs="oneCell">
    <xdr:from>
      <xdr:col>6</xdr:col>
      <xdr:colOff>232535</xdr:colOff>
      <xdr:row>0</xdr:row>
      <xdr:rowOff>89436</xdr:rowOff>
    </xdr:from>
    <xdr:to>
      <xdr:col>7</xdr:col>
      <xdr:colOff>196761</xdr:colOff>
      <xdr:row>3</xdr:row>
      <xdr:rowOff>89436</xdr:rowOff>
    </xdr:to>
    <xdr:pic>
      <xdr:nvPicPr>
        <xdr:cNvPr id="43" name="Picture 42">
          <a:extLst>
            <a:ext uri="{FF2B5EF4-FFF2-40B4-BE49-F238E27FC236}">
              <a16:creationId xmlns:a16="http://schemas.microsoft.com/office/drawing/2014/main" id="{F63B9B1F-8A8C-470A-B3C4-47845FC9B9D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890135" y="89436"/>
          <a:ext cx="573826" cy="552450"/>
        </a:xfrm>
        <a:prstGeom prst="rect">
          <a:avLst/>
        </a:prstGeom>
      </xdr:spPr>
    </xdr:pic>
    <xdr:clientData/>
  </xdr:twoCellAnchor>
  <xdr:twoCellAnchor>
    <xdr:from>
      <xdr:col>7</xdr:col>
      <xdr:colOff>134971</xdr:colOff>
      <xdr:row>1</xdr:row>
      <xdr:rowOff>71549</xdr:rowOff>
    </xdr:from>
    <xdr:to>
      <xdr:col>8</xdr:col>
      <xdr:colOff>465072</xdr:colOff>
      <xdr:row>3</xdr:row>
      <xdr:rowOff>34932</xdr:rowOff>
    </xdr:to>
    <xdr:sp macro="" textlink="">
      <xdr:nvSpPr>
        <xdr:cNvPr id="44" name="TextBox 43">
          <a:extLst>
            <a:ext uri="{FF2B5EF4-FFF2-40B4-BE49-F238E27FC236}">
              <a16:creationId xmlns:a16="http://schemas.microsoft.com/office/drawing/2014/main" id="{73DAB94D-C107-438F-961B-9FF551180073}"/>
            </a:ext>
          </a:extLst>
        </xdr:cNvPr>
        <xdr:cNvSpPr txBox="1"/>
      </xdr:nvSpPr>
      <xdr:spPr>
        <a:xfrm>
          <a:off x="4402171" y="255699"/>
          <a:ext cx="939701" cy="331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1">
              <a:solidFill>
                <a:schemeClr val="bg1"/>
              </a:solidFill>
            </a:rPr>
            <a:t>FILMax</a:t>
          </a:r>
        </a:p>
      </xdr:txBody>
    </xdr:sp>
    <xdr:clientData/>
  </xdr:twoCellAnchor>
  <xdr:twoCellAnchor>
    <xdr:from>
      <xdr:col>9</xdr:col>
      <xdr:colOff>188634</xdr:colOff>
      <xdr:row>1</xdr:row>
      <xdr:rowOff>70986</xdr:rowOff>
    </xdr:from>
    <xdr:to>
      <xdr:col>13</xdr:col>
      <xdr:colOff>491902</xdr:colOff>
      <xdr:row>3</xdr:row>
      <xdr:rowOff>17887</xdr:rowOff>
    </xdr:to>
    <xdr:sp macro="" textlink="">
      <xdr:nvSpPr>
        <xdr:cNvPr id="45" name="TextBox 44">
          <a:extLst>
            <a:ext uri="{FF2B5EF4-FFF2-40B4-BE49-F238E27FC236}">
              <a16:creationId xmlns:a16="http://schemas.microsoft.com/office/drawing/2014/main" id="{BC6F6997-72EF-41EB-9B46-74BC26AA2CEB}"/>
            </a:ext>
          </a:extLst>
        </xdr:cNvPr>
        <xdr:cNvSpPr txBox="1"/>
      </xdr:nvSpPr>
      <xdr:spPr>
        <a:xfrm>
          <a:off x="5675034" y="255136"/>
          <a:ext cx="2741668" cy="315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1">
              <a:solidFill>
                <a:schemeClr val="bg1"/>
              </a:solidFill>
            </a:rPr>
            <a:t>Q3</a:t>
          </a:r>
          <a:r>
            <a:rPr lang="en-GB" sz="1600" b="1" baseline="0">
              <a:solidFill>
                <a:sysClr val="windowText" lastClr="000000"/>
              </a:solidFill>
            </a:rPr>
            <a:t> </a:t>
          </a:r>
          <a:r>
            <a:rPr lang="en-GB" sz="1600" b="1" baseline="0">
              <a:solidFill>
                <a:schemeClr val="bg1"/>
              </a:solidFill>
            </a:rPr>
            <a:t>SALES</a:t>
          </a:r>
          <a:r>
            <a:rPr lang="en-GB" sz="1600" b="1" baseline="0">
              <a:solidFill>
                <a:sysClr val="windowText" lastClr="000000"/>
              </a:solidFill>
            </a:rPr>
            <a:t> </a:t>
          </a:r>
          <a:r>
            <a:rPr lang="en-GB" sz="1600" b="1" baseline="0">
              <a:solidFill>
                <a:schemeClr val="bg1"/>
              </a:solidFill>
            </a:rPr>
            <a:t>OVERVIEW</a:t>
          </a:r>
          <a:endParaRPr lang="en-GB" sz="1600" b="1">
            <a:solidFill>
              <a:schemeClr val="bg1"/>
            </a:solidFill>
          </a:endParaRPr>
        </a:p>
      </xdr:txBody>
    </xdr:sp>
    <xdr:clientData/>
  </xdr:twoCellAnchor>
  <xdr:twoCellAnchor editAs="oneCell">
    <xdr:from>
      <xdr:col>20</xdr:col>
      <xdr:colOff>223592</xdr:colOff>
      <xdr:row>1</xdr:row>
      <xdr:rowOff>44719</xdr:rowOff>
    </xdr:from>
    <xdr:to>
      <xdr:col>22</xdr:col>
      <xdr:colOff>563451</xdr:colOff>
      <xdr:row>3</xdr:row>
      <xdr:rowOff>98379</xdr:rowOff>
    </xdr:to>
    <mc:AlternateContent xmlns:mc="http://schemas.openxmlformats.org/markup-compatibility/2006" xmlns:a14="http://schemas.microsoft.com/office/drawing/2010/main">
      <mc:Choice Requires="a14">
        <xdr:graphicFrame macro="">
          <xdr:nvGraphicFramePr>
            <xdr:cNvPr id="46" name="Month 2">
              <a:extLst>
                <a:ext uri="{FF2B5EF4-FFF2-40B4-BE49-F238E27FC236}">
                  <a16:creationId xmlns:a16="http://schemas.microsoft.com/office/drawing/2014/main" id="{81F12902-D44D-4E7E-9466-A4540B09263A}"/>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2386972" y="232536"/>
              <a:ext cx="1556197" cy="4292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599226</xdr:colOff>
      <xdr:row>0</xdr:row>
      <xdr:rowOff>125210</xdr:rowOff>
    </xdr:from>
    <xdr:to>
      <xdr:col>24</xdr:col>
      <xdr:colOff>259368</xdr:colOff>
      <xdr:row>3</xdr:row>
      <xdr:rowOff>44718</xdr:rowOff>
    </xdr:to>
    <xdr:pic>
      <xdr:nvPicPr>
        <xdr:cNvPr id="47" name="Picture 46">
          <a:extLst>
            <a:ext uri="{FF2B5EF4-FFF2-40B4-BE49-F238E27FC236}">
              <a16:creationId xmlns:a16="http://schemas.microsoft.com/office/drawing/2014/main" id="{7285D794-502F-4263-B5CB-F92E2C44DC2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010426" y="125210"/>
          <a:ext cx="879342" cy="47195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emary Afrasor" refreshedDate="45941.544393402779" createdVersion="8" refreshedVersion="8" minRefreshableVersion="3" recordCount="2000" xr:uid="{B4EBF119-6A1A-4389-8712-3DF852F33623}">
  <cacheSource type="worksheet">
    <worksheetSource name="FMData"/>
  </cacheSource>
  <cacheFields count="14">
    <cacheField name="Sales_ID" numFmtId="0">
      <sharedItems containsSemiMixedTypes="0" containsString="0" containsNumber="1" containsInteger="1" minValue="1" maxValue="2000"/>
    </cacheField>
    <cacheField name="Movie_Name" numFmtId="0">
      <sharedItems count="8">
        <s v="Barbie"/>
        <s v="Oppenheimer"/>
        <s v="John Wick 5"/>
        <s v="Guardians of the Galaxy Vol. 4"/>
        <s v="Avatar 3"/>
        <s v="Fast X"/>
        <s v="The Flash"/>
        <s v="Mission Impossible 8"/>
      </sharedItems>
    </cacheField>
    <cacheField name="Show_Date" numFmtId="14">
      <sharedItems containsSemiMixedTypes="0" containsNonDate="0" containsDate="1" containsString="0" minDate="2025-07-01T00:00:00" maxDate="2025-10-01T00:00:00" count="92">
        <d v="2025-08-17T00:00:00"/>
        <d v="2025-07-11T00:00:00"/>
        <d v="2025-09-06T00:00:00"/>
        <d v="2025-08-12T00:00:00"/>
        <d v="2025-08-22T00:00:00"/>
        <d v="2025-07-21T00:00:00"/>
        <d v="2025-07-24T00:00:00"/>
        <d v="2025-07-08T00:00:00"/>
        <d v="2025-08-02T00:00:00"/>
        <d v="2025-08-23T00:00:00"/>
        <d v="2025-09-14T00:00:00"/>
        <d v="2025-07-28T00:00:00"/>
        <d v="2025-09-23T00:00:00"/>
        <d v="2025-09-16T00:00:00"/>
        <d v="2025-07-13T00:00:00"/>
        <d v="2025-08-11T00:00:00"/>
        <d v="2025-08-03T00:00:00"/>
        <d v="2025-09-25T00:00:00"/>
        <d v="2025-08-24T00:00:00"/>
        <d v="2025-09-24T00:00:00"/>
        <d v="2025-08-18T00:00:00"/>
        <d v="2025-07-09T00:00:00"/>
        <d v="2025-09-26T00:00:00"/>
        <d v="2025-09-07T00:00:00"/>
        <d v="2025-08-30T00:00:00"/>
        <d v="2025-07-20T00:00:00"/>
        <d v="2025-09-13T00:00:00"/>
        <d v="2025-07-03T00:00:00"/>
        <d v="2025-09-21T00:00:00"/>
        <d v="2025-07-18T00:00:00"/>
        <d v="2025-07-05T00:00:00"/>
        <d v="2025-09-28T00:00:00"/>
        <d v="2025-09-18T00:00:00"/>
        <d v="2025-08-16T00:00:00"/>
        <d v="2025-07-27T00:00:00"/>
        <d v="2025-08-14T00:00:00"/>
        <d v="2025-09-20T00:00:00"/>
        <d v="2025-08-31T00:00:00"/>
        <d v="2025-08-29T00:00:00"/>
        <d v="2025-09-08T00:00:00"/>
        <d v="2025-09-27T00:00:00"/>
        <d v="2025-09-01T00:00:00"/>
        <d v="2025-08-09T00:00:00"/>
        <d v="2025-09-04T00:00:00"/>
        <d v="2025-09-12T00:00:00"/>
        <d v="2025-09-02T00:00:00"/>
        <d v="2025-07-15T00:00:00"/>
        <d v="2025-08-25T00:00:00"/>
        <d v="2025-08-21T00:00:00"/>
        <d v="2025-09-05T00:00:00"/>
        <d v="2025-08-13T00:00:00"/>
        <d v="2025-08-01T00:00:00"/>
        <d v="2025-09-11T00:00:00"/>
        <d v="2025-07-16T00:00:00"/>
        <d v="2025-07-22T00:00:00"/>
        <d v="2025-07-19T00:00:00"/>
        <d v="2025-08-05T00:00:00"/>
        <d v="2025-07-14T00:00:00"/>
        <d v="2025-07-01T00:00:00"/>
        <d v="2025-08-10T00:00:00"/>
        <d v="2025-07-06T00:00:00"/>
        <d v="2025-07-02T00:00:00"/>
        <d v="2025-07-30T00:00:00"/>
        <d v="2025-07-31T00:00:00"/>
        <d v="2025-07-25T00:00:00"/>
        <d v="2025-08-28T00:00:00"/>
        <d v="2025-08-15T00:00:00"/>
        <d v="2025-09-10T00:00:00"/>
        <d v="2025-09-29T00:00:00"/>
        <d v="2025-07-04T00:00:00"/>
        <d v="2025-08-27T00:00:00"/>
        <d v="2025-07-26T00:00:00"/>
        <d v="2025-08-26T00:00:00"/>
        <d v="2025-09-17T00:00:00"/>
        <d v="2025-09-19T00:00:00"/>
        <d v="2025-09-09T00:00:00"/>
        <d v="2025-09-30T00:00:00"/>
        <d v="2025-09-22T00:00:00"/>
        <d v="2025-09-15T00:00:00"/>
        <d v="2025-07-12T00:00:00"/>
        <d v="2025-07-29T00:00:00"/>
        <d v="2025-08-20T00:00:00"/>
        <d v="2025-08-08T00:00:00"/>
        <d v="2025-08-07T00:00:00"/>
        <d v="2025-08-19T00:00:00"/>
        <d v="2025-09-03T00:00:00"/>
        <d v="2025-07-07T00:00:00"/>
        <d v="2025-08-04T00:00:00"/>
        <d v="2025-08-06T00:00:00"/>
        <d v="2025-07-17T00:00:00"/>
        <d v="2025-07-23T00:00:00"/>
        <d v="2025-07-10T00:00:00"/>
      </sharedItems>
      <fieldGroup par="13"/>
    </cacheField>
    <cacheField name="Month" numFmtId="14">
      <sharedItems count="3">
        <s v="Aug"/>
        <s v="Jul"/>
        <s v="Sep"/>
      </sharedItems>
    </cacheField>
    <cacheField name="Weekday" numFmtId="14">
      <sharedItems count="7">
        <s v="Sun"/>
        <s v="Fri"/>
        <s v="Sat"/>
        <s v="Tue"/>
        <s v="Mon"/>
        <s v="Thu"/>
        <s v="Wed"/>
      </sharedItems>
    </cacheField>
    <cacheField name="Show_Time" numFmtId="0">
      <sharedItems count="4">
        <s v="Evening"/>
        <s v="Late Night"/>
        <s v="Afternoon"/>
        <s v="Morning"/>
      </sharedItems>
    </cacheField>
    <cacheField name="Ticket_Category" numFmtId="0">
      <sharedItems count="5">
        <s v="VIP"/>
        <s v="Regular"/>
        <s v="Couple"/>
        <s v="Family"/>
        <s v="Student"/>
      </sharedItems>
    </cacheField>
    <cacheField name="Tickets_Sold" numFmtId="0">
      <sharedItems containsSemiMixedTypes="0" containsString="0" containsNumber="1" containsInteger="1" minValue="1" maxValue="5"/>
    </cacheField>
    <cacheField name="Ticket_Price" numFmtId="0">
      <sharedItems containsSemiMixedTypes="0" containsString="0" containsNumber="1" containsInteger="1" minValue="8" maxValue="30"/>
    </cacheField>
    <cacheField name="Payment_Method" numFmtId="0">
      <sharedItems/>
    </cacheField>
    <cacheField name="Cinema_Branch" numFmtId="0">
      <sharedItems count="4">
        <s v="California"/>
        <s v="New York"/>
        <s v="Texas"/>
        <s v="Florida"/>
      </sharedItems>
    </cacheField>
    <cacheField name="Total_Revenue" numFmtId="0">
      <sharedItems containsSemiMixedTypes="0" containsString="0" containsNumber="1" containsInteger="1" minValue="8" maxValue="150"/>
    </cacheField>
    <cacheField name="Days (Show_Date)" numFmtId="0" databaseField="0">
      <fieldGroup base="2">
        <rangePr groupBy="days" startDate="2025-07-01T00:00:00" endDate="2025-10-01T00:00:00"/>
        <groupItems count="368">
          <s v="&lt;01/07/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5"/>
        </groupItems>
      </fieldGroup>
    </cacheField>
    <cacheField name="Months (Show_Date)" numFmtId="0" databaseField="0">
      <fieldGroup base="2">
        <rangePr groupBy="months" startDate="2025-07-01T00:00:00" endDate="2025-10-01T00:00:00"/>
        <groupItems count="14">
          <s v="&lt;01/07/2025"/>
          <s v="Jan"/>
          <s v="Feb"/>
          <s v="Mar"/>
          <s v="Apr"/>
          <s v="May"/>
          <s v="Jun"/>
          <s v="Jul"/>
          <s v="Aug"/>
          <s v="Sep"/>
          <s v="Oct"/>
          <s v="Nov"/>
          <s v="Dec"/>
          <s v="&gt;01/10/2025"/>
        </groupItems>
      </fieldGroup>
    </cacheField>
  </cacheFields>
  <extLst>
    <ext xmlns:x14="http://schemas.microsoft.com/office/spreadsheetml/2009/9/main" uri="{725AE2AE-9491-48be-B2B4-4EB974FC3084}">
      <x14:pivotCacheDefinition pivotCacheId="613062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354"/>
    <x v="0"/>
    <x v="0"/>
    <x v="0"/>
    <x v="0"/>
    <x v="0"/>
    <x v="0"/>
    <n v="4"/>
    <n v="25"/>
    <s v="Mobile Wallet"/>
    <x v="0"/>
    <n v="100"/>
  </r>
  <r>
    <n v="1890"/>
    <x v="1"/>
    <x v="1"/>
    <x v="1"/>
    <x v="1"/>
    <x v="1"/>
    <x v="1"/>
    <n v="5"/>
    <n v="12"/>
    <s v="Mobile Wallet"/>
    <x v="1"/>
    <n v="60"/>
  </r>
  <r>
    <n v="386"/>
    <x v="2"/>
    <x v="2"/>
    <x v="2"/>
    <x v="2"/>
    <x v="2"/>
    <x v="0"/>
    <n v="1"/>
    <n v="25"/>
    <s v="Card"/>
    <x v="1"/>
    <n v="25"/>
  </r>
  <r>
    <n v="1406"/>
    <x v="2"/>
    <x v="3"/>
    <x v="0"/>
    <x v="3"/>
    <x v="0"/>
    <x v="2"/>
    <n v="5"/>
    <n v="20"/>
    <s v="Cash"/>
    <x v="1"/>
    <n v="100"/>
  </r>
  <r>
    <n v="1425"/>
    <x v="2"/>
    <x v="4"/>
    <x v="0"/>
    <x v="1"/>
    <x v="0"/>
    <x v="2"/>
    <n v="2"/>
    <n v="20"/>
    <s v="Card"/>
    <x v="0"/>
    <n v="40"/>
  </r>
  <r>
    <n v="39"/>
    <x v="3"/>
    <x v="5"/>
    <x v="1"/>
    <x v="4"/>
    <x v="2"/>
    <x v="1"/>
    <n v="4"/>
    <n v="12"/>
    <s v="Mobile Wallet"/>
    <x v="2"/>
    <n v="48"/>
  </r>
  <r>
    <n v="1412"/>
    <x v="4"/>
    <x v="2"/>
    <x v="2"/>
    <x v="2"/>
    <x v="0"/>
    <x v="1"/>
    <n v="2"/>
    <n v="12"/>
    <s v="Cash"/>
    <x v="2"/>
    <n v="24"/>
  </r>
  <r>
    <n v="1845"/>
    <x v="0"/>
    <x v="6"/>
    <x v="1"/>
    <x v="5"/>
    <x v="2"/>
    <x v="1"/>
    <n v="1"/>
    <n v="12"/>
    <s v="Card"/>
    <x v="3"/>
    <n v="12"/>
  </r>
  <r>
    <n v="1285"/>
    <x v="5"/>
    <x v="7"/>
    <x v="1"/>
    <x v="3"/>
    <x v="2"/>
    <x v="1"/>
    <n v="4"/>
    <n v="12"/>
    <s v="Card"/>
    <x v="3"/>
    <n v="48"/>
  </r>
  <r>
    <n v="1223"/>
    <x v="3"/>
    <x v="8"/>
    <x v="0"/>
    <x v="2"/>
    <x v="2"/>
    <x v="1"/>
    <n v="5"/>
    <n v="12"/>
    <s v="Cash"/>
    <x v="1"/>
    <n v="60"/>
  </r>
  <r>
    <n v="1471"/>
    <x v="1"/>
    <x v="9"/>
    <x v="0"/>
    <x v="2"/>
    <x v="1"/>
    <x v="1"/>
    <n v="1"/>
    <n v="12"/>
    <s v="Card"/>
    <x v="0"/>
    <n v="12"/>
  </r>
  <r>
    <n v="506"/>
    <x v="3"/>
    <x v="10"/>
    <x v="2"/>
    <x v="0"/>
    <x v="0"/>
    <x v="1"/>
    <n v="4"/>
    <n v="12"/>
    <s v="Mobile Wallet"/>
    <x v="3"/>
    <n v="48"/>
  </r>
  <r>
    <n v="357"/>
    <x v="3"/>
    <x v="11"/>
    <x v="1"/>
    <x v="4"/>
    <x v="0"/>
    <x v="3"/>
    <n v="4"/>
    <n v="30"/>
    <s v="Card"/>
    <x v="1"/>
    <n v="120"/>
  </r>
  <r>
    <n v="774"/>
    <x v="3"/>
    <x v="12"/>
    <x v="2"/>
    <x v="3"/>
    <x v="0"/>
    <x v="1"/>
    <n v="1"/>
    <n v="12"/>
    <s v="Cash"/>
    <x v="0"/>
    <n v="12"/>
  </r>
  <r>
    <n v="639"/>
    <x v="3"/>
    <x v="13"/>
    <x v="2"/>
    <x v="3"/>
    <x v="0"/>
    <x v="3"/>
    <n v="5"/>
    <n v="30"/>
    <s v="Cash"/>
    <x v="3"/>
    <n v="150"/>
  </r>
  <r>
    <n v="1153"/>
    <x v="3"/>
    <x v="14"/>
    <x v="1"/>
    <x v="0"/>
    <x v="0"/>
    <x v="4"/>
    <n v="2"/>
    <n v="8"/>
    <s v="Cash"/>
    <x v="0"/>
    <n v="16"/>
  </r>
  <r>
    <n v="1016"/>
    <x v="3"/>
    <x v="15"/>
    <x v="0"/>
    <x v="4"/>
    <x v="1"/>
    <x v="1"/>
    <n v="1"/>
    <n v="12"/>
    <s v="Cash"/>
    <x v="0"/>
    <n v="12"/>
  </r>
  <r>
    <n v="1098"/>
    <x v="3"/>
    <x v="16"/>
    <x v="0"/>
    <x v="0"/>
    <x v="1"/>
    <x v="1"/>
    <n v="4"/>
    <n v="12"/>
    <s v="Mobile Wallet"/>
    <x v="0"/>
    <n v="48"/>
  </r>
  <r>
    <n v="352"/>
    <x v="3"/>
    <x v="14"/>
    <x v="1"/>
    <x v="0"/>
    <x v="0"/>
    <x v="3"/>
    <n v="1"/>
    <n v="30"/>
    <s v="Cash"/>
    <x v="3"/>
    <n v="30"/>
  </r>
  <r>
    <n v="9"/>
    <x v="5"/>
    <x v="17"/>
    <x v="2"/>
    <x v="5"/>
    <x v="0"/>
    <x v="1"/>
    <n v="4"/>
    <n v="12"/>
    <s v="Cash"/>
    <x v="1"/>
    <n v="48"/>
  </r>
  <r>
    <n v="182"/>
    <x v="5"/>
    <x v="18"/>
    <x v="0"/>
    <x v="0"/>
    <x v="0"/>
    <x v="1"/>
    <n v="1"/>
    <n v="12"/>
    <s v="Card"/>
    <x v="0"/>
    <n v="12"/>
  </r>
  <r>
    <n v="1353"/>
    <x v="5"/>
    <x v="0"/>
    <x v="0"/>
    <x v="0"/>
    <x v="0"/>
    <x v="3"/>
    <n v="1"/>
    <n v="30"/>
    <s v="Mobile Wallet"/>
    <x v="1"/>
    <n v="30"/>
  </r>
  <r>
    <n v="1724"/>
    <x v="4"/>
    <x v="19"/>
    <x v="2"/>
    <x v="6"/>
    <x v="0"/>
    <x v="1"/>
    <n v="4"/>
    <n v="12"/>
    <s v="Cash"/>
    <x v="2"/>
    <n v="48"/>
  </r>
  <r>
    <n v="884"/>
    <x v="2"/>
    <x v="3"/>
    <x v="0"/>
    <x v="3"/>
    <x v="0"/>
    <x v="1"/>
    <n v="1"/>
    <n v="12"/>
    <s v="Cash"/>
    <x v="1"/>
    <n v="12"/>
  </r>
  <r>
    <n v="958"/>
    <x v="3"/>
    <x v="20"/>
    <x v="0"/>
    <x v="4"/>
    <x v="0"/>
    <x v="2"/>
    <n v="2"/>
    <n v="20"/>
    <s v="Mobile Wallet"/>
    <x v="1"/>
    <n v="40"/>
  </r>
  <r>
    <n v="267"/>
    <x v="6"/>
    <x v="14"/>
    <x v="1"/>
    <x v="0"/>
    <x v="1"/>
    <x v="0"/>
    <n v="1"/>
    <n v="25"/>
    <s v="Cash"/>
    <x v="2"/>
    <n v="25"/>
  </r>
  <r>
    <n v="1192"/>
    <x v="7"/>
    <x v="21"/>
    <x v="1"/>
    <x v="6"/>
    <x v="1"/>
    <x v="3"/>
    <n v="3"/>
    <n v="30"/>
    <s v="Mobile Wallet"/>
    <x v="1"/>
    <n v="90"/>
  </r>
  <r>
    <n v="1009"/>
    <x v="6"/>
    <x v="22"/>
    <x v="2"/>
    <x v="1"/>
    <x v="1"/>
    <x v="4"/>
    <n v="2"/>
    <n v="8"/>
    <s v="Mobile Wallet"/>
    <x v="2"/>
    <n v="16"/>
  </r>
  <r>
    <n v="94"/>
    <x v="0"/>
    <x v="6"/>
    <x v="1"/>
    <x v="5"/>
    <x v="2"/>
    <x v="0"/>
    <n v="3"/>
    <n v="25"/>
    <s v="Card"/>
    <x v="3"/>
    <n v="75"/>
  </r>
  <r>
    <n v="1041"/>
    <x v="1"/>
    <x v="23"/>
    <x v="2"/>
    <x v="0"/>
    <x v="0"/>
    <x v="1"/>
    <n v="2"/>
    <n v="12"/>
    <s v="Card"/>
    <x v="2"/>
    <n v="24"/>
  </r>
  <r>
    <n v="1244"/>
    <x v="5"/>
    <x v="8"/>
    <x v="0"/>
    <x v="2"/>
    <x v="2"/>
    <x v="4"/>
    <n v="5"/>
    <n v="8"/>
    <s v="Mobile Wallet"/>
    <x v="3"/>
    <n v="40"/>
  </r>
  <r>
    <n v="1147"/>
    <x v="5"/>
    <x v="20"/>
    <x v="0"/>
    <x v="4"/>
    <x v="2"/>
    <x v="2"/>
    <n v="1"/>
    <n v="20"/>
    <s v="Mobile Wallet"/>
    <x v="0"/>
    <n v="20"/>
  </r>
  <r>
    <n v="163"/>
    <x v="2"/>
    <x v="24"/>
    <x v="0"/>
    <x v="2"/>
    <x v="2"/>
    <x v="1"/>
    <n v="1"/>
    <n v="12"/>
    <s v="Mobile Wallet"/>
    <x v="0"/>
    <n v="12"/>
  </r>
  <r>
    <n v="1052"/>
    <x v="3"/>
    <x v="25"/>
    <x v="1"/>
    <x v="0"/>
    <x v="2"/>
    <x v="1"/>
    <n v="5"/>
    <n v="12"/>
    <s v="Mobile Wallet"/>
    <x v="2"/>
    <n v="60"/>
  </r>
  <r>
    <n v="507"/>
    <x v="2"/>
    <x v="26"/>
    <x v="2"/>
    <x v="2"/>
    <x v="2"/>
    <x v="2"/>
    <n v="1"/>
    <n v="20"/>
    <s v="Mobile Wallet"/>
    <x v="0"/>
    <n v="20"/>
  </r>
  <r>
    <n v="370"/>
    <x v="5"/>
    <x v="27"/>
    <x v="1"/>
    <x v="5"/>
    <x v="2"/>
    <x v="4"/>
    <n v="4"/>
    <n v="8"/>
    <s v="Cash"/>
    <x v="3"/>
    <n v="32"/>
  </r>
  <r>
    <n v="1191"/>
    <x v="7"/>
    <x v="28"/>
    <x v="2"/>
    <x v="0"/>
    <x v="2"/>
    <x v="1"/>
    <n v="1"/>
    <n v="12"/>
    <s v="Cash"/>
    <x v="3"/>
    <n v="12"/>
  </r>
  <r>
    <n v="316"/>
    <x v="2"/>
    <x v="29"/>
    <x v="1"/>
    <x v="1"/>
    <x v="3"/>
    <x v="1"/>
    <n v="3"/>
    <n v="12"/>
    <s v="Cash"/>
    <x v="1"/>
    <n v="36"/>
  </r>
  <r>
    <n v="1172"/>
    <x v="7"/>
    <x v="30"/>
    <x v="1"/>
    <x v="2"/>
    <x v="0"/>
    <x v="1"/>
    <n v="1"/>
    <n v="12"/>
    <s v="Cash"/>
    <x v="1"/>
    <n v="12"/>
  </r>
  <r>
    <n v="184"/>
    <x v="7"/>
    <x v="31"/>
    <x v="2"/>
    <x v="0"/>
    <x v="0"/>
    <x v="1"/>
    <n v="2"/>
    <n v="12"/>
    <s v="Cash"/>
    <x v="2"/>
    <n v="24"/>
  </r>
  <r>
    <n v="1766"/>
    <x v="2"/>
    <x v="32"/>
    <x v="2"/>
    <x v="5"/>
    <x v="0"/>
    <x v="1"/>
    <n v="1"/>
    <n v="12"/>
    <s v="Cash"/>
    <x v="0"/>
    <n v="12"/>
  </r>
  <r>
    <n v="1073"/>
    <x v="4"/>
    <x v="33"/>
    <x v="0"/>
    <x v="2"/>
    <x v="0"/>
    <x v="1"/>
    <n v="2"/>
    <n v="12"/>
    <s v="Card"/>
    <x v="0"/>
    <n v="24"/>
  </r>
  <r>
    <n v="826"/>
    <x v="6"/>
    <x v="34"/>
    <x v="1"/>
    <x v="0"/>
    <x v="0"/>
    <x v="2"/>
    <n v="1"/>
    <n v="20"/>
    <s v="Mobile Wallet"/>
    <x v="0"/>
    <n v="20"/>
  </r>
  <r>
    <n v="1446"/>
    <x v="3"/>
    <x v="35"/>
    <x v="0"/>
    <x v="5"/>
    <x v="0"/>
    <x v="0"/>
    <n v="5"/>
    <n v="25"/>
    <s v="Cash"/>
    <x v="1"/>
    <n v="125"/>
  </r>
  <r>
    <n v="50"/>
    <x v="0"/>
    <x v="24"/>
    <x v="0"/>
    <x v="2"/>
    <x v="0"/>
    <x v="1"/>
    <n v="3"/>
    <n v="12"/>
    <s v="Card"/>
    <x v="1"/>
    <n v="36"/>
  </r>
  <r>
    <n v="874"/>
    <x v="3"/>
    <x v="0"/>
    <x v="0"/>
    <x v="0"/>
    <x v="0"/>
    <x v="1"/>
    <n v="4"/>
    <n v="12"/>
    <s v="Mobile Wallet"/>
    <x v="1"/>
    <n v="48"/>
  </r>
  <r>
    <n v="749"/>
    <x v="3"/>
    <x v="36"/>
    <x v="2"/>
    <x v="2"/>
    <x v="0"/>
    <x v="2"/>
    <n v="5"/>
    <n v="20"/>
    <s v="Mobile Wallet"/>
    <x v="0"/>
    <n v="100"/>
  </r>
  <r>
    <n v="1011"/>
    <x v="1"/>
    <x v="37"/>
    <x v="0"/>
    <x v="0"/>
    <x v="0"/>
    <x v="0"/>
    <n v="1"/>
    <n v="25"/>
    <s v="Card"/>
    <x v="3"/>
    <n v="25"/>
  </r>
  <r>
    <n v="897"/>
    <x v="0"/>
    <x v="0"/>
    <x v="0"/>
    <x v="0"/>
    <x v="0"/>
    <x v="0"/>
    <n v="5"/>
    <n v="25"/>
    <s v="Card"/>
    <x v="0"/>
    <n v="125"/>
  </r>
  <r>
    <n v="38"/>
    <x v="3"/>
    <x v="34"/>
    <x v="1"/>
    <x v="0"/>
    <x v="0"/>
    <x v="1"/>
    <n v="2"/>
    <n v="12"/>
    <s v="Card"/>
    <x v="3"/>
    <n v="24"/>
  </r>
  <r>
    <n v="406"/>
    <x v="3"/>
    <x v="38"/>
    <x v="0"/>
    <x v="1"/>
    <x v="0"/>
    <x v="0"/>
    <n v="5"/>
    <n v="25"/>
    <s v="Cash"/>
    <x v="3"/>
    <n v="125"/>
  </r>
  <r>
    <n v="337"/>
    <x v="3"/>
    <x v="39"/>
    <x v="2"/>
    <x v="4"/>
    <x v="0"/>
    <x v="1"/>
    <n v="2"/>
    <n v="12"/>
    <s v="Mobile Wallet"/>
    <x v="0"/>
    <n v="24"/>
  </r>
  <r>
    <n v="912"/>
    <x v="3"/>
    <x v="18"/>
    <x v="0"/>
    <x v="0"/>
    <x v="3"/>
    <x v="1"/>
    <n v="1"/>
    <n v="12"/>
    <s v="Card"/>
    <x v="0"/>
    <n v="12"/>
  </r>
  <r>
    <n v="1492"/>
    <x v="3"/>
    <x v="40"/>
    <x v="2"/>
    <x v="2"/>
    <x v="3"/>
    <x v="0"/>
    <n v="5"/>
    <n v="25"/>
    <s v="Card"/>
    <x v="0"/>
    <n v="125"/>
  </r>
  <r>
    <n v="736"/>
    <x v="3"/>
    <x v="41"/>
    <x v="2"/>
    <x v="4"/>
    <x v="2"/>
    <x v="4"/>
    <n v="5"/>
    <n v="8"/>
    <s v="Card"/>
    <x v="2"/>
    <n v="40"/>
  </r>
  <r>
    <n v="1742"/>
    <x v="3"/>
    <x v="31"/>
    <x v="2"/>
    <x v="0"/>
    <x v="2"/>
    <x v="2"/>
    <n v="2"/>
    <n v="20"/>
    <s v="Card"/>
    <x v="2"/>
    <n v="40"/>
  </r>
  <r>
    <n v="164"/>
    <x v="3"/>
    <x v="42"/>
    <x v="0"/>
    <x v="2"/>
    <x v="1"/>
    <x v="2"/>
    <n v="5"/>
    <n v="20"/>
    <s v="Cash"/>
    <x v="0"/>
    <n v="100"/>
  </r>
  <r>
    <n v="1987"/>
    <x v="3"/>
    <x v="43"/>
    <x v="2"/>
    <x v="5"/>
    <x v="1"/>
    <x v="1"/>
    <n v="2"/>
    <n v="12"/>
    <s v="Mobile Wallet"/>
    <x v="0"/>
    <n v="24"/>
  </r>
  <r>
    <n v="85"/>
    <x v="3"/>
    <x v="44"/>
    <x v="2"/>
    <x v="1"/>
    <x v="1"/>
    <x v="0"/>
    <n v="3"/>
    <n v="25"/>
    <s v="Cash"/>
    <x v="1"/>
    <n v="75"/>
  </r>
  <r>
    <n v="1892"/>
    <x v="3"/>
    <x v="38"/>
    <x v="0"/>
    <x v="1"/>
    <x v="0"/>
    <x v="0"/>
    <n v="2"/>
    <n v="25"/>
    <s v="Mobile Wallet"/>
    <x v="0"/>
    <n v="50"/>
  </r>
  <r>
    <n v="1518"/>
    <x v="3"/>
    <x v="45"/>
    <x v="2"/>
    <x v="3"/>
    <x v="0"/>
    <x v="1"/>
    <n v="1"/>
    <n v="12"/>
    <s v="Card"/>
    <x v="0"/>
    <n v="12"/>
  </r>
  <r>
    <n v="326"/>
    <x v="3"/>
    <x v="46"/>
    <x v="1"/>
    <x v="3"/>
    <x v="0"/>
    <x v="3"/>
    <n v="1"/>
    <n v="30"/>
    <s v="Card"/>
    <x v="2"/>
    <n v="30"/>
  </r>
  <r>
    <n v="792"/>
    <x v="3"/>
    <x v="25"/>
    <x v="1"/>
    <x v="0"/>
    <x v="0"/>
    <x v="3"/>
    <n v="1"/>
    <n v="30"/>
    <s v="Mobile Wallet"/>
    <x v="3"/>
    <n v="30"/>
  </r>
  <r>
    <n v="1532"/>
    <x v="3"/>
    <x v="28"/>
    <x v="2"/>
    <x v="0"/>
    <x v="0"/>
    <x v="4"/>
    <n v="2"/>
    <n v="8"/>
    <s v="Cash"/>
    <x v="0"/>
    <n v="16"/>
  </r>
  <r>
    <n v="910"/>
    <x v="3"/>
    <x v="6"/>
    <x v="1"/>
    <x v="5"/>
    <x v="0"/>
    <x v="1"/>
    <n v="2"/>
    <n v="12"/>
    <s v="Card"/>
    <x v="3"/>
    <n v="24"/>
  </r>
  <r>
    <n v="760"/>
    <x v="3"/>
    <x v="15"/>
    <x v="0"/>
    <x v="4"/>
    <x v="0"/>
    <x v="1"/>
    <n v="3"/>
    <n v="12"/>
    <s v="Card"/>
    <x v="1"/>
    <n v="36"/>
  </r>
  <r>
    <n v="1854"/>
    <x v="3"/>
    <x v="42"/>
    <x v="0"/>
    <x v="2"/>
    <x v="0"/>
    <x v="3"/>
    <n v="4"/>
    <n v="30"/>
    <s v="Cash"/>
    <x v="3"/>
    <n v="120"/>
  </r>
  <r>
    <n v="225"/>
    <x v="4"/>
    <x v="20"/>
    <x v="0"/>
    <x v="4"/>
    <x v="1"/>
    <x v="1"/>
    <n v="1"/>
    <n v="12"/>
    <s v="Cash"/>
    <x v="2"/>
    <n v="12"/>
  </r>
  <r>
    <n v="31"/>
    <x v="1"/>
    <x v="47"/>
    <x v="0"/>
    <x v="4"/>
    <x v="0"/>
    <x v="1"/>
    <n v="4"/>
    <n v="12"/>
    <s v="Cash"/>
    <x v="3"/>
    <n v="48"/>
  </r>
  <r>
    <n v="1501"/>
    <x v="7"/>
    <x v="23"/>
    <x v="2"/>
    <x v="0"/>
    <x v="0"/>
    <x v="1"/>
    <n v="2"/>
    <n v="12"/>
    <s v="Cash"/>
    <x v="3"/>
    <n v="24"/>
  </r>
  <r>
    <n v="1818"/>
    <x v="5"/>
    <x v="48"/>
    <x v="0"/>
    <x v="5"/>
    <x v="1"/>
    <x v="2"/>
    <n v="2"/>
    <n v="20"/>
    <s v="Cash"/>
    <x v="3"/>
    <n v="40"/>
  </r>
  <r>
    <n v="129"/>
    <x v="6"/>
    <x v="49"/>
    <x v="2"/>
    <x v="1"/>
    <x v="0"/>
    <x v="2"/>
    <n v="1"/>
    <n v="20"/>
    <s v="Cash"/>
    <x v="2"/>
    <n v="20"/>
  </r>
  <r>
    <n v="345"/>
    <x v="7"/>
    <x v="50"/>
    <x v="0"/>
    <x v="6"/>
    <x v="3"/>
    <x v="3"/>
    <n v="2"/>
    <n v="30"/>
    <s v="Cash"/>
    <x v="0"/>
    <n v="60"/>
  </r>
  <r>
    <n v="648"/>
    <x v="3"/>
    <x v="18"/>
    <x v="0"/>
    <x v="0"/>
    <x v="0"/>
    <x v="0"/>
    <n v="2"/>
    <n v="25"/>
    <s v="Card"/>
    <x v="1"/>
    <n v="50"/>
  </r>
  <r>
    <n v="1646"/>
    <x v="7"/>
    <x v="8"/>
    <x v="0"/>
    <x v="2"/>
    <x v="1"/>
    <x v="1"/>
    <n v="4"/>
    <n v="12"/>
    <s v="Card"/>
    <x v="2"/>
    <n v="48"/>
  </r>
  <r>
    <n v="426"/>
    <x v="1"/>
    <x v="42"/>
    <x v="0"/>
    <x v="2"/>
    <x v="0"/>
    <x v="3"/>
    <n v="4"/>
    <n v="30"/>
    <s v="Mobile Wallet"/>
    <x v="1"/>
    <n v="120"/>
  </r>
  <r>
    <n v="1545"/>
    <x v="2"/>
    <x v="26"/>
    <x v="2"/>
    <x v="2"/>
    <x v="0"/>
    <x v="2"/>
    <n v="1"/>
    <n v="20"/>
    <s v="Mobile Wallet"/>
    <x v="0"/>
    <n v="20"/>
  </r>
  <r>
    <n v="488"/>
    <x v="6"/>
    <x v="51"/>
    <x v="0"/>
    <x v="1"/>
    <x v="2"/>
    <x v="2"/>
    <n v="5"/>
    <n v="20"/>
    <s v="Cash"/>
    <x v="0"/>
    <n v="100"/>
  </r>
  <r>
    <n v="422"/>
    <x v="4"/>
    <x v="25"/>
    <x v="1"/>
    <x v="0"/>
    <x v="0"/>
    <x v="1"/>
    <n v="5"/>
    <n v="12"/>
    <s v="Mobile Wallet"/>
    <x v="3"/>
    <n v="60"/>
  </r>
  <r>
    <n v="384"/>
    <x v="1"/>
    <x v="26"/>
    <x v="2"/>
    <x v="2"/>
    <x v="2"/>
    <x v="1"/>
    <n v="4"/>
    <n v="12"/>
    <s v="Mobile Wallet"/>
    <x v="1"/>
    <n v="48"/>
  </r>
  <r>
    <n v="1103"/>
    <x v="6"/>
    <x v="52"/>
    <x v="2"/>
    <x v="5"/>
    <x v="0"/>
    <x v="3"/>
    <n v="1"/>
    <n v="30"/>
    <s v="Cash"/>
    <x v="2"/>
    <n v="30"/>
  </r>
  <r>
    <n v="185"/>
    <x v="3"/>
    <x v="16"/>
    <x v="0"/>
    <x v="0"/>
    <x v="3"/>
    <x v="4"/>
    <n v="5"/>
    <n v="8"/>
    <s v="Mobile Wallet"/>
    <x v="1"/>
    <n v="40"/>
  </r>
  <r>
    <n v="567"/>
    <x v="4"/>
    <x v="53"/>
    <x v="1"/>
    <x v="6"/>
    <x v="1"/>
    <x v="1"/>
    <n v="4"/>
    <n v="12"/>
    <s v="Card"/>
    <x v="1"/>
    <n v="48"/>
  </r>
  <r>
    <n v="230"/>
    <x v="1"/>
    <x v="54"/>
    <x v="1"/>
    <x v="3"/>
    <x v="1"/>
    <x v="1"/>
    <n v="3"/>
    <n v="12"/>
    <s v="Card"/>
    <x v="1"/>
    <n v="36"/>
  </r>
  <r>
    <n v="23"/>
    <x v="4"/>
    <x v="40"/>
    <x v="2"/>
    <x v="2"/>
    <x v="2"/>
    <x v="3"/>
    <n v="4"/>
    <n v="30"/>
    <s v="Cash"/>
    <x v="3"/>
    <n v="120"/>
  </r>
  <r>
    <n v="973"/>
    <x v="3"/>
    <x v="55"/>
    <x v="1"/>
    <x v="2"/>
    <x v="0"/>
    <x v="4"/>
    <n v="3"/>
    <n v="8"/>
    <s v="Card"/>
    <x v="3"/>
    <n v="24"/>
  </r>
  <r>
    <n v="1228"/>
    <x v="2"/>
    <x v="56"/>
    <x v="0"/>
    <x v="3"/>
    <x v="2"/>
    <x v="1"/>
    <n v="4"/>
    <n v="12"/>
    <s v="Mobile Wallet"/>
    <x v="2"/>
    <n v="48"/>
  </r>
  <r>
    <n v="1252"/>
    <x v="0"/>
    <x v="51"/>
    <x v="0"/>
    <x v="1"/>
    <x v="0"/>
    <x v="1"/>
    <n v="3"/>
    <n v="12"/>
    <s v="Mobile Wallet"/>
    <x v="2"/>
    <n v="36"/>
  </r>
  <r>
    <n v="898"/>
    <x v="6"/>
    <x v="57"/>
    <x v="1"/>
    <x v="4"/>
    <x v="0"/>
    <x v="1"/>
    <n v="1"/>
    <n v="12"/>
    <s v="Card"/>
    <x v="1"/>
    <n v="12"/>
  </r>
  <r>
    <n v="750"/>
    <x v="4"/>
    <x v="36"/>
    <x v="2"/>
    <x v="2"/>
    <x v="2"/>
    <x v="0"/>
    <n v="2"/>
    <n v="25"/>
    <s v="Mobile Wallet"/>
    <x v="1"/>
    <n v="50"/>
  </r>
  <r>
    <n v="41"/>
    <x v="7"/>
    <x v="10"/>
    <x v="2"/>
    <x v="0"/>
    <x v="3"/>
    <x v="2"/>
    <n v="4"/>
    <n v="20"/>
    <s v="Card"/>
    <x v="0"/>
    <n v="80"/>
  </r>
  <r>
    <n v="1853"/>
    <x v="0"/>
    <x v="18"/>
    <x v="0"/>
    <x v="0"/>
    <x v="0"/>
    <x v="0"/>
    <n v="2"/>
    <n v="25"/>
    <s v="Mobile Wallet"/>
    <x v="2"/>
    <n v="50"/>
  </r>
  <r>
    <n v="822"/>
    <x v="6"/>
    <x v="58"/>
    <x v="1"/>
    <x v="3"/>
    <x v="0"/>
    <x v="1"/>
    <n v="3"/>
    <n v="12"/>
    <s v="Cash"/>
    <x v="1"/>
    <n v="36"/>
  </r>
  <r>
    <n v="177"/>
    <x v="7"/>
    <x v="14"/>
    <x v="1"/>
    <x v="0"/>
    <x v="1"/>
    <x v="1"/>
    <n v="1"/>
    <n v="12"/>
    <s v="Mobile Wallet"/>
    <x v="1"/>
    <n v="12"/>
  </r>
  <r>
    <n v="754"/>
    <x v="4"/>
    <x v="59"/>
    <x v="0"/>
    <x v="0"/>
    <x v="2"/>
    <x v="1"/>
    <n v="2"/>
    <n v="12"/>
    <s v="Cash"/>
    <x v="2"/>
    <n v="24"/>
  </r>
  <r>
    <n v="432"/>
    <x v="0"/>
    <x v="46"/>
    <x v="1"/>
    <x v="3"/>
    <x v="1"/>
    <x v="2"/>
    <n v="5"/>
    <n v="20"/>
    <s v="Cash"/>
    <x v="0"/>
    <n v="100"/>
  </r>
  <r>
    <n v="1027"/>
    <x v="4"/>
    <x v="48"/>
    <x v="0"/>
    <x v="5"/>
    <x v="3"/>
    <x v="3"/>
    <n v="2"/>
    <n v="30"/>
    <s v="Cash"/>
    <x v="3"/>
    <n v="60"/>
  </r>
  <r>
    <n v="777"/>
    <x v="3"/>
    <x v="60"/>
    <x v="1"/>
    <x v="0"/>
    <x v="3"/>
    <x v="1"/>
    <n v="4"/>
    <n v="12"/>
    <s v="Card"/>
    <x v="0"/>
    <n v="48"/>
  </r>
  <r>
    <n v="262"/>
    <x v="3"/>
    <x v="23"/>
    <x v="2"/>
    <x v="0"/>
    <x v="1"/>
    <x v="0"/>
    <n v="3"/>
    <n v="25"/>
    <s v="Cash"/>
    <x v="1"/>
    <n v="75"/>
  </r>
  <r>
    <n v="722"/>
    <x v="3"/>
    <x v="39"/>
    <x v="2"/>
    <x v="4"/>
    <x v="3"/>
    <x v="4"/>
    <n v="5"/>
    <n v="8"/>
    <s v="Card"/>
    <x v="2"/>
    <n v="40"/>
  </r>
  <r>
    <n v="56"/>
    <x v="3"/>
    <x v="25"/>
    <x v="1"/>
    <x v="0"/>
    <x v="0"/>
    <x v="4"/>
    <n v="2"/>
    <n v="8"/>
    <s v="Card"/>
    <x v="2"/>
    <n v="16"/>
  </r>
  <r>
    <n v="1556"/>
    <x v="3"/>
    <x v="33"/>
    <x v="0"/>
    <x v="2"/>
    <x v="1"/>
    <x v="0"/>
    <n v="5"/>
    <n v="25"/>
    <s v="Cash"/>
    <x v="3"/>
    <n v="125"/>
  </r>
  <r>
    <n v="1835"/>
    <x v="3"/>
    <x v="61"/>
    <x v="1"/>
    <x v="6"/>
    <x v="0"/>
    <x v="1"/>
    <n v="5"/>
    <n v="12"/>
    <s v="Card"/>
    <x v="2"/>
    <n v="60"/>
  </r>
  <r>
    <n v="631"/>
    <x v="3"/>
    <x v="61"/>
    <x v="1"/>
    <x v="6"/>
    <x v="0"/>
    <x v="0"/>
    <n v="1"/>
    <n v="25"/>
    <s v="Card"/>
    <x v="2"/>
    <n v="25"/>
  </r>
  <r>
    <n v="974"/>
    <x v="7"/>
    <x v="17"/>
    <x v="2"/>
    <x v="5"/>
    <x v="0"/>
    <x v="4"/>
    <n v="5"/>
    <n v="8"/>
    <s v="Card"/>
    <x v="1"/>
    <n v="40"/>
  </r>
  <r>
    <n v="1478"/>
    <x v="2"/>
    <x v="62"/>
    <x v="1"/>
    <x v="6"/>
    <x v="0"/>
    <x v="0"/>
    <n v="3"/>
    <n v="25"/>
    <s v="Mobile Wallet"/>
    <x v="0"/>
    <n v="75"/>
  </r>
  <r>
    <n v="781"/>
    <x v="3"/>
    <x v="14"/>
    <x v="1"/>
    <x v="0"/>
    <x v="0"/>
    <x v="1"/>
    <n v="1"/>
    <n v="12"/>
    <s v="Card"/>
    <x v="2"/>
    <n v="12"/>
  </r>
  <r>
    <n v="1740"/>
    <x v="7"/>
    <x v="63"/>
    <x v="1"/>
    <x v="5"/>
    <x v="1"/>
    <x v="0"/>
    <n v="3"/>
    <n v="25"/>
    <s v="Card"/>
    <x v="2"/>
    <n v="75"/>
  </r>
  <r>
    <n v="1448"/>
    <x v="2"/>
    <x v="14"/>
    <x v="1"/>
    <x v="0"/>
    <x v="0"/>
    <x v="4"/>
    <n v="4"/>
    <n v="8"/>
    <s v="Mobile Wallet"/>
    <x v="2"/>
    <n v="32"/>
  </r>
  <r>
    <n v="1813"/>
    <x v="5"/>
    <x v="32"/>
    <x v="2"/>
    <x v="5"/>
    <x v="2"/>
    <x v="1"/>
    <n v="5"/>
    <n v="12"/>
    <s v="Card"/>
    <x v="2"/>
    <n v="60"/>
  </r>
  <r>
    <n v="1443"/>
    <x v="6"/>
    <x v="59"/>
    <x v="0"/>
    <x v="0"/>
    <x v="2"/>
    <x v="1"/>
    <n v="4"/>
    <n v="12"/>
    <s v="Card"/>
    <x v="0"/>
    <n v="48"/>
  </r>
  <r>
    <n v="1775"/>
    <x v="5"/>
    <x v="10"/>
    <x v="2"/>
    <x v="0"/>
    <x v="2"/>
    <x v="4"/>
    <n v="1"/>
    <n v="8"/>
    <s v="Cash"/>
    <x v="1"/>
    <n v="8"/>
  </r>
  <r>
    <n v="1175"/>
    <x v="3"/>
    <x v="14"/>
    <x v="1"/>
    <x v="0"/>
    <x v="0"/>
    <x v="1"/>
    <n v="1"/>
    <n v="12"/>
    <s v="Cash"/>
    <x v="2"/>
    <n v="12"/>
  </r>
  <r>
    <n v="790"/>
    <x v="5"/>
    <x v="64"/>
    <x v="1"/>
    <x v="1"/>
    <x v="1"/>
    <x v="3"/>
    <n v="5"/>
    <n v="30"/>
    <s v="Mobile Wallet"/>
    <x v="3"/>
    <n v="150"/>
  </r>
  <r>
    <n v="681"/>
    <x v="2"/>
    <x v="6"/>
    <x v="1"/>
    <x v="5"/>
    <x v="1"/>
    <x v="1"/>
    <n v="5"/>
    <n v="12"/>
    <s v="Cash"/>
    <x v="1"/>
    <n v="60"/>
  </r>
  <r>
    <n v="1571"/>
    <x v="4"/>
    <x v="17"/>
    <x v="2"/>
    <x v="5"/>
    <x v="0"/>
    <x v="1"/>
    <n v="4"/>
    <n v="12"/>
    <s v="Card"/>
    <x v="3"/>
    <n v="48"/>
  </r>
  <r>
    <n v="1679"/>
    <x v="0"/>
    <x v="26"/>
    <x v="2"/>
    <x v="2"/>
    <x v="0"/>
    <x v="2"/>
    <n v="5"/>
    <n v="20"/>
    <s v="Card"/>
    <x v="1"/>
    <n v="100"/>
  </r>
  <r>
    <n v="1017"/>
    <x v="4"/>
    <x v="25"/>
    <x v="1"/>
    <x v="0"/>
    <x v="0"/>
    <x v="4"/>
    <n v="3"/>
    <n v="8"/>
    <s v="Mobile Wallet"/>
    <x v="2"/>
    <n v="24"/>
  </r>
  <r>
    <n v="1857"/>
    <x v="1"/>
    <x v="8"/>
    <x v="0"/>
    <x v="2"/>
    <x v="0"/>
    <x v="1"/>
    <n v="3"/>
    <n v="12"/>
    <s v="Card"/>
    <x v="0"/>
    <n v="36"/>
  </r>
  <r>
    <n v="1380"/>
    <x v="4"/>
    <x v="11"/>
    <x v="1"/>
    <x v="4"/>
    <x v="0"/>
    <x v="4"/>
    <n v="2"/>
    <n v="8"/>
    <s v="Mobile Wallet"/>
    <x v="2"/>
    <n v="16"/>
  </r>
  <r>
    <n v="33"/>
    <x v="6"/>
    <x v="65"/>
    <x v="0"/>
    <x v="5"/>
    <x v="0"/>
    <x v="1"/>
    <n v="2"/>
    <n v="12"/>
    <s v="Card"/>
    <x v="2"/>
    <n v="24"/>
  </r>
  <r>
    <n v="1530"/>
    <x v="6"/>
    <x v="42"/>
    <x v="0"/>
    <x v="2"/>
    <x v="0"/>
    <x v="1"/>
    <n v="5"/>
    <n v="12"/>
    <s v="Cash"/>
    <x v="0"/>
    <n v="60"/>
  </r>
  <r>
    <n v="1723"/>
    <x v="5"/>
    <x v="66"/>
    <x v="0"/>
    <x v="1"/>
    <x v="0"/>
    <x v="3"/>
    <n v="1"/>
    <n v="30"/>
    <s v="Cash"/>
    <x v="1"/>
    <n v="30"/>
  </r>
  <r>
    <n v="153"/>
    <x v="3"/>
    <x v="42"/>
    <x v="0"/>
    <x v="2"/>
    <x v="0"/>
    <x v="4"/>
    <n v="2"/>
    <n v="8"/>
    <s v="Card"/>
    <x v="0"/>
    <n v="16"/>
  </r>
  <r>
    <n v="672"/>
    <x v="0"/>
    <x v="5"/>
    <x v="1"/>
    <x v="4"/>
    <x v="0"/>
    <x v="1"/>
    <n v="3"/>
    <n v="12"/>
    <s v="Mobile Wallet"/>
    <x v="3"/>
    <n v="36"/>
  </r>
  <r>
    <n v="1066"/>
    <x v="7"/>
    <x v="10"/>
    <x v="2"/>
    <x v="0"/>
    <x v="0"/>
    <x v="1"/>
    <n v="2"/>
    <n v="12"/>
    <s v="Cash"/>
    <x v="0"/>
    <n v="24"/>
  </r>
  <r>
    <n v="1748"/>
    <x v="3"/>
    <x v="36"/>
    <x v="2"/>
    <x v="2"/>
    <x v="0"/>
    <x v="1"/>
    <n v="5"/>
    <n v="12"/>
    <s v="Cash"/>
    <x v="0"/>
    <n v="60"/>
  </r>
  <r>
    <n v="1682"/>
    <x v="4"/>
    <x v="25"/>
    <x v="1"/>
    <x v="0"/>
    <x v="0"/>
    <x v="1"/>
    <n v="3"/>
    <n v="12"/>
    <s v="Cash"/>
    <x v="0"/>
    <n v="36"/>
  </r>
  <r>
    <n v="1761"/>
    <x v="2"/>
    <x v="0"/>
    <x v="0"/>
    <x v="0"/>
    <x v="0"/>
    <x v="1"/>
    <n v="2"/>
    <n v="12"/>
    <s v="Card"/>
    <x v="2"/>
    <n v="24"/>
  </r>
  <r>
    <n v="1515"/>
    <x v="6"/>
    <x v="8"/>
    <x v="0"/>
    <x v="2"/>
    <x v="0"/>
    <x v="2"/>
    <n v="2"/>
    <n v="20"/>
    <s v="Cash"/>
    <x v="0"/>
    <n v="40"/>
  </r>
  <r>
    <n v="142"/>
    <x v="3"/>
    <x v="67"/>
    <x v="2"/>
    <x v="6"/>
    <x v="0"/>
    <x v="0"/>
    <n v="1"/>
    <n v="25"/>
    <s v="Card"/>
    <x v="2"/>
    <n v="25"/>
  </r>
  <r>
    <n v="940"/>
    <x v="4"/>
    <x v="8"/>
    <x v="0"/>
    <x v="2"/>
    <x v="0"/>
    <x v="1"/>
    <n v="2"/>
    <n v="12"/>
    <s v="Cash"/>
    <x v="2"/>
    <n v="24"/>
  </r>
  <r>
    <n v="1567"/>
    <x v="1"/>
    <x v="63"/>
    <x v="1"/>
    <x v="5"/>
    <x v="0"/>
    <x v="0"/>
    <n v="1"/>
    <n v="25"/>
    <s v="Card"/>
    <x v="3"/>
    <n v="25"/>
  </r>
  <r>
    <n v="1985"/>
    <x v="0"/>
    <x v="8"/>
    <x v="0"/>
    <x v="2"/>
    <x v="0"/>
    <x v="2"/>
    <n v="3"/>
    <n v="20"/>
    <s v="Cash"/>
    <x v="3"/>
    <n v="60"/>
  </r>
  <r>
    <n v="627"/>
    <x v="1"/>
    <x v="37"/>
    <x v="0"/>
    <x v="0"/>
    <x v="0"/>
    <x v="1"/>
    <n v="5"/>
    <n v="12"/>
    <s v="Cash"/>
    <x v="2"/>
    <n v="60"/>
  </r>
  <r>
    <n v="283"/>
    <x v="0"/>
    <x v="28"/>
    <x v="2"/>
    <x v="0"/>
    <x v="0"/>
    <x v="1"/>
    <n v="4"/>
    <n v="12"/>
    <s v="Cash"/>
    <x v="3"/>
    <n v="48"/>
  </r>
  <r>
    <n v="1961"/>
    <x v="4"/>
    <x v="10"/>
    <x v="2"/>
    <x v="0"/>
    <x v="0"/>
    <x v="0"/>
    <n v="5"/>
    <n v="25"/>
    <s v="Cash"/>
    <x v="2"/>
    <n v="125"/>
  </r>
  <r>
    <n v="887"/>
    <x v="3"/>
    <x v="11"/>
    <x v="1"/>
    <x v="4"/>
    <x v="0"/>
    <x v="0"/>
    <n v="4"/>
    <n v="25"/>
    <s v="Cash"/>
    <x v="3"/>
    <n v="100"/>
  </r>
  <r>
    <n v="436"/>
    <x v="2"/>
    <x v="64"/>
    <x v="1"/>
    <x v="1"/>
    <x v="0"/>
    <x v="1"/>
    <n v="3"/>
    <n v="12"/>
    <s v="Cash"/>
    <x v="3"/>
    <n v="36"/>
  </r>
  <r>
    <n v="67"/>
    <x v="6"/>
    <x v="68"/>
    <x v="2"/>
    <x v="4"/>
    <x v="0"/>
    <x v="1"/>
    <n v="3"/>
    <n v="12"/>
    <s v="Card"/>
    <x v="1"/>
    <n v="36"/>
  </r>
  <r>
    <n v="1332"/>
    <x v="0"/>
    <x v="26"/>
    <x v="2"/>
    <x v="2"/>
    <x v="0"/>
    <x v="4"/>
    <n v="4"/>
    <n v="8"/>
    <s v="Mobile Wallet"/>
    <x v="3"/>
    <n v="32"/>
  </r>
  <r>
    <n v="1294"/>
    <x v="3"/>
    <x v="16"/>
    <x v="0"/>
    <x v="0"/>
    <x v="0"/>
    <x v="0"/>
    <n v="5"/>
    <n v="25"/>
    <s v="Card"/>
    <x v="3"/>
    <n v="125"/>
  </r>
  <r>
    <n v="637"/>
    <x v="3"/>
    <x v="26"/>
    <x v="2"/>
    <x v="2"/>
    <x v="0"/>
    <x v="3"/>
    <n v="3"/>
    <n v="30"/>
    <s v="Mobile Wallet"/>
    <x v="1"/>
    <n v="90"/>
  </r>
  <r>
    <n v="126"/>
    <x v="2"/>
    <x v="23"/>
    <x v="2"/>
    <x v="0"/>
    <x v="0"/>
    <x v="4"/>
    <n v="1"/>
    <n v="8"/>
    <s v="Cash"/>
    <x v="1"/>
    <n v="8"/>
  </r>
  <r>
    <n v="811"/>
    <x v="7"/>
    <x v="30"/>
    <x v="1"/>
    <x v="2"/>
    <x v="0"/>
    <x v="1"/>
    <n v="5"/>
    <n v="12"/>
    <s v="Card"/>
    <x v="1"/>
    <n v="60"/>
  </r>
  <r>
    <n v="1498"/>
    <x v="2"/>
    <x v="14"/>
    <x v="1"/>
    <x v="0"/>
    <x v="0"/>
    <x v="2"/>
    <n v="5"/>
    <n v="20"/>
    <s v="Mobile Wallet"/>
    <x v="2"/>
    <n v="100"/>
  </r>
  <r>
    <n v="451"/>
    <x v="0"/>
    <x v="69"/>
    <x v="1"/>
    <x v="1"/>
    <x v="0"/>
    <x v="1"/>
    <n v="5"/>
    <n v="12"/>
    <s v="Mobile Wallet"/>
    <x v="1"/>
    <n v="60"/>
  </r>
  <r>
    <n v="4"/>
    <x v="5"/>
    <x v="58"/>
    <x v="1"/>
    <x v="3"/>
    <x v="0"/>
    <x v="1"/>
    <n v="3"/>
    <n v="12"/>
    <s v="Mobile Wallet"/>
    <x v="0"/>
    <n v="36"/>
  </r>
  <r>
    <n v="628"/>
    <x v="0"/>
    <x v="70"/>
    <x v="0"/>
    <x v="6"/>
    <x v="0"/>
    <x v="4"/>
    <n v="4"/>
    <n v="8"/>
    <s v="Card"/>
    <x v="2"/>
    <n v="32"/>
  </r>
  <r>
    <n v="829"/>
    <x v="5"/>
    <x v="71"/>
    <x v="1"/>
    <x v="2"/>
    <x v="0"/>
    <x v="1"/>
    <n v="5"/>
    <n v="12"/>
    <s v="Mobile Wallet"/>
    <x v="0"/>
    <n v="60"/>
  </r>
  <r>
    <n v="1520"/>
    <x v="1"/>
    <x v="60"/>
    <x v="1"/>
    <x v="0"/>
    <x v="0"/>
    <x v="1"/>
    <n v="1"/>
    <n v="12"/>
    <s v="Mobile Wallet"/>
    <x v="0"/>
    <n v="12"/>
  </r>
  <r>
    <n v="1605"/>
    <x v="6"/>
    <x v="42"/>
    <x v="0"/>
    <x v="2"/>
    <x v="0"/>
    <x v="1"/>
    <n v="2"/>
    <n v="12"/>
    <s v="Cash"/>
    <x v="1"/>
    <n v="24"/>
  </r>
  <r>
    <n v="1141"/>
    <x v="0"/>
    <x v="14"/>
    <x v="1"/>
    <x v="0"/>
    <x v="0"/>
    <x v="1"/>
    <n v="4"/>
    <n v="12"/>
    <s v="Cash"/>
    <x v="3"/>
    <n v="48"/>
  </r>
  <r>
    <n v="1924"/>
    <x v="7"/>
    <x v="39"/>
    <x v="2"/>
    <x v="4"/>
    <x v="0"/>
    <x v="1"/>
    <n v="4"/>
    <n v="12"/>
    <s v="Cash"/>
    <x v="1"/>
    <n v="48"/>
  </r>
  <r>
    <n v="1061"/>
    <x v="3"/>
    <x v="11"/>
    <x v="1"/>
    <x v="4"/>
    <x v="0"/>
    <x v="1"/>
    <n v="2"/>
    <n v="12"/>
    <s v="Cash"/>
    <x v="2"/>
    <n v="24"/>
  </r>
  <r>
    <n v="1127"/>
    <x v="6"/>
    <x v="72"/>
    <x v="0"/>
    <x v="3"/>
    <x v="0"/>
    <x v="4"/>
    <n v="5"/>
    <n v="8"/>
    <s v="Cash"/>
    <x v="2"/>
    <n v="40"/>
  </r>
  <r>
    <n v="840"/>
    <x v="1"/>
    <x v="51"/>
    <x v="0"/>
    <x v="1"/>
    <x v="0"/>
    <x v="1"/>
    <n v="5"/>
    <n v="12"/>
    <s v="Card"/>
    <x v="2"/>
    <n v="60"/>
  </r>
  <r>
    <n v="493"/>
    <x v="3"/>
    <x v="72"/>
    <x v="0"/>
    <x v="3"/>
    <x v="0"/>
    <x v="4"/>
    <n v="5"/>
    <n v="8"/>
    <s v="Mobile Wallet"/>
    <x v="3"/>
    <n v="40"/>
  </r>
  <r>
    <n v="1033"/>
    <x v="3"/>
    <x v="6"/>
    <x v="1"/>
    <x v="5"/>
    <x v="0"/>
    <x v="4"/>
    <n v="4"/>
    <n v="8"/>
    <s v="Mobile Wallet"/>
    <x v="3"/>
    <n v="32"/>
  </r>
  <r>
    <n v="1209"/>
    <x v="3"/>
    <x v="73"/>
    <x v="2"/>
    <x v="6"/>
    <x v="0"/>
    <x v="1"/>
    <n v="4"/>
    <n v="12"/>
    <s v="Card"/>
    <x v="3"/>
    <n v="48"/>
  </r>
  <r>
    <n v="1862"/>
    <x v="0"/>
    <x v="41"/>
    <x v="2"/>
    <x v="4"/>
    <x v="0"/>
    <x v="0"/>
    <n v="4"/>
    <n v="25"/>
    <s v="Cash"/>
    <x v="0"/>
    <n v="100"/>
  </r>
  <r>
    <n v="710"/>
    <x v="2"/>
    <x v="53"/>
    <x v="1"/>
    <x v="6"/>
    <x v="0"/>
    <x v="1"/>
    <n v="5"/>
    <n v="12"/>
    <s v="Cash"/>
    <x v="2"/>
    <n v="60"/>
  </r>
  <r>
    <n v="720"/>
    <x v="6"/>
    <x v="31"/>
    <x v="2"/>
    <x v="0"/>
    <x v="0"/>
    <x v="1"/>
    <n v="3"/>
    <n v="12"/>
    <s v="Mobile Wallet"/>
    <x v="1"/>
    <n v="36"/>
  </r>
  <r>
    <n v="73"/>
    <x v="3"/>
    <x v="74"/>
    <x v="2"/>
    <x v="1"/>
    <x v="0"/>
    <x v="1"/>
    <n v="1"/>
    <n v="12"/>
    <s v="Cash"/>
    <x v="1"/>
    <n v="12"/>
  </r>
  <r>
    <n v="805"/>
    <x v="0"/>
    <x v="57"/>
    <x v="1"/>
    <x v="4"/>
    <x v="0"/>
    <x v="0"/>
    <n v="3"/>
    <n v="25"/>
    <s v="Card"/>
    <x v="1"/>
    <n v="75"/>
  </r>
  <r>
    <n v="301"/>
    <x v="3"/>
    <x v="16"/>
    <x v="0"/>
    <x v="0"/>
    <x v="0"/>
    <x v="2"/>
    <n v="5"/>
    <n v="20"/>
    <s v="Mobile Wallet"/>
    <x v="3"/>
    <n v="100"/>
  </r>
  <r>
    <n v="795"/>
    <x v="3"/>
    <x v="60"/>
    <x v="1"/>
    <x v="0"/>
    <x v="0"/>
    <x v="1"/>
    <n v="3"/>
    <n v="12"/>
    <s v="Cash"/>
    <x v="0"/>
    <n v="36"/>
  </r>
  <r>
    <n v="1126"/>
    <x v="3"/>
    <x v="75"/>
    <x v="2"/>
    <x v="3"/>
    <x v="0"/>
    <x v="0"/>
    <n v="2"/>
    <n v="25"/>
    <s v="Card"/>
    <x v="1"/>
    <n v="50"/>
  </r>
  <r>
    <n v="327"/>
    <x v="3"/>
    <x v="0"/>
    <x v="0"/>
    <x v="0"/>
    <x v="0"/>
    <x v="2"/>
    <n v="3"/>
    <n v="20"/>
    <s v="Cash"/>
    <x v="1"/>
    <n v="60"/>
  </r>
  <r>
    <n v="744"/>
    <x v="3"/>
    <x v="67"/>
    <x v="2"/>
    <x v="6"/>
    <x v="0"/>
    <x v="1"/>
    <n v="4"/>
    <n v="12"/>
    <s v="Cash"/>
    <x v="3"/>
    <n v="48"/>
  </r>
  <r>
    <n v="1539"/>
    <x v="3"/>
    <x v="76"/>
    <x v="2"/>
    <x v="3"/>
    <x v="0"/>
    <x v="4"/>
    <n v="2"/>
    <n v="8"/>
    <s v="Card"/>
    <x v="3"/>
    <n v="16"/>
  </r>
  <r>
    <n v="1094"/>
    <x v="3"/>
    <x v="23"/>
    <x v="2"/>
    <x v="0"/>
    <x v="0"/>
    <x v="2"/>
    <n v="4"/>
    <n v="20"/>
    <s v="Mobile Wallet"/>
    <x v="2"/>
    <n v="80"/>
  </r>
  <r>
    <n v="189"/>
    <x v="3"/>
    <x v="23"/>
    <x v="2"/>
    <x v="0"/>
    <x v="0"/>
    <x v="4"/>
    <n v="3"/>
    <n v="8"/>
    <s v="Mobile Wallet"/>
    <x v="0"/>
    <n v="24"/>
  </r>
  <r>
    <n v="548"/>
    <x v="3"/>
    <x v="49"/>
    <x v="2"/>
    <x v="1"/>
    <x v="0"/>
    <x v="1"/>
    <n v="2"/>
    <n v="12"/>
    <s v="Card"/>
    <x v="1"/>
    <n v="24"/>
  </r>
  <r>
    <n v="496"/>
    <x v="3"/>
    <x v="54"/>
    <x v="1"/>
    <x v="3"/>
    <x v="0"/>
    <x v="1"/>
    <n v="1"/>
    <n v="12"/>
    <s v="Mobile Wallet"/>
    <x v="1"/>
    <n v="12"/>
  </r>
  <r>
    <n v="1134"/>
    <x v="3"/>
    <x v="39"/>
    <x v="2"/>
    <x v="4"/>
    <x v="0"/>
    <x v="0"/>
    <n v="5"/>
    <n v="25"/>
    <s v="Mobile Wallet"/>
    <x v="3"/>
    <n v="125"/>
  </r>
  <r>
    <n v="1563"/>
    <x v="3"/>
    <x v="50"/>
    <x v="0"/>
    <x v="6"/>
    <x v="0"/>
    <x v="1"/>
    <n v="2"/>
    <n v="12"/>
    <s v="Cash"/>
    <x v="2"/>
    <n v="24"/>
  </r>
  <r>
    <n v="1936"/>
    <x v="3"/>
    <x v="77"/>
    <x v="2"/>
    <x v="4"/>
    <x v="0"/>
    <x v="0"/>
    <n v="5"/>
    <n v="25"/>
    <s v="Card"/>
    <x v="2"/>
    <n v="125"/>
  </r>
  <r>
    <n v="979"/>
    <x v="3"/>
    <x v="14"/>
    <x v="1"/>
    <x v="0"/>
    <x v="0"/>
    <x v="4"/>
    <n v="1"/>
    <n v="8"/>
    <s v="Mobile Wallet"/>
    <x v="0"/>
    <n v="8"/>
  </r>
  <r>
    <n v="1741"/>
    <x v="3"/>
    <x v="73"/>
    <x v="2"/>
    <x v="6"/>
    <x v="0"/>
    <x v="3"/>
    <n v="4"/>
    <n v="30"/>
    <s v="Cash"/>
    <x v="1"/>
    <n v="120"/>
  </r>
  <r>
    <n v="1852"/>
    <x v="3"/>
    <x v="78"/>
    <x v="2"/>
    <x v="4"/>
    <x v="0"/>
    <x v="1"/>
    <n v="4"/>
    <n v="12"/>
    <s v="Card"/>
    <x v="1"/>
    <n v="48"/>
  </r>
  <r>
    <n v="1596"/>
    <x v="3"/>
    <x v="63"/>
    <x v="1"/>
    <x v="5"/>
    <x v="0"/>
    <x v="0"/>
    <n v="3"/>
    <n v="25"/>
    <s v="Card"/>
    <x v="1"/>
    <n v="75"/>
  </r>
  <r>
    <n v="471"/>
    <x v="3"/>
    <x v="26"/>
    <x v="2"/>
    <x v="2"/>
    <x v="0"/>
    <x v="1"/>
    <n v="3"/>
    <n v="12"/>
    <s v="Cash"/>
    <x v="2"/>
    <n v="36"/>
  </r>
  <r>
    <n v="123"/>
    <x v="3"/>
    <x v="36"/>
    <x v="2"/>
    <x v="2"/>
    <x v="0"/>
    <x v="3"/>
    <n v="1"/>
    <n v="30"/>
    <s v="Mobile Wallet"/>
    <x v="1"/>
    <n v="30"/>
  </r>
  <r>
    <n v="1579"/>
    <x v="3"/>
    <x v="39"/>
    <x v="2"/>
    <x v="4"/>
    <x v="0"/>
    <x v="4"/>
    <n v="2"/>
    <n v="8"/>
    <s v="Cash"/>
    <x v="0"/>
    <n v="16"/>
  </r>
  <r>
    <n v="305"/>
    <x v="3"/>
    <x v="5"/>
    <x v="1"/>
    <x v="4"/>
    <x v="0"/>
    <x v="3"/>
    <n v="4"/>
    <n v="30"/>
    <s v="Card"/>
    <x v="1"/>
    <n v="120"/>
  </r>
  <r>
    <n v="1115"/>
    <x v="3"/>
    <x v="79"/>
    <x v="1"/>
    <x v="2"/>
    <x v="0"/>
    <x v="1"/>
    <n v="4"/>
    <n v="12"/>
    <s v="Cash"/>
    <x v="2"/>
    <n v="48"/>
  </r>
  <r>
    <n v="532"/>
    <x v="3"/>
    <x v="5"/>
    <x v="1"/>
    <x v="4"/>
    <x v="0"/>
    <x v="2"/>
    <n v="1"/>
    <n v="20"/>
    <s v="Cash"/>
    <x v="3"/>
    <n v="20"/>
  </r>
  <r>
    <n v="1426"/>
    <x v="3"/>
    <x v="24"/>
    <x v="0"/>
    <x v="2"/>
    <x v="0"/>
    <x v="0"/>
    <n v="5"/>
    <n v="25"/>
    <s v="Mobile Wallet"/>
    <x v="3"/>
    <n v="125"/>
  </r>
  <r>
    <n v="504"/>
    <x v="3"/>
    <x v="71"/>
    <x v="1"/>
    <x v="2"/>
    <x v="0"/>
    <x v="3"/>
    <n v="1"/>
    <n v="30"/>
    <s v="Mobile Wallet"/>
    <x v="2"/>
    <n v="30"/>
  </r>
  <r>
    <n v="359"/>
    <x v="3"/>
    <x v="80"/>
    <x v="1"/>
    <x v="3"/>
    <x v="0"/>
    <x v="0"/>
    <n v="4"/>
    <n v="25"/>
    <s v="Mobile Wallet"/>
    <x v="2"/>
    <n v="100"/>
  </r>
  <r>
    <n v="1867"/>
    <x v="3"/>
    <x v="21"/>
    <x v="1"/>
    <x v="6"/>
    <x v="0"/>
    <x v="1"/>
    <n v="5"/>
    <n v="12"/>
    <s v="Card"/>
    <x v="1"/>
    <n v="60"/>
  </r>
  <r>
    <n v="312"/>
    <x v="3"/>
    <x v="28"/>
    <x v="2"/>
    <x v="0"/>
    <x v="0"/>
    <x v="2"/>
    <n v="1"/>
    <n v="20"/>
    <s v="Cash"/>
    <x v="1"/>
    <n v="20"/>
  </r>
  <r>
    <n v="1999"/>
    <x v="3"/>
    <x v="28"/>
    <x v="2"/>
    <x v="0"/>
    <x v="0"/>
    <x v="0"/>
    <n v="4"/>
    <n v="25"/>
    <s v="Mobile Wallet"/>
    <x v="0"/>
    <n v="100"/>
  </r>
  <r>
    <n v="291"/>
    <x v="3"/>
    <x v="31"/>
    <x v="2"/>
    <x v="0"/>
    <x v="0"/>
    <x v="0"/>
    <n v="1"/>
    <n v="25"/>
    <s v="Mobile Wallet"/>
    <x v="0"/>
    <n v="25"/>
  </r>
  <r>
    <n v="1708"/>
    <x v="3"/>
    <x v="5"/>
    <x v="1"/>
    <x v="4"/>
    <x v="0"/>
    <x v="1"/>
    <n v="4"/>
    <n v="12"/>
    <s v="Mobile Wallet"/>
    <x v="3"/>
    <n v="48"/>
  </r>
  <r>
    <n v="1345"/>
    <x v="3"/>
    <x v="48"/>
    <x v="0"/>
    <x v="5"/>
    <x v="0"/>
    <x v="1"/>
    <n v="2"/>
    <n v="12"/>
    <s v="Mobile Wallet"/>
    <x v="2"/>
    <n v="24"/>
  </r>
  <r>
    <n v="893"/>
    <x v="3"/>
    <x v="9"/>
    <x v="0"/>
    <x v="2"/>
    <x v="0"/>
    <x v="4"/>
    <n v="5"/>
    <n v="8"/>
    <s v="Cash"/>
    <x v="2"/>
    <n v="40"/>
  </r>
  <r>
    <n v="469"/>
    <x v="3"/>
    <x v="71"/>
    <x v="1"/>
    <x v="2"/>
    <x v="0"/>
    <x v="1"/>
    <n v="3"/>
    <n v="12"/>
    <s v="Mobile Wallet"/>
    <x v="1"/>
    <n v="36"/>
  </r>
  <r>
    <n v="1023"/>
    <x v="3"/>
    <x v="81"/>
    <x v="0"/>
    <x v="6"/>
    <x v="0"/>
    <x v="4"/>
    <n v="4"/>
    <n v="8"/>
    <s v="Card"/>
    <x v="2"/>
    <n v="32"/>
  </r>
  <r>
    <n v="75"/>
    <x v="3"/>
    <x v="70"/>
    <x v="0"/>
    <x v="6"/>
    <x v="0"/>
    <x v="2"/>
    <n v="3"/>
    <n v="20"/>
    <s v="Card"/>
    <x v="3"/>
    <n v="60"/>
  </r>
  <r>
    <n v="442"/>
    <x v="3"/>
    <x v="42"/>
    <x v="0"/>
    <x v="2"/>
    <x v="0"/>
    <x v="0"/>
    <n v="4"/>
    <n v="25"/>
    <s v="Mobile Wallet"/>
    <x v="3"/>
    <n v="100"/>
  </r>
  <r>
    <n v="906"/>
    <x v="3"/>
    <x v="24"/>
    <x v="0"/>
    <x v="2"/>
    <x v="0"/>
    <x v="1"/>
    <n v="2"/>
    <n v="12"/>
    <s v="Mobile Wallet"/>
    <x v="1"/>
    <n v="24"/>
  </r>
  <r>
    <n v="1088"/>
    <x v="3"/>
    <x v="82"/>
    <x v="0"/>
    <x v="1"/>
    <x v="0"/>
    <x v="1"/>
    <n v="4"/>
    <n v="12"/>
    <s v="Card"/>
    <x v="2"/>
    <n v="48"/>
  </r>
  <r>
    <n v="1264"/>
    <x v="3"/>
    <x v="60"/>
    <x v="1"/>
    <x v="0"/>
    <x v="0"/>
    <x v="1"/>
    <n v="2"/>
    <n v="12"/>
    <s v="Cash"/>
    <x v="3"/>
    <n v="24"/>
  </r>
  <r>
    <n v="964"/>
    <x v="3"/>
    <x v="8"/>
    <x v="0"/>
    <x v="2"/>
    <x v="0"/>
    <x v="3"/>
    <n v="3"/>
    <n v="30"/>
    <s v="Mobile Wallet"/>
    <x v="3"/>
    <n v="90"/>
  </r>
  <r>
    <n v="281"/>
    <x v="3"/>
    <x v="47"/>
    <x v="0"/>
    <x v="4"/>
    <x v="0"/>
    <x v="1"/>
    <n v="1"/>
    <n v="12"/>
    <s v="Cash"/>
    <x v="2"/>
    <n v="12"/>
  </r>
  <r>
    <n v="787"/>
    <x v="3"/>
    <x v="74"/>
    <x v="2"/>
    <x v="1"/>
    <x v="0"/>
    <x v="3"/>
    <n v="4"/>
    <n v="30"/>
    <s v="Card"/>
    <x v="1"/>
    <n v="120"/>
  </r>
  <r>
    <n v="814"/>
    <x v="3"/>
    <x v="15"/>
    <x v="0"/>
    <x v="4"/>
    <x v="0"/>
    <x v="1"/>
    <n v="3"/>
    <n v="12"/>
    <s v="Mobile Wallet"/>
    <x v="3"/>
    <n v="36"/>
  </r>
  <r>
    <n v="1634"/>
    <x v="3"/>
    <x v="24"/>
    <x v="0"/>
    <x v="2"/>
    <x v="0"/>
    <x v="1"/>
    <n v="1"/>
    <n v="12"/>
    <s v="Card"/>
    <x v="3"/>
    <n v="12"/>
  </r>
  <r>
    <n v="1371"/>
    <x v="3"/>
    <x v="68"/>
    <x v="2"/>
    <x v="4"/>
    <x v="0"/>
    <x v="1"/>
    <n v="4"/>
    <n v="12"/>
    <s v="Cash"/>
    <x v="0"/>
    <n v="48"/>
  </r>
  <r>
    <n v="1268"/>
    <x v="3"/>
    <x v="5"/>
    <x v="1"/>
    <x v="4"/>
    <x v="0"/>
    <x v="0"/>
    <n v="3"/>
    <n v="25"/>
    <s v="Card"/>
    <x v="0"/>
    <n v="75"/>
  </r>
  <r>
    <n v="967"/>
    <x v="3"/>
    <x v="18"/>
    <x v="0"/>
    <x v="0"/>
    <x v="0"/>
    <x v="4"/>
    <n v="1"/>
    <n v="8"/>
    <s v="Mobile Wallet"/>
    <x v="1"/>
    <n v="8"/>
  </r>
  <r>
    <n v="1367"/>
    <x v="3"/>
    <x v="53"/>
    <x v="1"/>
    <x v="6"/>
    <x v="0"/>
    <x v="1"/>
    <n v="2"/>
    <n v="12"/>
    <s v="Cash"/>
    <x v="0"/>
    <n v="24"/>
  </r>
  <r>
    <n v="1324"/>
    <x v="3"/>
    <x v="77"/>
    <x v="2"/>
    <x v="4"/>
    <x v="0"/>
    <x v="0"/>
    <n v="4"/>
    <n v="25"/>
    <s v="Mobile Wallet"/>
    <x v="3"/>
    <n v="100"/>
  </r>
  <r>
    <n v="1142"/>
    <x v="3"/>
    <x v="8"/>
    <x v="0"/>
    <x v="2"/>
    <x v="0"/>
    <x v="3"/>
    <n v="2"/>
    <n v="30"/>
    <s v="Card"/>
    <x v="1"/>
    <n v="60"/>
  </r>
  <r>
    <n v="1603"/>
    <x v="3"/>
    <x v="42"/>
    <x v="0"/>
    <x v="2"/>
    <x v="0"/>
    <x v="1"/>
    <n v="5"/>
    <n v="12"/>
    <s v="Card"/>
    <x v="1"/>
    <n v="60"/>
  </r>
  <r>
    <n v="1756"/>
    <x v="3"/>
    <x v="36"/>
    <x v="2"/>
    <x v="2"/>
    <x v="0"/>
    <x v="1"/>
    <n v="1"/>
    <n v="12"/>
    <s v="Mobile Wallet"/>
    <x v="3"/>
    <n v="12"/>
  </r>
  <r>
    <n v="518"/>
    <x v="3"/>
    <x v="11"/>
    <x v="1"/>
    <x v="4"/>
    <x v="0"/>
    <x v="1"/>
    <n v="2"/>
    <n v="12"/>
    <s v="Cash"/>
    <x v="0"/>
    <n v="24"/>
  </r>
  <r>
    <n v="1710"/>
    <x v="3"/>
    <x v="78"/>
    <x v="2"/>
    <x v="4"/>
    <x v="0"/>
    <x v="3"/>
    <n v="5"/>
    <n v="30"/>
    <s v="Cash"/>
    <x v="2"/>
    <n v="150"/>
  </r>
  <r>
    <n v="1130"/>
    <x v="3"/>
    <x v="14"/>
    <x v="1"/>
    <x v="0"/>
    <x v="0"/>
    <x v="2"/>
    <n v="1"/>
    <n v="20"/>
    <s v="Cash"/>
    <x v="0"/>
    <n v="20"/>
  </r>
  <r>
    <n v="1782"/>
    <x v="3"/>
    <x v="6"/>
    <x v="1"/>
    <x v="5"/>
    <x v="0"/>
    <x v="1"/>
    <n v="2"/>
    <n v="12"/>
    <s v="Cash"/>
    <x v="1"/>
    <n v="24"/>
  </r>
  <r>
    <n v="355"/>
    <x v="3"/>
    <x v="74"/>
    <x v="2"/>
    <x v="1"/>
    <x v="0"/>
    <x v="4"/>
    <n v="4"/>
    <n v="8"/>
    <s v="Card"/>
    <x v="0"/>
    <n v="32"/>
  </r>
  <r>
    <n v="1499"/>
    <x v="3"/>
    <x v="18"/>
    <x v="0"/>
    <x v="0"/>
    <x v="0"/>
    <x v="1"/>
    <n v="3"/>
    <n v="12"/>
    <s v="Cash"/>
    <x v="0"/>
    <n v="36"/>
  </r>
  <r>
    <n v="788"/>
    <x v="3"/>
    <x v="76"/>
    <x v="2"/>
    <x v="3"/>
    <x v="0"/>
    <x v="1"/>
    <n v="1"/>
    <n v="12"/>
    <s v="Mobile Wallet"/>
    <x v="1"/>
    <n v="12"/>
  </r>
  <r>
    <n v="752"/>
    <x v="3"/>
    <x v="71"/>
    <x v="1"/>
    <x v="2"/>
    <x v="0"/>
    <x v="4"/>
    <n v="2"/>
    <n v="8"/>
    <s v="Card"/>
    <x v="1"/>
    <n v="16"/>
  </r>
  <r>
    <n v="1921"/>
    <x v="7"/>
    <x v="83"/>
    <x v="0"/>
    <x v="5"/>
    <x v="0"/>
    <x v="3"/>
    <n v="2"/>
    <n v="30"/>
    <s v="Cash"/>
    <x v="3"/>
    <n v="60"/>
  </r>
  <r>
    <n v="1964"/>
    <x v="4"/>
    <x v="84"/>
    <x v="0"/>
    <x v="3"/>
    <x v="0"/>
    <x v="0"/>
    <n v="1"/>
    <n v="25"/>
    <s v="Mobile Wallet"/>
    <x v="2"/>
    <n v="25"/>
  </r>
  <r>
    <n v="1841"/>
    <x v="4"/>
    <x v="13"/>
    <x v="2"/>
    <x v="3"/>
    <x v="0"/>
    <x v="0"/>
    <n v="5"/>
    <n v="25"/>
    <s v="Mobile Wallet"/>
    <x v="3"/>
    <n v="125"/>
  </r>
  <r>
    <n v="48"/>
    <x v="5"/>
    <x v="71"/>
    <x v="1"/>
    <x v="2"/>
    <x v="0"/>
    <x v="4"/>
    <n v="3"/>
    <n v="8"/>
    <s v="Cash"/>
    <x v="3"/>
    <n v="24"/>
  </r>
  <r>
    <n v="452"/>
    <x v="0"/>
    <x v="23"/>
    <x v="2"/>
    <x v="0"/>
    <x v="0"/>
    <x v="3"/>
    <n v="3"/>
    <n v="30"/>
    <s v="Cash"/>
    <x v="1"/>
    <n v="90"/>
  </r>
  <r>
    <n v="154"/>
    <x v="7"/>
    <x v="8"/>
    <x v="0"/>
    <x v="2"/>
    <x v="0"/>
    <x v="2"/>
    <n v="2"/>
    <n v="20"/>
    <s v="Mobile Wallet"/>
    <x v="3"/>
    <n v="40"/>
  </r>
  <r>
    <n v="1566"/>
    <x v="7"/>
    <x v="40"/>
    <x v="2"/>
    <x v="2"/>
    <x v="0"/>
    <x v="4"/>
    <n v="4"/>
    <n v="8"/>
    <s v="Mobile Wallet"/>
    <x v="1"/>
    <n v="32"/>
  </r>
  <r>
    <n v="1877"/>
    <x v="1"/>
    <x v="34"/>
    <x v="1"/>
    <x v="0"/>
    <x v="0"/>
    <x v="1"/>
    <n v="5"/>
    <n v="12"/>
    <s v="Card"/>
    <x v="3"/>
    <n v="60"/>
  </r>
  <r>
    <n v="817"/>
    <x v="3"/>
    <x v="0"/>
    <x v="0"/>
    <x v="0"/>
    <x v="0"/>
    <x v="1"/>
    <n v="3"/>
    <n v="12"/>
    <s v="Mobile Wallet"/>
    <x v="3"/>
    <n v="36"/>
  </r>
  <r>
    <n v="968"/>
    <x v="0"/>
    <x v="19"/>
    <x v="2"/>
    <x v="6"/>
    <x v="0"/>
    <x v="0"/>
    <n v="1"/>
    <n v="25"/>
    <s v="Mobile Wallet"/>
    <x v="3"/>
    <n v="25"/>
  </r>
  <r>
    <n v="1399"/>
    <x v="6"/>
    <x v="77"/>
    <x v="2"/>
    <x v="4"/>
    <x v="0"/>
    <x v="1"/>
    <n v="1"/>
    <n v="12"/>
    <s v="Mobile Wallet"/>
    <x v="0"/>
    <n v="12"/>
  </r>
  <r>
    <n v="980"/>
    <x v="0"/>
    <x v="44"/>
    <x v="2"/>
    <x v="1"/>
    <x v="0"/>
    <x v="3"/>
    <n v="2"/>
    <n v="30"/>
    <s v="Mobile Wallet"/>
    <x v="2"/>
    <n v="60"/>
  </r>
  <r>
    <n v="174"/>
    <x v="6"/>
    <x v="52"/>
    <x v="2"/>
    <x v="5"/>
    <x v="0"/>
    <x v="2"/>
    <n v="5"/>
    <n v="20"/>
    <s v="Card"/>
    <x v="1"/>
    <n v="100"/>
  </r>
  <r>
    <n v="1810"/>
    <x v="4"/>
    <x v="49"/>
    <x v="2"/>
    <x v="1"/>
    <x v="0"/>
    <x v="1"/>
    <n v="3"/>
    <n v="12"/>
    <s v="Card"/>
    <x v="0"/>
    <n v="36"/>
  </r>
  <r>
    <n v="1089"/>
    <x v="2"/>
    <x v="7"/>
    <x v="1"/>
    <x v="3"/>
    <x v="0"/>
    <x v="0"/>
    <n v="1"/>
    <n v="25"/>
    <s v="Card"/>
    <x v="2"/>
    <n v="25"/>
  </r>
  <r>
    <n v="1001"/>
    <x v="0"/>
    <x v="40"/>
    <x v="2"/>
    <x v="2"/>
    <x v="0"/>
    <x v="4"/>
    <n v="3"/>
    <n v="8"/>
    <s v="Cash"/>
    <x v="2"/>
    <n v="24"/>
  </r>
  <r>
    <n v="444"/>
    <x v="2"/>
    <x v="85"/>
    <x v="2"/>
    <x v="6"/>
    <x v="0"/>
    <x v="2"/>
    <n v="2"/>
    <n v="20"/>
    <s v="Mobile Wallet"/>
    <x v="0"/>
    <n v="40"/>
  </r>
  <r>
    <n v="1683"/>
    <x v="1"/>
    <x v="6"/>
    <x v="1"/>
    <x v="5"/>
    <x v="0"/>
    <x v="4"/>
    <n v="2"/>
    <n v="8"/>
    <s v="Card"/>
    <x v="3"/>
    <n v="16"/>
  </r>
  <r>
    <n v="625"/>
    <x v="1"/>
    <x v="40"/>
    <x v="2"/>
    <x v="2"/>
    <x v="0"/>
    <x v="1"/>
    <n v="4"/>
    <n v="12"/>
    <s v="Cash"/>
    <x v="0"/>
    <n v="48"/>
  </r>
  <r>
    <n v="1781"/>
    <x v="0"/>
    <x v="66"/>
    <x v="0"/>
    <x v="1"/>
    <x v="0"/>
    <x v="1"/>
    <n v="2"/>
    <n v="12"/>
    <s v="Card"/>
    <x v="3"/>
    <n v="24"/>
  </r>
  <r>
    <n v="366"/>
    <x v="5"/>
    <x v="1"/>
    <x v="1"/>
    <x v="1"/>
    <x v="0"/>
    <x v="1"/>
    <n v="5"/>
    <n v="12"/>
    <s v="Card"/>
    <x v="2"/>
    <n v="60"/>
  </r>
  <r>
    <n v="404"/>
    <x v="3"/>
    <x v="10"/>
    <x v="2"/>
    <x v="0"/>
    <x v="0"/>
    <x v="1"/>
    <n v="4"/>
    <n v="12"/>
    <s v="Cash"/>
    <x v="1"/>
    <n v="48"/>
  </r>
  <r>
    <n v="1619"/>
    <x v="0"/>
    <x v="2"/>
    <x v="2"/>
    <x v="2"/>
    <x v="0"/>
    <x v="4"/>
    <n v="1"/>
    <n v="8"/>
    <s v="Card"/>
    <x v="2"/>
    <n v="8"/>
  </r>
  <r>
    <n v="983"/>
    <x v="6"/>
    <x v="37"/>
    <x v="0"/>
    <x v="0"/>
    <x v="0"/>
    <x v="4"/>
    <n v="2"/>
    <n v="8"/>
    <s v="Card"/>
    <x v="0"/>
    <n v="16"/>
  </r>
  <r>
    <n v="1774"/>
    <x v="6"/>
    <x v="52"/>
    <x v="2"/>
    <x v="5"/>
    <x v="0"/>
    <x v="4"/>
    <n v="1"/>
    <n v="8"/>
    <s v="Cash"/>
    <x v="3"/>
    <n v="8"/>
  </r>
  <r>
    <n v="569"/>
    <x v="5"/>
    <x v="46"/>
    <x v="1"/>
    <x v="3"/>
    <x v="0"/>
    <x v="2"/>
    <n v="4"/>
    <n v="20"/>
    <s v="Cash"/>
    <x v="3"/>
    <n v="80"/>
  </r>
  <r>
    <n v="1114"/>
    <x v="5"/>
    <x v="40"/>
    <x v="2"/>
    <x v="2"/>
    <x v="0"/>
    <x v="1"/>
    <n v="1"/>
    <n v="12"/>
    <s v="Cash"/>
    <x v="0"/>
    <n v="12"/>
  </r>
  <r>
    <n v="1938"/>
    <x v="0"/>
    <x v="16"/>
    <x v="0"/>
    <x v="0"/>
    <x v="0"/>
    <x v="1"/>
    <n v="4"/>
    <n v="12"/>
    <s v="Mobile Wallet"/>
    <x v="1"/>
    <n v="48"/>
  </r>
  <r>
    <n v="804"/>
    <x v="3"/>
    <x v="4"/>
    <x v="0"/>
    <x v="1"/>
    <x v="0"/>
    <x v="3"/>
    <n v="3"/>
    <n v="30"/>
    <s v="Card"/>
    <x v="0"/>
    <n v="90"/>
  </r>
  <r>
    <n v="1051"/>
    <x v="4"/>
    <x v="70"/>
    <x v="0"/>
    <x v="6"/>
    <x v="0"/>
    <x v="1"/>
    <n v="5"/>
    <n v="12"/>
    <s v="Card"/>
    <x v="0"/>
    <n v="60"/>
  </r>
  <r>
    <n v="1186"/>
    <x v="6"/>
    <x v="74"/>
    <x v="2"/>
    <x v="1"/>
    <x v="0"/>
    <x v="0"/>
    <n v="2"/>
    <n v="25"/>
    <s v="Cash"/>
    <x v="3"/>
    <n v="50"/>
  </r>
  <r>
    <n v="1174"/>
    <x v="5"/>
    <x v="62"/>
    <x v="1"/>
    <x v="6"/>
    <x v="0"/>
    <x v="1"/>
    <n v="3"/>
    <n v="12"/>
    <s v="Card"/>
    <x v="0"/>
    <n v="36"/>
  </r>
  <r>
    <n v="694"/>
    <x v="6"/>
    <x v="41"/>
    <x v="2"/>
    <x v="4"/>
    <x v="0"/>
    <x v="1"/>
    <n v="4"/>
    <n v="12"/>
    <s v="Mobile Wallet"/>
    <x v="1"/>
    <n v="48"/>
  </r>
  <r>
    <n v="663"/>
    <x v="1"/>
    <x v="75"/>
    <x v="2"/>
    <x v="3"/>
    <x v="0"/>
    <x v="1"/>
    <n v="2"/>
    <n v="12"/>
    <s v="Card"/>
    <x v="1"/>
    <n v="24"/>
  </r>
  <r>
    <n v="854"/>
    <x v="7"/>
    <x v="54"/>
    <x v="1"/>
    <x v="3"/>
    <x v="0"/>
    <x v="3"/>
    <n v="5"/>
    <n v="30"/>
    <s v="Card"/>
    <x v="0"/>
    <n v="150"/>
  </r>
  <r>
    <n v="1299"/>
    <x v="1"/>
    <x v="79"/>
    <x v="1"/>
    <x v="2"/>
    <x v="0"/>
    <x v="1"/>
    <n v="2"/>
    <n v="12"/>
    <s v="Card"/>
    <x v="0"/>
    <n v="24"/>
  </r>
  <r>
    <n v="845"/>
    <x v="1"/>
    <x v="33"/>
    <x v="0"/>
    <x v="2"/>
    <x v="0"/>
    <x v="0"/>
    <n v="2"/>
    <n v="25"/>
    <s v="Mobile Wallet"/>
    <x v="2"/>
    <n v="50"/>
  </r>
  <r>
    <n v="136"/>
    <x v="1"/>
    <x v="18"/>
    <x v="0"/>
    <x v="0"/>
    <x v="0"/>
    <x v="2"/>
    <n v="1"/>
    <n v="20"/>
    <s v="Cash"/>
    <x v="3"/>
    <n v="20"/>
  </r>
  <r>
    <n v="1620"/>
    <x v="1"/>
    <x v="4"/>
    <x v="0"/>
    <x v="1"/>
    <x v="0"/>
    <x v="1"/>
    <n v="5"/>
    <n v="12"/>
    <s v="Card"/>
    <x v="0"/>
    <n v="60"/>
  </r>
  <r>
    <n v="963"/>
    <x v="0"/>
    <x v="7"/>
    <x v="1"/>
    <x v="3"/>
    <x v="0"/>
    <x v="1"/>
    <n v="3"/>
    <n v="12"/>
    <s v="Mobile Wallet"/>
    <x v="1"/>
    <n v="36"/>
  </r>
  <r>
    <n v="957"/>
    <x v="6"/>
    <x v="81"/>
    <x v="0"/>
    <x v="6"/>
    <x v="0"/>
    <x v="4"/>
    <n v="5"/>
    <n v="8"/>
    <s v="Mobile Wallet"/>
    <x v="1"/>
    <n v="40"/>
  </r>
  <r>
    <n v="1909"/>
    <x v="4"/>
    <x v="38"/>
    <x v="0"/>
    <x v="1"/>
    <x v="0"/>
    <x v="0"/>
    <n v="1"/>
    <n v="25"/>
    <s v="Mobile Wallet"/>
    <x v="2"/>
    <n v="25"/>
  </r>
  <r>
    <n v="512"/>
    <x v="4"/>
    <x v="55"/>
    <x v="1"/>
    <x v="2"/>
    <x v="0"/>
    <x v="2"/>
    <n v="4"/>
    <n v="20"/>
    <s v="Cash"/>
    <x v="1"/>
    <n v="80"/>
  </r>
  <r>
    <n v="921"/>
    <x v="1"/>
    <x v="51"/>
    <x v="0"/>
    <x v="1"/>
    <x v="0"/>
    <x v="1"/>
    <n v="1"/>
    <n v="12"/>
    <s v="Card"/>
    <x v="0"/>
    <n v="12"/>
  </r>
  <r>
    <n v="1630"/>
    <x v="0"/>
    <x v="86"/>
    <x v="1"/>
    <x v="4"/>
    <x v="0"/>
    <x v="0"/>
    <n v="5"/>
    <n v="25"/>
    <s v="Mobile Wallet"/>
    <x v="1"/>
    <n v="125"/>
  </r>
  <r>
    <n v="1969"/>
    <x v="3"/>
    <x v="37"/>
    <x v="0"/>
    <x v="0"/>
    <x v="0"/>
    <x v="0"/>
    <n v="5"/>
    <n v="25"/>
    <s v="Mobile Wallet"/>
    <x v="1"/>
    <n v="125"/>
  </r>
  <r>
    <n v="1326"/>
    <x v="3"/>
    <x v="77"/>
    <x v="2"/>
    <x v="4"/>
    <x v="0"/>
    <x v="4"/>
    <n v="4"/>
    <n v="8"/>
    <s v="Card"/>
    <x v="1"/>
    <n v="32"/>
  </r>
  <r>
    <n v="630"/>
    <x v="5"/>
    <x v="87"/>
    <x v="0"/>
    <x v="4"/>
    <x v="0"/>
    <x v="1"/>
    <n v="4"/>
    <n v="12"/>
    <s v="Cash"/>
    <x v="0"/>
    <n v="48"/>
  </r>
  <r>
    <n v="2"/>
    <x v="6"/>
    <x v="33"/>
    <x v="0"/>
    <x v="2"/>
    <x v="0"/>
    <x v="1"/>
    <n v="5"/>
    <n v="12"/>
    <s v="Cash"/>
    <x v="0"/>
    <n v="60"/>
  </r>
  <r>
    <n v="1034"/>
    <x v="0"/>
    <x v="24"/>
    <x v="0"/>
    <x v="2"/>
    <x v="0"/>
    <x v="1"/>
    <n v="1"/>
    <n v="12"/>
    <s v="Mobile Wallet"/>
    <x v="1"/>
    <n v="12"/>
  </r>
  <r>
    <n v="1409"/>
    <x v="5"/>
    <x v="4"/>
    <x v="0"/>
    <x v="1"/>
    <x v="0"/>
    <x v="1"/>
    <n v="3"/>
    <n v="12"/>
    <s v="Mobile Wallet"/>
    <x v="1"/>
    <n v="36"/>
  </r>
  <r>
    <n v="721"/>
    <x v="4"/>
    <x v="77"/>
    <x v="2"/>
    <x v="4"/>
    <x v="0"/>
    <x v="2"/>
    <n v="3"/>
    <n v="20"/>
    <s v="Card"/>
    <x v="0"/>
    <n v="60"/>
  </r>
  <r>
    <n v="400"/>
    <x v="3"/>
    <x v="15"/>
    <x v="0"/>
    <x v="4"/>
    <x v="0"/>
    <x v="0"/>
    <n v="2"/>
    <n v="25"/>
    <s v="Cash"/>
    <x v="2"/>
    <n v="50"/>
  </r>
  <r>
    <n v="896"/>
    <x v="6"/>
    <x v="48"/>
    <x v="0"/>
    <x v="5"/>
    <x v="0"/>
    <x v="2"/>
    <n v="1"/>
    <n v="20"/>
    <s v="Mobile Wallet"/>
    <x v="3"/>
    <n v="20"/>
  </r>
  <r>
    <n v="1891"/>
    <x v="4"/>
    <x v="54"/>
    <x v="1"/>
    <x v="3"/>
    <x v="0"/>
    <x v="4"/>
    <n v="5"/>
    <n v="8"/>
    <s v="Card"/>
    <x v="1"/>
    <n v="40"/>
  </r>
  <r>
    <n v="1054"/>
    <x v="5"/>
    <x v="58"/>
    <x v="1"/>
    <x v="3"/>
    <x v="0"/>
    <x v="1"/>
    <n v="2"/>
    <n v="12"/>
    <s v="Mobile Wallet"/>
    <x v="0"/>
    <n v="24"/>
  </r>
  <r>
    <n v="251"/>
    <x v="0"/>
    <x v="63"/>
    <x v="1"/>
    <x v="5"/>
    <x v="0"/>
    <x v="1"/>
    <n v="4"/>
    <n v="12"/>
    <s v="Cash"/>
    <x v="0"/>
    <n v="48"/>
  </r>
  <r>
    <n v="1125"/>
    <x v="0"/>
    <x v="12"/>
    <x v="2"/>
    <x v="3"/>
    <x v="0"/>
    <x v="4"/>
    <n v="5"/>
    <n v="8"/>
    <s v="Mobile Wallet"/>
    <x v="2"/>
    <n v="40"/>
  </r>
  <r>
    <n v="1881"/>
    <x v="0"/>
    <x v="83"/>
    <x v="0"/>
    <x v="5"/>
    <x v="0"/>
    <x v="0"/>
    <n v="2"/>
    <n v="25"/>
    <s v="Card"/>
    <x v="3"/>
    <n v="50"/>
  </r>
  <r>
    <n v="1570"/>
    <x v="0"/>
    <x v="85"/>
    <x v="2"/>
    <x v="6"/>
    <x v="0"/>
    <x v="2"/>
    <n v="4"/>
    <n v="20"/>
    <s v="Card"/>
    <x v="1"/>
    <n v="80"/>
  </r>
  <r>
    <n v="908"/>
    <x v="7"/>
    <x v="2"/>
    <x v="2"/>
    <x v="2"/>
    <x v="0"/>
    <x v="1"/>
    <n v="3"/>
    <n v="12"/>
    <s v="Cash"/>
    <x v="1"/>
    <n v="36"/>
  </r>
  <r>
    <n v="1516"/>
    <x v="0"/>
    <x v="1"/>
    <x v="1"/>
    <x v="1"/>
    <x v="0"/>
    <x v="3"/>
    <n v="3"/>
    <n v="30"/>
    <s v="Mobile Wallet"/>
    <x v="0"/>
    <n v="90"/>
  </r>
  <r>
    <n v="277"/>
    <x v="3"/>
    <x v="81"/>
    <x v="0"/>
    <x v="6"/>
    <x v="0"/>
    <x v="4"/>
    <n v="2"/>
    <n v="8"/>
    <s v="Cash"/>
    <x v="1"/>
    <n v="16"/>
  </r>
  <r>
    <n v="1355"/>
    <x v="4"/>
    <x v="40"/>
    <x v="2"/>
    <x v="2"/>
    <x v="0"/>
    <x v="1"/>
    <n v="2"/>
    <n v="12"/>
    <s v="Cash"/>
    <x v="0"/>
    <n v="24"/>
  </r>
  <r>
    <n v="124"/>
    <x v="5"/>
    <x v="1"/>
    <x v="1"/>
    <x v="1"/>
    <x v="0"/>
    <x v="1"/>
    <n v="2"/>
    <n v="12"/>
    <s v="Card"/>
    <x v="0"/>
    <n v="24"/>
  </r>
  <r>
    <n v="1728"/>
    <x v="3"/>
    <x v="61"/>
    <x v="1"/>
    <x v="6"/>
    <x v="0"/>
    <x v="1"/>
    <n v="3"/>
    <n v="12"/>
    <s v="Mobile Wallet"/>
    <x v="2"/>
    <n v="36"/>
  </r>
  <r>
    <n v="1696"/>
    <x v="2"/>
    <x v="10"/>
    <x v="2"/>
    <x v="0"/>
    <x v="0"/>
    <x v="1"/>
    <n v="5"/>
    <n v="12"/>
    <s v="Cash"/>
    <x v="3"/>
    <n v="60"/>
  </r>
  <r>
    <n v="1086"/>
    <x v="3"/>
    <x v="40"/>
    <x v="2"/>
    <x v="2"/>
    <x v="0"/>
    <x v="4"/>
    <n v="1"/>
    <n v="8"/>
    <s v="Mobile Wallet"/>
    <x v="0"/>
    <n v="8"/>
  </r>
  <r>
    <n v="1065"/>
    <x v="0"/>
    <x v="18"/>
    <x v="0"/>
    <x v="0"/>
    <x v="0"/>
    <x v="0"/>
    <n v="3"/>
    <n v="25"/>
    <s v="Card"/>
    <x v="0"/>
    <n v="75"/>
  </r>
  <r>
    <n v="1199"/>
    <x v="7"/>
    <x v="9"/>
    <x v="0"/>
    <x v="2"/>
    <x v="0"/>
    <x v="1"/>
    <n v="4"/>
    <n v="12"/>
    <s v="Card"/>
    <x v="1"/>
    <n v="48"/>
  </r>
  <r>
    <n v="118"/>
    <x v="0"/>
    <x v="49"/>
    <x v="2"/>
    <x v="1"/>
    <x v="0"/>
    <x v="0"/>
    <n v="3"/>
    <n v="25"/>
    <s v="Cash"/>
    <x v="2"/>
    <n v="75"/>
  </r>
  <r>
    <n v="988"/>
    <x v="6"/>
    <x v="9"/>
    <x v="0"/>
    <x v="2"/>
    <x v="0"/>
    <x v="0"/>
    <n v="3"/>
    <n v="25"/>
    <s v="Mobile Wallet"/>
    <x v="0"/>
    <n v="75"/>
  </r>
  <r>
    <n v="1797"/>
    <x v="5"/>
    <x v="59"/>
    <x v="0"/>
    <x v="0"/>
    <x v="0"/>
    <x v="0"/>
    <n v="2"/>
    <n v="25"/>
    <s v="Cash"/>
    <x v="2"/>
    <n v="50"/>
  </r>
  <r>
    <n v="428"/>
    <x v="6"/>
    <x v="38"/>
    <x v="0"/>
    <x v="1"/>
    <x v="0"/>
    <x v="3"/>
    <n v="3"/>
    <n v="30"/>
    <s v="Mobile Wallet"/>
    <x v="3"/>
    <n v="90"/>
  </r>
  <r>
    <n v="956"/>
    <x v="7"/>
    <x v="60"/>
    <x v="1"/>
    <x v="0"/>
    <x v="0"/>
    <x v="4"/>
    <n v="5"/>
    <n v="8"/>
    <s v="Mobile Wallet"/>
    <x v="2"/>
    <n v="40"/>
  </r>
  <r>
    <n v="1035"/>
    <x v="3"/>
    <x v="30"/>
    <x v="1"/>
    <x v="2"/>
    <x v="0"/>
    <x v="1"/>
    <n v="5"/>
    <n v="12"/>
    <s v="Cash"/>
    <x v="3"/>
    <n v="60"/>
  </r>
  <r>
    <n v="606"/>
    <x v="7"/>
    <x v="31"/>
    <x v="2"/>
    <x v="0"/>
    <x v="0"/>
    <x v="0"/>
    <n v="5"/>
    <n v="25"/>
    <s v="Card"/>
    <x v="2"/>
    <n v="125"/>
  </r>
  <r>
    <n v="1931"/>
    <x v="2"/>
    <x v="2"/>
    <x v="2"/>
    <x v="2"/>
    <x v="0"/>
    <x v="3"/>
    <n v="5"/>
    <n v="30"/>
    <s v="Card"/>
    <x v="3"/>
    <n v="150"/>
  </r>
  <r>
    <n v="1477"/>
    <x v="5"/>
    <x v="40"/>
    <x v="2"/>
    <x v="2"/>
    <x v="0"/>
    <x v="3"/>
    <n v="4"/>
    <n v="30"/>
    <s v="Card"/>
    <x v="0"/>
    <n v="120"/>
  </r>
  <r>
    <n v="1338"/>
    <x v="0"/>
    <x v="60"/>
    <x v="1"/>
    <x v="0"/>
    <x v="0"/>
    <x v="4"/>
    <n v="3"/>
    <n v="8"/>
    <s v="Mobile Wallet"/>
    <x v="3"/>
    <n v="24"/>
  </r>
  <r>
    <n v="152"/>
    <x v="7"/>
    <x v="40"/>
    <x v="2"/>
    <x v="2"/>
    <x v="0"/>
    <x v="1"/>
    <n v="5"/>
    <n v="12"/>
    <s v="Mobile Wallet"/>
    <x v="3"/>
    <n v="60"/>
  </r>
  <r>
    <n v="1833"/>
    <x v="6"/>
    <x v="1"/>
    <x v="1"/>
    <x v="1"/>
    <x v="0"/>
    <x v="2"/>
    <n v="4"/>
    <n v="20"/>
    <s v="Card"/>
    <x v="1"/>
    <n v="80"/>
  </r>
  <r>
    <n v="209"/>
    <x v="0"/>
    <x v="78"/>
    <x v="2"/>
    <x v="4"/>
    <x v="0"/>
    <x v="1"/>
    <n v="3"/>
    <n v="12"/>
    <s v="Cash"/>
    <x v="0"/>
    <n v="36"/>
  </r>
  <r>
    <n v="290"/>
    <x v="2"/>
    <x v="37"/>
    <x v="0"/>
    <x v="0"/>
    <x v="0"/>
    <x v="1"/>
    <n v="4"/>
    <n v="12"/>
    <s v="Card"/>
    <x v="3"/>
    <n v="48"/>
  </r>
  <r>
    <n v="340"/>
    <x v="6"/>
    <x v="14"/>
    <x v="1"/>
    <x v="0"/>
    <x v="0"/>
    <x v="1"/>
    <n v="1"/>
    <n v="12"/>
    <s v="Mobile Wallet"/>
    <x v="0"/>
    <n v="12"/>
  </r>
  <r>
    <n v="1719"/>
    <x v="4"/>
    <x v="9"/>
    <x v="0"/>
    <x v="2"/>
    <x v="0"/>
    <x v="1"/>
    <n v="3"/>
    <n v="12"/>
    <s v="Cash"/>
    <x v="2"/>
    <n v="36"/>
  </r>
  <r>
    <n v="799"/>
    <x v="3"/>
    <x v="37"/>
    <x v="0"/>
    <x v="0"/>
    <x v="0"/>
    <x v="3"/>
    <n v="3"/>
    <n v="30"/>
    <s v="Mobile Wallet"/>
    <x v="3"/>
    <n v="90"/>
  </r>
  <r>
    <n v="825"/>
    <x v="2"/>
    <x v="37"/>
    <x v="0"/>
    <x v="0"/>
    <x v="0"/>
    <x v="1"/>
    <n v="5"/>
    <n v="12"/>
    <s v="Mobile Wallet"/>
    <x v="1"/>
    <n v="60"/>
  </r>
  <r>
    <n v="1188"/>
    <x v="3"/>
    <x v="44"/>
    <x v="2"/>
    <x v="1"/>
    <x v="0"/>
    <x v="1"/>
    <n v="5"/>
    <n v="12"/>
    <s v="Card"/>
    <x v="3"/>
    <n v="60"/>
  </r>
  <r>
    <n v="690"/>
    <x v="4"/>
    <x v="39"/>
    <x v="2"/>
    <x v="4"/>
    <x v="0"/>
    <x v="1"/>
    <n v="4"/>
    <n v="12"/>
    <s v="Mobile Wallet"/>
    <x v="0"/>
    <n v="48"/>
  </r>
  <r>
    <n v="1953"/>
    <x v="7"/>
    <x v="82"/>
    <x v="0"/>
    <x v="1"/>
    <x v="0"/>
    <x v="3"/>
    <n v="3"/>
    <n v="30"/>
    <s v="Mobile Wallet"/>
    <x v="1"/>
    <n v="90"/>
  </r>
  <r>
    <n v="192"/>
    <x v="7"/>
    <x v="71"/>
    <x v="1"/>
    <x v="2"/>
    <x v="0"/>
    <x v="3"/>
    <n v="5"/>
    <n v="30"/>
    <s v="Cash"/>
    <x v="2"/>
    <n v="150"/>
  </r>
  <r>
    <n v="53"/>
    <x v="7"/>
    <x v="24"/>
    <x v="0"/>
    <x v="2"/>
    <x v="0"/>
    <x v="1"/>
    <n v="5"/>
    <n v="12"/>
    <s v="Card"/>
    <x v="2"/>
    <n v="60"/>
  </r>
  <r>
    <n v="295"/>
    <x v="4"/>
    <x v="23"/>
    <x v="2"/>
    <x v="0"/>
    <x v="0"/>
    <x v="1"/>
    <n v="3"/>
    <n v="12"/>
    <s v="Card"/>
    <x v="2"/>
    <n v="36"/>
  </r>
  <r>
    <n v="1267"/>
    <x v="5"/>
    <x v="83"/>
    <x v="0"/>
    <x v="5"/>
    <x v="0"/>
    <x v="1"/>
    <n v="1"/>
    <n v="12"/>
    <s v="Card"/>
    <x v="0"/>
    <n v="12"/>
  </r>
  <r>
    <n v="377"/>
    <x v="6"/>
    <x v="24"/>
    <x v="0"/>
    <x v="2"/>
    <x v="0"/>
    <x v="1"/>
    <n v="2"/>
    <n v="12"/>
    <s v="Mobile Wallet"/>
    <x v="2"/>
    <n v="24"/>
  </r>
  <r>
    <n v="588"/>
    <x v="7"/>
    <x v="40"/>
    <x v="2"/>
    <x v="2"/>
    <x v="0"/>
    <x v="4"/>
    <n v="5"/>
    <n v="8"/>
    <s v="Card"/>
    <x v="1"/>
    <n v="40"/>
  </r>
  <r>
    <n v="1907"/>
    <x v="1"/>
    <x v="10"/>
    <x v="2"/>
    <x v="0"/>
    <x v="0"/>
    <x v="0"/>
    <n v="1"/>
    <n v="25"/>
    <s v="Mobile Wallet"/>
    <x v="2"/>
    <n v="25"/>
  </r>
  <r>
    <n v="1744"/>
    <x v="7"/>
    <x v="27"/>
    <x v="1"/>
    <x v="5"/>
    <x v="0"/>
    <x v="1"/>
    <n v="4"/>
    <n v="12"/>
    <s v="Cash"/>
    <x v="2"/>
    <n v="48"/>
  </r>
  <r>
    <n v="1823"/>
    <x v="6"/>
    <x v="41"/>
    <x v="2"/>
    <x v="4"/>
    <x v="0"/>
    <x v="2"/>
    <n v="2"/>
    <n v="20"/>
    <s v="Cash"/>
    <x v="1"/>
    <n v="40"/>
  </r>
  <r>
    <n v="143"/>
    <x v="6"/>
    <x v="34"/>
    <x v="1"/>
    <x v="0"/>
    <x v="0"/>
    <x v="4"/>
    <n v="2"/>
    <n v="8"/>
    <s v="Cash"/>
    <x v="1"/>
    <n v="16"/>
  </r>
  <r>
    <n v="591"/>
    <x v="3"/>
    <x v="49"/>
    <x v="2"/>
    <x v="1"/>
    <x v="0"/>
    <x v="2"/>
    <n v="2"/>
    <n v="20"/>
    <s v="Mobile Wallet"/>
    <x v="2"/>
    <n v="40"/>
  </r>
  <r>
    <n v="1442"/>
    <x v="4"/>
    <x v="15"/>
    <x v="0"/>
    <x v="4"/>
    <x v="0"/>
    <x v="0"/>
    <n v="2"/>
    <n v="25"/>
    <s v="Cash"/>
    <x v="3"/>
    <n v="50"/>
  </r>
  <r>
    <n v="633"/>
    <x v="1"/>
    <x v="77"/>
    <x v="2"/>
    <x v="4"/>
    <x v="0"/>
    <x v="1"/>
    <n v="1"/>
    <n v="12"/>
    <s v="Card"/>
    <x v="0"/>
    <n v="12"/>
  </r>
  <r>
    <n v="1365"/>
    <x v="2"/>
    <x v="46"/>
    <x v="1"/>
    <x v="3"/>
    <x v="0"/>
    <x v="3"/>
    <n v="5"/>
    <n v="30"/>
    <s v="Cash"/>
    <x v="0"/>
    <n v="150"/>
  </r>
  <r>
    <n v="1980"/>
    <x v="4"/>
    <x v="28"/>
    <x v="2"/>
    <x v="0"/>
    <x v="0"/>
    <x v="1"/>
    <n v="1"/>
    <n v="12"/>
    <s v="Cash"/>
    <x v="3"/>
    <n v="12"/>
  </r>
  <r>
    <n v="1274"/>
    <x v="7"/>
    <x v="59"/>
    <x v="0"/>
    <x v="0"/>
    <x v="0"/>
    <x v="0"/>
    <n v="4"/>
    <n v="25"/>
    <s v="Cash"/>
    <x v="1"/>
    <n v="100"/>
  </r>
  <r>
    <n v="1072"/>
    <x v="4"/>
    <x v="71"/>
    <x v="1"/>
    <x v="2"/>
    <x v="0"/>
    <x v="0"/>
    <n v="4"/>
    <n v="25"/>
    <s v="Cash"/>
    <x v="3"/>
    <n v="100"/>
  </r>
  <r>
    <n v="346"/>
    <x v="5"/>
    <x v="28"/>
    <x v="2"/>
    <x v="0"/>
    <x v="0"/>
    <x v="4"/>
    <n v="1"/>
    <n v="8"/>
    <s v="Card"/>
    <x v="0"/>
    <n v="8"/>
  </r>
  <r>
    <n v="832"/>
    <x v="1"/>
    <x v="10"/>
    <x v="2"/>
    <x v="0"/>
    <x v="0"/>
    <x v="4"/>
    <n v="1"/>
    <n v="8"/>
    <s v="Mobile Wallet"/>
    <x v="0"/>
    <n v="8"/>
  </r>
  <r>
    <n v="338"/>
    <x v="7"/>
    <x v="0"/>
    <x v="0"/>
    <x v="0"/>
    <x v="0"/>
    <x v="1"/>
    <n v="1"/>
    <n v="12"/>
    <s v="Cash"/>
    <x v="1"/>
    <n v="12"/>
  </r>
  <r>
    <n v="361"/>
    <x v="6"/>
    <x v="30"/>
    <x v="1"/>
    <x v="2"/>
    <x v="0"/>
    <x v="1"/>
    <n v="2"/>
    <n v="12"/>
    <s v="Card"/>
    <x v="0"/>
    <n v="24"/>
  </r>
  <r>
    <n v="1025"/>
    <x v="2"/>
    <x v="75"/>
    <x v="2"/>
    <x v="3"/>
    <x v="0"/>
    <x v="1"/>
    <n v="2"/>
    <n v="12"/>
    <s v="Mobile Wallet"/>
    <x v="0"/>
    <n v="24"/>
  </r>
  <r>
    <n v="358"/>
    <x v="2"/>
    <x v="84"/>
    <x v="0"/>
    <x v="3"/>
    <x v="0"/>
    <x v="1"/>
    <n v="1"/>
    <n v="12"/>
    <s v="Mobile Wallet"/>
    <x v="3"/>
    <n v="12"/>
  </r>
  <r>
    <n v="1617"/>
    <x v="5"/>
    <x v="69"/>
    <x v="1"/>
    <x v="1"/>
    <x v="0"/>
    <x v="0"/>
    <n v="1"/>
    <n v="25"/>
    <s v="Mobile Wallet"/>
    <x v="1"/>
    <n v="25"/>
  </r>
  <r>
    <n v="1830"/>
    <x v="3"/>
    <x v="11"/>
    <x v="1"/>
    <x v="4"/>
    <x v="0"/>
    <x v="1"/>
    <n v="3"/>
    <n v="12"/>
    <s v="Mobile Wallet"/>
    <x v="3"/>
    <n v="36"/>
  </r>
  <r>
    <n v="1064"/>
    <x v="1"/>
    <x v="2"/>
    <x v="2"/>
    <x v="2"/>
    <x v="0"/>
    <x v="0"/>
    <n v="1"/>
    <n v="25"/>
    <s v="Card"/>
    <x v="0"/>
    <n v="25"/>
  </r>
  <r>
    <n v="1755"/>
    <x v="1"/>
    <x v="28"/>
    <x v="2"/>
    <x v="0"/>
    <x v="0"/>
    <x v="1"/>
    <n v="3"/>
    <n v="12"/>
    <s v="Mobile Wallet"/>
    <x v="3"/>
    <n v="36"/>
  </r>
  <r>
    <n v="888"/>
    <x v="0"/>
    <x v="30"/>
    <x v="1"/>
    <x v="2"/>
    <x v="0"/>
    <x v="1"/>
    <n v="5"/>
    <n v="12"/>
    <s v="Cash"/>
    <x v="2"/>
    <n v="60"/>
  </r>
  <r>
    <n v="1449"/>
    <x v="0"/>
    <x v="56"/>
    <x v="0"/>
    <x v="3"/>
    <x v="0"/>
    <x v="0"/>
    <n v="3"/>
    <n v="25"/>
    <s v="Cash"/>
    <x v="2"/>
    <n v="75"/>
  </r>
  <r>
    <n v="715"/>
    <x v="2"/>
    <x v="84"/>
    <x v="0"/>
    <x v="3"/>
    <x v="0"/>
    <x v="1"/>
    <n v="5"/>
    <n v="12"/>
    <s v="Mobile Wallet"/>
    <x v="1"/>
    <n v="60"/>
  </r>
  <r>
    <n v="1585"/>
    <x v="0"/>
    <x v="61"/>
    <x v="1"/>
    <x v="6"/>
    <x v="3"/>
    <x v="1"/>
    <n v="4"/>
    <n v="12"/>
    <s v="Mobile Wallet"/>
    <x v="3"/>
    <n v="48"/>
  </r>
  <r>
    <n v="1519"/>
    <x v="6"/>
    <x v="2"/>
    <x v="2"/>
    <x v="2"/>
    <x v="1"/>
    <x v="1"/>
    <n v="2"/>
    <n v="12"/>
    <s v="Mobile Wallet"/>
    <x v="1"/>
    <n v="24"/>
  </r>
  <r>
    <n v="1960"/>
    <x v="7"/>
    <x v="59"/>
    <x v="0"/>
    <x v="0"/>
    <x v="1"/>
    <x v="1"/>
    <n v="3"/>
    <n v="12"/>
    <s v="Cash"/>
    <x v="1"/>
    <n v="36"/>
  </r>
  <r>
    <n v="1962"/>
    <x v="3"/>
    <x v="16"/>
    <x v="0"/>
    <x v="0"/>
    <x v="1"/>
    <x v="1"/>
    <n v="4"/>
    <n v="12"/>
    <s v="Cash"/>
    <x v="3"/>
    <n v="48"/>
  </r>
  <r>
    <n v="539"/>
    <x v="1"/>
    <x v="78"/>
    <x v="2"/>
    <x v="4"/>
    <x v="1"/>
    <x v="4"/>
    <n v="5"/>
    <n v="8"/>
    <s v="Card"/>
    <x v="3"/>
    <n v="40"/>
  </r>
  <r>
    <n v="1640"/>
    <x v="4"/>
    <x v="9"/>
    <x v="0"/>
    <x v="2"/>
    <x v="0"/>
    <x v="1"/>
    <n v="1"/>
    <n v="12"/>
    <s v="Cash"/>
    <x v="3"/>
    <n v="12"/>
  </r>
  <r>
    <n v="1377"/>
    <x v="6"/>
    <x v="34"/>
    <x v="1"/>
    <x v="0"/>
    <x v="0"/>
    <x v="4"/>
    <n v="5"/>
    <n v="8"/>
    <s v="Card"/>
    <x v="0"/>
    <n v="40"/>
  </r>
  <r>
    <n v="106"/>
    <x v="4"/>
    <x v="18"/>
    <x v="0"/>
    <x v="0"/>
    <x v="0"/>
    <x v="1"/>
    <n v="2"/>
    <n v="12"/>
    <s v="Cash"/>
    <x v="2"/>
    <n v="24"/>
  </r>
  <r>
    <n v="1255"/>
    <x v="1"/>
    <x v="60"/>
    <x v="1"/>
    <x v="0"/>
    <x v="0"/>
    <x v="1"/>
    <n v="3"/>
    <n v="12"/>
    <s v="Card"/>
    <x v="1"/>
    <n v="36"/>
  </r>
  <r>
    <n v="1070"/>
    <x v="1"/>
    <x v="14"/>
    <x v="1"/>
    <x v="0"/>
    <x v="0"/>
    <x v="4"/>
    <n v="1"/>
    <n v="8"/>
    <s v="Mobile Wallet"/>
    <x v="1"/>
    <n v="8"/>
  </r>
  <r>
    <n v="1180"/>
    <x v="7"/>
    <x v="30"/>
    <x v="1"/>
    <x v="2"/>
    <x v="0"/>
    <x v="4"/>
    <n v="5"/>
    <n v="8"/>
    <s v="Mobile Wallet"/>
    <x v="3"/>
    <n v="40"/>
  </r>
  <r>
    <n v="1395"/>
    <x v="1"/>
    <x v="25"/>
    <x v="1"/>
    <x v="0"/>
    <x v="0"/>
    <x v="3"/>
    <n v="5"/>
    <n v="30"/>
    <s v="Card"/>
    <x v="2"/>
    <n v="150"/>
  </r>
  <r>
    <n v="1837"/>
    <x v="0"/>
    <x v="36"/>
    <x v="2"/>
    <x v="2"/>
    <x v="0"/>
    <x v="3"/>
    <n v="4"/>
    <n v="30"/>
    <s v="Card"/>
    <x v="1"/>
    <n v="120"/>
  </r>
  <r>
    <n v="853"/>
    <x v="1"/>
    <x v="7"/>
    <x v="1"/>
    <x v="3"/>
    <x v="0"/>
    <x v="1"/>
    <n v="2"/>
    <n v="12"/>
    <s v="Mobile Wallet"/>
    <x v="2"/>
    <n v="24"/>
  </r>
  <r>
    <n v="935"/>
    <x v="2"/>
    <x v="49"/>
    <x v="2"/>
    <x v="1"/>
    <x v="0"/>
    <x v="4"/>
    <n v="5"/>
    <n v="8"/>
    <s v="Card"/>
    <x v="1"/>
    <n v="40"/>
  </r>
  <r>
    <n v="1100"/>
    <x v="7"/>
    <x v="88"/>
    <x v="0"/>
    <x v="6"/>
    <x v="0"/>
    <x v="1"/>
    <n v="1"/>
    <n v="12"/>
    <s v="Card"/>
    <x v="2"/>
    <n v="12"/>
  </r>
  <r>
    <n v="1242"/>
    <x v="6"/>
    <x v="25"/>
    <x v="1"/>
    <x v="0"/>
    <x v="1"/>
    <x v="1"/>
    <n v="4"/>
    <n v="12"/>
    <s v="Cash"/>
    <x v="0"/>
    <n v="48"/>
  </r>
  <r>
    <n v="1727"/>
    <x v="6"/>
    <x v="55"/>
    <x v="1"/>
    <x v="2"/>
    <x v="2"/>
    <x v="1"/>
    <n v="3"/>
    <n v="12"/>
    <s v="Card"/>
    <x v="0"/>
    <n v="36"/>
  </r>
  <r>
    <n v="576"/>
    <x v="0"/>
    <x v="42"/>
    <x v="0"/>
    <x v="2"/>
    <x v="2"/>
    <x v="0"/>
    <n v="5"/>
    <n v="25"/>
    <s v="Mobile Wallet"/>
    <x v="0"/>
    <n v="125"/>
  </r>
  <r>
    <n v="1934"/>
    <x v="7"/>
    <x v="86"/>
    <x v="1"/>
    <x v="4"/>
    <x v="1"/>
    <x v="1"/>
    <n v="5"/>
    <n v="12"/>
    <s v="Mobile Wallet"/>
    <x v="0"/>
    <n v="60"/>
  </r>
  <r>
    <n v="1135"/>
    <x v="7"/>
    <x v="74"/>
    <x v="2"/>
    <x v="1"/>
    <x v="2"/>
    <x v="1"/>
    <n v="5"/>
    <n v="12"/>
    <s v="Cash"/>
    <x v="2"/>
    <n v="60"/>
  </r>
  <r>
    <n v="248"/>
    <x v="3"/>
    <x v="23"/>
    <x v="2"/>
    <x v="0"/>
    <x v="0"/>
    <x v="2"/>
    <n v="3"/>
    <n v="20"/>
    <s v="Mobile Wallet"/>
    <x v="3"/>
    <n v="60"/>
  </r>
  <r>
    <n v="1197"/>
    <x v="3"/>
    <x v="79"/>
    <x v="1"/>
    <x v="2"/>
    <x v="1"/>
    <x v="3"/>
    <n v="1"/>
    <n v="30"/>
    <s v="Card"/>
    <x v="1"/>
    <n v="30"/>
  </r>
  <r>
    <n v="587"/>
    <x v="3"/>
    <x v="71"/>
    <x v="1"/>
    <x v="2"/>
    <x v="2"/>
    <x v="1"/>
    <n v="4"/>
    <n v="12"/>
    <s v="Mobile Wallet"/>
    <x v="1"/>
    <n v="48"/>
  </r>
  <r>
    <n v="577"/>
    <x v="3"/>
    <x v="0"/>
    <x v="0"/>
    <x v="0"/>
    <x v="3"/>
    <x v="3"/>
    <n v="1"/>
    <n v="30"/>
    <s v="Card"/>
    <x v="3"/>
    <n v="30"/>
  </r>
  <r>
    <n v="219"/>
    <x v="3"/>
    <x v="49"/>
    <x v="2"/>
    <x v="1"/>
    <x v="1"/>
    <x v="2"/>
    <n v="4"/>
    <n v="20"/>
    <s v="Mobile Wallet"/>
    <x v="2"/>
    <n v="80"/>
  </r>
  <r>
    <n v="1639"/>
    <x v="3"/>
    <x v="1"/>
    <x v="1"/>
    <x v="1"/>
    <x v="2"/>
    <x v="1"/>
    <n v="1"/>
    <n v="12"/>
    <s v="Card"/>
    <x v="1"/>
    <n v="12"/>
  </r>
  <r>
    <n v="982"/>
    <x v="2"/>
    <x v="3"/>
    <x v="0"/>
    <x v="3"/>
    <x v="1"/>
    <x v="1"/>
    <n v="1"/>
    <n v="12"/>
    <s v="Card"/>
    <x v="2"/>
    <n v="12"/>
  </r>
  <r>
    <n v="1432"/>
    <x v="1"/>
    <x v="24"/>
    <x v="0"/>
    <x v="2"/>
    <x v="2"/>
    <x v="3"/>
    <n v="5"/>
    <n v="30"/>
    <s v="Cash"/>
    <x v="0"/>
    <n v="150"/>
  </r>
  <r>
    <n v="523"/>
    <x v="0"/>
    <x v="10"/>
    <x v="2"/>
    <x v="0"/>
    <x v="1"/>
    <x v="1"/>
    <n v="3"/>
    <n v="12"/>
    <s v="Cash"/>
    <x v="2"/>
    <n v="36"/>
  </r>
  <r>
    <n v="1764"/>
    <x v="0"/>
    <x v="0"/>
    <x v="0"/>
    <x v="0"/>
    <x v="1"/>
    <x v="1"/>
    <n v="4"/>
    <n v="12"/>
    <s v="Mobile Wallet"/>
    <x v="1"/>
    <n v="48"/>
  </r>
  <r>
    <n v="51"/>
    <x v="0"/>
    <x v="77"/>
    <x v="2"/>
    <x v="4"/>
    <x v="2"/>
    <x v="1"/>
    <n v="1"/>
    <n v="12"/>
    <s v="Mobile Wallet"/>
    <x v="1"/>
    <n v="12"/>
  </r>
  <r>
    <n v="1595"/>
    <x v="0"/>
    <x v="29"/>
    <x v="1"/>
    <x v="1"/>
    <x v="2"/>
    <x v="1"/>
    <n v="4"/>
    <n v="12"/>
    <s v="Mobile Wallet"/>
    <x v="2"/>
    <n v="48"/>
  </r>
  <r>
    <n v="110"/>
    <x v="0"/>
    <x v="32"/>
    <x v="2"/>
    <x v="5"/>
    <x v="2"/>
    <x v="3"/>
    <n v="5"/>
    <n v="30"/>
    <s v="Cash"/>
    <x v="2"/>
    <n v="150"/>
  </r>
  <r>
    <n v="350"/>
    <x v="0"/>
    <x v="14"/>
    <x v="1"/>
    <x v="0"/>
    <x v="1"/>
    <x v="1"/>
    <n v="4"/>
    <n v="12"/>
    <s v="Card"/>
    <x v="2"/>
    <n v="48"/>
  </r>
  <r>
    <n v="1695"/>
    <x v="1"/>
    <x v="18"/>
    <x v="0"/>
    <x v="0"/>
    <x v="1"/>
    <x v="1"/>
    <n v="2"/>
    <n v="12"/>
    <s v="Mobile Wallet"/>
    <x v="2"/>
    <n v="24"/>
  </r>
  <r>
    <n v="702"/>
    <x v="2"/>
    <x v="14"/>
    <x v="1"/>
    <x v="0"/>
    <x v="0"/>
    <x v="3"/>
    <n v="1"/>
    <n v="30"/>
    <s v="Cash"/>
    <x v="3"/>
    <n v="30"/>
  </r>
  <r>
    <n v="866"/>
    <x v="3"/>
    <x v="11"/>
    <x v="1"/>
    <x v="4"/>
    <x v="0"/>
    <x v="0"/>
    <n v="5"/>
    <n v="25"/>
    <s v="Mobile Wallet"/>
    <x v="2"/>
    <n v="125"/>
  </r>
  <r>
    <n v="835"/>
    <x v="3"/>
    <x v="84"/>
    <x v="0"/>
    <x v="3"/>
    <x v="0"/>
    <x v="1"/>
    <n v="3"/>
    <n v="12"/>
    <s v="Mobile Wallet"/>
    <x v="3"/>
    <n v="36"/>
  </r>
  <r>
    <n v="1417"/>
    <x v="3"/>
    <x v="38"/>
    <x v="0"/>
    <x v="1"/>
    <x v="0"/>
    <x v="1"/>
    <n v="2"/>
    <n v="12"/>
    <s v="Cash"/>
    <x v="1"/>
    <n v="24"/>
  </r>
  <r>
    <n v="83"/>
    <x v="1"/>
    <x v="9"/>
    <x v="0"/>
    <x v="2"/>
    <x v="0"/>
    <x v="1"/>
    <n v="4"/>
    <n v="12"/>
    <s v="Mobile Wallet"/>
    <x v="1"/>
    <n v="48"/>
  </r>
  <r>
    <n v="1770"/>
    <x v="1"/>
    <x v="11"/>
    <x v="1"/>
    <x v="4"/>
    <x v="0"/>
    <x v="1"/>
    <n v="3"/>
    <n v="12"/>
    <s v="Mobile Wallet"/>
    <x v="2"/>
    <n v="36"/>
  </r>
  <r>
    <n v="1706"/>
    <x v="2"/>
    <x v="23"/>
    <x v="2"/>
    <x v="0"/>
    <x v="0"/>
    <x v="2"/>
    <n v="5"/>
    <n v="20"/>
    <s v="Mobile Wallet"/>
    <x v="1"/>
    <n v="100"/>
  </r>
  <r>
    <n v="206"/>
    <x v="1"/>
    <x v="59"/>
    <x v="0"/>
    <x v="0"/>
    <x v="0"/>
    <x v="3"/>
    <n v="5"/>
    <n v="30"/>
    <s v="Mobile Wallet"/>
    <x v="3"/>
    <n v="150"/>
  </r>
  <r>
    <n v="1230"/>
    <x v="7"/>
    <x v="71"/>
    <x v="1"/>
    <x v="2"/>
    <x v="0"/>
    <x v="1"/>
    <n v="3"/>
    <n v="12"/>
    <s v="Cash"/>
    <x v="2"/>
    <n v="36"/>
  </r>
  <r>
    <n v="1527"/>
    <x v="5"/>
    <x v="87"/>
    <x v="0"/>
    <x v="4"/>
    <x v="0"/>
    <x v="3"/>
    <n v="2"/>
    <n v="30"/>
    <s v="Card"/>
    <x v="0"/>
    <n v="60"/>
  </r>
  <r>
    <n v="161"/>
    <x v="5"/>
    <x v="81"/>
    <x v="0"/>
    <x v="6"/>
    <x v="0"/>
    <x v="4"/>
    <n v="4"/>
    <n v="8"/>
    <s v="Card"/>
    <x v="0"/>
    <n v="32"/>
  </r>
  <r>
    <n v="1161"/>
    <x v="2"/>
    <x v="16"/>
    <x v="0"/>
    <x v="0"/>
    <x v="0"/>
    <x v="1"/>
    <n v="2"/>
    <n v="12"/>
    <s v="Mobile Wallet"/>
    <x v="1"/>
    <n v="24"/>
  </r>
  <r>
    <n v="1097"/>
    <x v="4"/>
    <x v="77"/>
    <x v="2"/>
    <x v="4"/>
    <x v="0"/>
    <x v="3"/>
    <n v="1"/>
    <n v="30"/>
    <s v="Cash"/>
    <x v="2"/>
    <n v="30"/>
  </r>
  <r>
    <n v="810"/>
    <x v="1"/>
    <x v="55"/>
    <x v="1"/>
    <x v="2"/>
    <x v="0"/>
    <x v="4"/>
    <n v="1"/>
    <n v="8"/>
    <s v="Mobile Wallet"/>
    <x v="1"/>
    <n v="8"/>
  </r>
  <r>
    <n v="1901"/>
    <x v="6"/>
    <x v="45"/>
    <x v="2"/>
    <x v="3"/>
    <x v="0"/>
    <x v="1"/>
    <n v="5"/>
    <n v="12"/>
    <s v="Card"/>
    <x v="1"/>
    <n v="60"/>
  </r>
  <r>
    <n v="17"/>
    <x v="6"/>
    <x v="79"/>
    <x v="1"/>
    <x v="2"/>
    <x v="0"/>
    <x v="1"/>
    <n v="5"/>
    <n v="12"/>
    <s v="Mobile Wallet"/>
    <x v="0"/>
    <n v="60"/>
  </r>
  <r>
    <n v="636"/>
    <x v="4"/>
    <x v="20"/>
    <x v="0"/>
    <x v="4"/>
    <x v="2"/>
    <x v="4"/>
    <n v="1"/>
    <n v="8"/>
    <s v="Cash"/>
    <x v="0"/>
    <n v="8"/>
  </r>
  <r>
    <n v="1356"/>
    <x v="6"/>
    <x v="44"/>
    <x v="2"/>
    <x v="1"/>
    <x v="0"/>
    <x v="1"/>
    <n v="2"/>
    <n v="12"/>
    <s v="Cash"/>
    <x v="0"/>
    <n v="24"/>
  </r>
  <r>
    <n v="1185"/>
    <x v="2"/>
    <x v="87"/>
    <x v="0"/>
    <x v="4"/>
    <x v="1"/>
    <x v="0"/>
    <n v="1"/>
    <n v="25"/>
    <s v="Cash"/>
    <x v="0"/>
    <n v="25"/>
  </r>
  <r>
    <n v="1582"/>
    <x v="4"/>
    <x v="74"/>
    <x v="2"/>
    <x v="1"/>
    <x v="3"/>
    <x v="2"/>
    <n v="3"/>
    <n v="20"/>
    <s v="Cash"/>
    <x v="2"/>
    <n v="60"/>
  </r>
  <r>
    <n v="369"/>
    <x v="7"/>
    <x v="50"/>
    <x v="0"/>
    <x v="6"/>
    <x v="3"/>
    <x v="1"/>
    <n v="3"/>
    <n v="12"/>
    <s v="Mobile Wallet"/>
    <x v="2"/>
    <n v="36"/>
  </r>
  <r>
    <n v="1773"/>
    <x v="3"/>
    <x v="61"/>
    <x v="1"/>
    <x v="6"/>
    <x v="1"/>
    <x v="1"/>
    <n v="4"/>
    <n v="12"/>
    <s v="Cash"/>
    <x v="0"/>
    <n v="48"/>
  </r>
  <r>
    <n v="79"/>
    <x v="5"/>
    <x v="55"/>
    <x v="1"/>
    <x v="2"/>
    <x v="0"/>
    <x v="3"/>
    <n v="5"/>
    <n v="30"/>
    <s v="Cash"/>
    <x v="0"/>
    <n v="150"/>
  </r>
  <r>
    <n v="667"/>
    <x v="0"/>
    <x v="38"/>
    <x v="0"/>
    <x v="1"/>
    <x v="1"/>
    <x v="1"/>
    <n v="1"/>
    <n v="12"/>
    <s v="Card"/>
    <x v="0"/>
    <n v="12"/>
  </r>
  <r>
    <n v="515"/>
    <x v="4"/>
    <x v="33"/>
    <x v="0"/>
    <x v="2"/>
    <x v="3"/>
    <x v="0"/>
    <n v="5"/>
    <n v="25"/>
    <s v="Card"/>
    <x v="0"/>
    <n v="125"/>
  </r>
  <r>
    <n v="397"/>
    <x v="2"/>
    <x v="71"/>
    <x v="1"/>
    <x v="2"/>
    <x v="1"/>
    <x v="1"/>
    <n v="5"/>
    <n v="12"/>
    <s v="Cash"/>
    <x v="1"/>
    <n v="60"/>
  </r>
  <r>
    <n v="168"/>
    <x v="5"/>
    <x v="33"/>
    <x v="0"/>
    <x v="2"/>
    <x v="0"/>
    <x v="1"/>
    <n v="3"/>
    <n v="12"/>
    <s v="Mobile Wallet"/>
    <x v="3"/>
    <n v="36"/>
  </r>
  <r>
    <n v="1200"/>
    <x v="1"/>
    <x v="6"/>
    <x v="1"/>
    <x v="5"/>
    <x v="1"/>
    <x v="1"/>
    <n v="3"/>
    <n v="12"/>
    <s v="Cash"/>
    <x v="1"/>
    <n v="36"/>
  </r>
  <r>
    <n v="871"/>
    <x v="1"/>
    <x v="52"/>
    <x v="2"/>
    <x v="5"/>
    <x v="1"/>
    <x v="2"/>
    <n v="5"/>
    <n v="20"/>
    <s v="Cash"/>
    <x v="3"/>
    <n v="100"/>
  </r>
  <r>
    <n v="1102"/>
    <x v="4"/>
    <x v="50"/>
    <x v="0"/>
    <x v="6"/>
    <x v="1"/>
    <x v="4"/>
    <n v="2"/>
    <n v="8"/>
    <s v="Cash"/>
    <x v="3"/>
    <n v="16"/>
  </r>
  <r>
    <n v="1820"/>
    <x v="7"/>
    <x v="42"/>
    <x v="0"/>
    <x v="2"/>
    <x v="1"/>
    <x v="1"/>
    <n v="4"/>
    <n v="12"/>
    <s v="Card"/>
    <x v="0"/>
    <n v="48"/>
  </r>
  <r>
    <n v="1148"/>
    <x v="4"/>
    <x v="28"/>
    <x v="2"/>
    <x v="0"/>
    <x v="1"/>
    <x v="4"/>
    <n v="5"/>
    <n v="8"/>
    <s v="Mobile Wallet"/>
    <x v="2"/>
    <n v="40"/>
  </r>
  <r>
    <n v="1158"/>
    <x v="3"/>
    <x v="26"/>
    <x v="2"/>
    <x v="2"/>
    <x v="1"/>
    <x v="1"/>
    <n v="2"/>
    <n v="12"/>
    <s v="Mobile Wallet"/>
    <x v="3"/>
    <n v="24"/>
  </r>
  <r>
    <n v="1547"/>
    <x v="2"/>
    <x v="8"/>
    <x v="0"/>
    <x v="2"/>
    <x v="1"/>
    <x v="1"/>
    <n v="2"/>
    <n v="12"/>
    <s v="Card"/>
    <x v="0"/>
    <n v="24"/>
  </r>
  <r>
    <n v="1325"/>
    <x v="1"/>
    <x v="37"/>
    <x v="0"/>
    <x v="0"/>
    <x v="1"/>
    <x v="4"/>
    <n v="2"/>
    <n v="8"/>
    <s v="Mobile Wallet"/>
    <x v="0"/>
    <n v="16"/>
  </r>
  <r>
    <n v="876"/>
    <x v="7"/>
    <x v="39"/>
    <x v="2"/>
    <x v="4"/>
    <x v="1"/>
    <x v="1"/>
    <n v="5"/>
    <n v="12"/>
    <s v="Card"/>
    <x v="2"/>
    <n v="60"/>
  </r>
  <r>
    <n v="64"/>
    <x v="3"/>
    <x v="74"/>
    <x v="2"/>
    <x v="1"/>
    <x v="1"/>
    <x v="1"/>
    <n v="5"/>
    <n v="12"/>
    <s v="Cash"/>
    <x v="0"/>
    <n v="60"/>
  </r>
  <r>
    <n v="1077"/>
    <x v="0"/>
    <x v="30"/>
    <x v="1"/>
    <x v="2"/>
    <x v="1"/>
    <x v="3"/>
    <n v="5"/>
    <n v="30"/>
    <s v="Card"/>
    <x v="0"/>
    <n v="150"/>
  </r>
  <r>
    <n v="1859"/>
    <x v="5"/>
    <x v="18"/>
    <x v="0"/>
    <x v="0"/>
    <x v="1"/>
    <x v="1"/>
    <n v="3"/>
    <n v="12"/>
    <s v="Cash"/>
    <x v="2"/>
    <n v="36"/>
  </r>
  <r>
    <n v="943"/>
    <x v="2"/>
    <x v="60"/>
    <x v="1"/>
    <x v="0"/>
    <x v="1"/>
    <x v="1"/>
    <n v="2"/>
    <n v="12"/>
    <s v="Card"/>
    <x v="1"/>
    <n v="24"/>
  </r>
  <r>
    <n v="773"/>
    <x v="3"/>
    <x v="25"/>
    <x v="1"/>
    <x v="0"/>
    <x v="1"/>
    <x v="2"/>
    <n v="1"/>
    <n v="20"/>
    <s v="Cash"/>
    <x v="1"/>
    <n v="20"/>
  </r>
  <r>
    <n v="679"/>
    <x v="4"/>
    <x v="25"/>
    <x v="1"/>
    <x v="0"/>
    <x v="1"/>
    <x v="1"/>
    <n v="5"/>
    <n v="12"/>
    <s v="Card"/>
    <x v="0"/>
    <n v="60"/>
  </r>
  <r>
    <n v="1143"/>
    <x v="2"/>
    <x v="10"/>
    <x v="2"/>
    <x v="0"/>
    <x v="1"/>
    <x v="0"/>
    <n v="3"/>
    <n v="25"/>
    <s v="Mobile Wallet"/>
    <x v="3"/>
    <n v="75"/>
  </r>
  <r>
    <n v="1452"/>
    <x v="1"/>
    <x v="79"/>
    <x v="1"/>
    <x v="2"/>
    <x v="1"/>
    <x v="4"/>
    <n v="5"/>
    <n v="8"/>
    <s v="Card"/>
    <x v="0"/>
    <n v="40"/>
  </r>
  <r>
    <n v="932"/>
    <x v="6"/>
    <x v="42"/>
    <x v="0"/>
    <x v="2"/>
    <x v="1"/>
    <x v="4"/>
    <n v="2"/>
    <n v="8"/>
    <s v="Mobile Wallet"/>
    <x v="3"/>
    <n v="16"/>
  </r>
  <r>
    <n v="1037"/>
    <x v="2"/>
    <x v="71"/>
    <x v="1"/>
    <x v="2"/>
    <x v="1"/>
    <x v="1"/>
    <n v="3"/>
    <n v="12"/>
    <s v="Card"/>
    <x v="3"/>
    <n v="36"/>
  </r>
  <r>
    <n v="1905"/>
    <x v="5"/>
    <x v="16"/>
    <x v="0"/>
    <x v="0"/>
    <x v="1"/>
    <x v="2"/>
    <n v="2"/>
    <n v="20"/>
    <s v="Card"/>
    <x v="3"/>
    <n v="40"/>
  </r>
  <r>
    <n v="380"/>
    <x v="3"/>
    <x v="47"/>
    <x v="0"/>
    <x v="4"/>
    <x v="1"/>
    <x v="4"/>
    <n v="5"/>
    <n v="8"/>
    <s v="Card"/>
    <x v="2"/>
    <n v="40"/>
  </r>
  <r>
    <n v="1868"/>
    <x v="1"/>
    <x v="71"/>
    <x v="1"/>
    <x v="2"/>
    <x v="1"/>
    <x v="4"/>
    <n v="1"/>
    <n v="8"/>
    <s v="Card"/>
    <x v="1"/>
    <n v="8"/>
  </r>
  <r>
    <n v="1132"/>
    <x v="4"/>
    <x v="55"/>
    <x v="1"/>
    <x v="2"/>
    <x v="1"/>
    <x v="2"/>
    <n v="2"/>
    <n v="20"/>
    <s v="Card"/>
    <x v="1"/>
    <n v="40"/>
  </r>
  <r>
    <n v="287"/>
    <x v="3"/>
    <x v="54"/>
    <x v="1"/>
    <x v="3"/>
    <x v="1"/>
    <x v="3"/>
    <n v="4"/>
    <n v="30"/>
    <s v="Cash"/>
    <x v="0"/>
    <n v="120"/>
  </r>
  <r>
    <n v="1229"/>
    <x v="0"/>
    <x v="44"/>
    <x v="2"/>
    <x v="1"/>
    <x v="1"/>
    <x v="1"/>
    <n v="3"/>
    <n v="12"/>
    <s v="Card"/>
    <x v="3"/>
    <n v="36"/>
  </r>
  <r>
    <n v="894"/>
    <x v="1"/>
    <x v="89"/>
    <x v="1"/>
    <x v="5"/>
    <x v="1"/>
    <x v="4"/>
    <n v="4"/>
    <n v="8"/>
    <s v="Cash"/>
    <x v="3"/>
    <n v="32"/>
  </r>
  <r>
    <n v="1614"/>
    <x v="3"/>
    <x v="31"/>
    <x v="2"/>
    <x v="0"/>
    <x v="0"/>
    <x v="4"/>
    <n v="1"/>
    <n v="8"/>
    <s v="Card"/>
    <x v="3"/>
    <n v="8"/>
  </r>
  <r>
    <n v="1554"/>
    <x v="6"/>
    <x v="0"/>
    <x v="0"/>
    <x v="0"/>
    <x v="2"/>
    <x v="0"/>
    <n v="2"/>
    <n v="25"/>
    <s v="Card"/>
    <x v="2"/>
    <n v="50"/>
  </r>
  <r>
    <n v="1013"/>
    <x v="0"/>
    <x v="20"/>
    <x v="0"/>
    <x v="4"/>
    <x v="3"/>
    <x v="1"/>
    <n v="2"/>
    <n v="12"/>
    <s v="Mobile Wallet"/>
    <x v="0"/>
    <n v="24"/>
  </r>
  <r>
    <n v="1533"/>
    <x v="0"/>
    <x v="45"/>
    <x v="2"/>
    <x v="3"/>
    <x v="1"/>
    <x v="1"/>
    <n v="1"/>
    <n v="12"/>
    <s v="Cash"/>
    <x v="2"/>
    <n v="12"/>
  </r>
  <r>
    <n v="746"/>
    <x v="0"/>
    <x v="18"/>
    <x v="0"/>
    <x v="0"/>
    <x v="2"/>
    <x v="4"/>
    <n v="5"/>
    <n v="8"/>
    <s v="Card"/>
    <x v="0"/>
    <n v="40"/>
  </r>
  <r>
    <n v="718"/>
    <x v="0"/>
    <x v="53"/>
    <x v="1"/>
    <x v="6"/>
    <x v="0"/>
    <x v="3"/>
    <n v="1"/>
    <n v="30"/>
    <s v="Cash"/>
    <x v="3"/>
    <n v="30"/>
  </r>
  <r>
    <n v="1124"/>
    <x v="0"/>
    <x v="59"/>
    <x v="0"/>
    <x v="0"/>
    <x v="0"/>
    <x v="1"/>
    <n v="5"/>
    <n v="12"/>
    <s v="Mobile Wallet"/>
    <x v="2"/>
    <n v="60"/>
  </r>
  <r>
    <n v="650"/>
    <x v="0"/>
    <x v="9"/>
    <x v="0"/>
    <x v="2"/>
    <x v="2"/>
    <x v="1"/>
    <n v="4"/>
    <n v="12"/>
    <s v="Card"/>
    <x v="3"/>
    <n v="48"/>
  </r>
  <r>
    <n v="846"/>
    <x v="0"/>
    <x v="81"/>
    <x v="0"/>
    <x v="6"/>
    <x v="1"/>
    <x v="1"/>
    <n v="2"/>
    <n v="12"/>
    <s v="Mobile Wallet"/>
    <x v="2"/>
    <n v="24"/>
  </r>
  <r>
    <n v="1236"/>
    <x v="0"/>
    <x v="11"/>
    <x v="1"/>
    <x v="4"/>
    <x v="2"/>
    <x v="1"/>
    <n v="4"/>
    <n v="12"/>
    <s v="Cash"/>
    <x v="3"/>
    <n v="48"/>
  </r>
  <r>
    <n v="476"/>
    <x v="0"/>
    <x v="24"/>
    <x v="0"/>
    <x v="2"/>
    <x v="0"/>
    <x v="2"/>
    <n v="4"/>
    <n v="20"/>
    <s v="Card"/>
    <x v="3"/>
    <n v="80"/>
  </r>
  <r>
    <n v="100"/>
    <x v="0"/>
    <x v="56"/>
    <x v="0"/>
    <x v="3"/>
    <x v="0"/>
    <x v="1"/>
    <n v="2"/>
    <n v="12"/>
    <s v="Card"/>
    <x v="3"/>
    <n v="24"/>
  </r>
  <r>
    <n v="644"/>
    <x v="3"/>
    <x v="81"/>
    <x v="0"/>
    <x v="6"/>
    <x v="0"/>
    <x v="0"/>
    <n v="5"/>
    <n v="25"/>
    <s v="Cash"/>
    <x v="3"/>
    <n v="125"/>
  </r>
  <r>
    <n v="873"/>
    <x v="4"/>
    <x v="58"/>
    <x v="1"/>
    <x v="3"/>
    <x v="0"/>
    <x v="2"/>
    <n v="5"/>
    <n v="20"/>
    <s v="Mobile Wallet"/>
    <x v="1"/>
    <n v="100"/>
  </r>
  <r>
    <n v="1986"/>
    <x v="0"/>
    <x v="79"/>
    <x v="1"/>
    <x v="2"/>
    <x v="1"/>
    <x v="3"/>
    <n v="2"/>
    <n v="30"/>
    <s v="Card"/>
    <x v="2"/>
    <n v="60"/>
  </r>
  <r>
    <n v="414"/>
    <x v="3"/>
    <x v="84"/>
    <x v="0"/>
    <x v="3"/>
    <x v="0"/>
    <x v="1"/>
    <n v="4"/>
    <n v="12"/>
    <s v="Card"/>
    <x v="1"/>
    <n v="48"/>
  </r>
  <r>
    <n v="310"/>
    <x v="0"/>
    <x v="90"/>
    <x v="1"/>
    <x v="6"/>
    <x v="0"/>
    <x v="1"/>
    <n v="3"/>
    <n v="12"/>
    <s v="Cash"/>
    <x v="3"/>
    <n v="36"/>
  </r>
  <r>
    <n v="321"/>
    <x v="2"/>
    <x v="35"/>
    <x v="0"/>
    <x v="5"/>
    <x v="0"/>
    <x v="3"/>
    <n v="3"/>
    <n v="30"/>
    <s v="Mobile Wallet"/>
    <x v="2"/>
    <n v="90"/>
  </r>
  <r>
    <n v="947"/>
    <x v="1"/>
    <x v="33"/>
    <x v="0"/>
    <x v="2"/>
    <x v="0"/>
    <x v="0"/>
    <n v="2"/>
    <n v="25"/>
    <s v="Card"/>
    <x v="2"/>
    <n v="50"/>
  </r>
  <r>
    <n v="1821"/>
    <x v="5"/>
    <x v="36"/>
    <x v="2"/>
    <x v="2"/>
    <x v="0"/>
    <x v="1"/>
    <n v="3"/>
    <n v="12"/>
    <s v="Cash"/>
    <x v="2"/>
    <n v="36"/>
  </r>
  <r>
    <n v="1657"/>
    <x v="4"/>
    <x v="87"/>
    <x v="0"/>
    <x v="4"/>
    <x v="3"/>
    <x v="1"/>
    <n v="5"/>
    <n v="12"/>
    <s v="Cash"/>
    <x v="1"/>
    <n v="60"/>
  </r>
  <r>
    <n v="433"/>
    <x v="1"/>
    <x v="75"/>
    <x v="2"/>
    <x v="3"/>
    <x v="2"/>
    <x v="3"/>
    <n v="2"/>
    <n v="30"/>
    <s v="Cash"/>
    <x v="3"/>
    <n v="60"/>
  </r>
  <r>
    <n v="1701"/>
    <x v="1"/>
    <x v="8"/>
    <x v="0"/>
    <x v="2"/>
    <x v="0"/>
    <x v="0"/>
    <n v="4"/>
    <n v="25"/>
    <s v="Card"/>
    <x v="1"/>
    <n v="100"/>
  </r>
  <r>
    <n v="1312"/>
    <x v="4"/>
    <x v="78"/>
    <x v="2"/>
    <x v="4"/>
    <x v="3"/>
    <x v="4"/>
    <n v="4"/>
    <n v="8"/>
    <s v="Mobile Wallet"/>
    <x v="2"/>
    <n v="32"/>
  </r>
  <r>
    <n v="150"/>
    <x v="2"/>
    <x v="74"/>
    <x v="2"/>
    <x v="1"/>
    <x v="0"/>
    <x v="2"/>
    <n v="5"/>
    <n v="20"/>
    <s v="Mobile Wallet"/>
    <x v="1"/>
    <n v="100"/>
  </r>
  <r>
    <n v="1702"/>
    <x v="0"/>
    <x v="61"/>
    <x v="1"/>
    <x v="6"/>
    <x v="2"/>
    <x v="4"/>
    <n v="1"/>
    <n v="8"/>
    <s v="Mobile Wallet"/>
    <x v="1"/>
    <n v="8"/>
  </r>
  <r>
    <n v="1316"/>
    <x v="6"/>
    <x v="18"/>
    <x v="0"/>
    <x v="0"/>
    <x v="0"/>
    <x v="4"/>
    <n v="4"/>
    <n v="8"/>
    <s v="Cash"/>
    <x v="0"/>
    <n v="32"/>
  </r>
  <r>
    <n v="1368"/>
    <x v="0"/>
    <x v="48"/>
    <x v="0"/>
    <x v="5"/>
    <x v="2"/>
    <x v="1"/>
    <n v="1"/>
    <n v="12"/>
    <s v="Mobile Wallet"/>
    <x v="0"/>
    <n v="12"/>
  </r>
  <r>
    <n v="1528"/>
    <x v="3"/>
    <x v="9"/>
    <x v="0"/>
    <x v="2"/>
    <x v="2"/>
    <x v="4"/>
    <n v="4"/>
    <n v="8"/>
    <s v="Cash"/>
    <x v="2"/>
    <n v="32"/>
  </r>
  <r>
    <n v="1205"/>
    <x v="1"/>
    <x v="9"/>
    <x v="0"/>
    <x v="2"/>
    <x v="0"/>
    <x v="4"/>
    <n v="3"/>
    <n v="8"/>
    <s v="Mobile Wallet"/>
    <x v="3"/>
    <n v="24"/>
  </r>
  <r>
    <n v="931"/>
    <x v="5"/>
    <x v="34"/>
    <x v="1"/>
    <x v="0"/>
    <x v="2"/>
    <x v="0"/>
    <n v="5"/>
    <n v="25"/>
    <s v="Mobile Wallet"/>
    <x v="1"/>
    <n v="125"/>
  </r>
  <r>
    <n v="1214"/>
    <x v="0"/>
    <x v="27"/>
    <x v="1"/>
    <x v="5"/>
    <x v="1"/>
    <x v="4"/>
    <n v="2"/>
    <n v="8"/>
    <s v="Cash"/>
    <x v="2"/>
    <n v="16"/>
  </r>
  <r>
    <n v="437"/>
    <x v="2"/>
    <x v="71"/>
    <x v="1"/>
    <x v="2"/>
    <x v="2"/>
    <x v="1"/>
    <n v="2"/>
    <n v="12"/>
    <s v="Card"/>
    <x v="2"/>
    <n v="24"/>
  </r>
  <r>
    <n v="1778"/>
    <x v="7"/>
    <x v="83"/>
    <x v="0"/>
    <x v="5"/>
    <x v="0"/>
    <x v="0"/>
    <n v="2"/>
    <n v="25"/>
    <s v="Card"/>
    <x v="3"/>
    <n v="50"/>
  </r>
  <r>
    <n v="1387"/>
    <x v="3"/>
    <x v="12"/>
    <x v="2"/>
    <x v="3"/>
    <x v="0"/>
    <x v="1"/>
    <n v="4"/>
    <n v="12"/>
    <s v="Cash"/>
    <x v="1"/>
    <n v="48"/>
  </r>
  <r>
    <n v="201"/>
    <x v="5"/>
    <x v="25"/>
    <x v="1"/>
    <x v="0"/>
    <x v="0"/>
    <x v="3"/>
    <n v="5"/>
    <n v="30"/>
    <s v="Mobile Wallet"/>
    <x v="2"/>
    <n v="150"/>
  </r>
  <r>
    <n v="379"/>
    <x v="4"/>
    <x v="55"/>
    <x v="1"/>
    <x v="2"/>
    <x v="0"/>
    <x v="1"/>
    <n v="4"/>
    <n v="12"/>
    <s v="Cash"/>
    <x v="1"/>
    <n v="48"/>
  </r>
  <r>
    <n v="223"/>
    <x v="0"/>
    <x v="38"/>
    <x v="0"/>
    <x v="1"/>
    <x v="2"/>
    <x v="1"/>
    <n v="5"/>
    <n v="12"/>
    <s v="Card"/>
    <x v="0"/>
    <n v="60"/>
  </r>
  <r>
    <n v="1050"/>
    <x v="3"/>
    <x v="34"/>
    <x v="1"/>
    <x v="0"/>
    <x v="1"/>
    <x v="1"/>
    <n v="1"/>
    <n v="12"/>
    <s v="Mobile Wallet"/>
    <x v="1"/>
    <n v="12"/>
  </r>
  <r>
    <n v="252"/>
    <x v="3"/>
    <x v="79"/>
    <x v="1"/>
    <x v="2"/>
    <x v="0"/>
    <x v="3"/>
    <n v="1"/>
    <n v="30"/>
    <s v="Mobile Wallet"/>
    <x v="1"/>
    <n v="30"/>
  </r>
  <r>
    <n v="490"/>
    <x v="1"/>
    <x v="71"/>
    <x v="1"/>
    <x v="2"/>
    <x v="0"/>
    <x v="1"/>
    <n v="1"/>
    <n v="12"/>
    <s v="Cash"/>
    <x v="3"/>
    <n v="12"/>
  </r>
  <r>
    <n v="178"/>
    <x v="7"/>
    <x v="61"/>
    <x v="1"/>
    <x v="6"/>
    <x v="1"/>
    <x v="0"/>
    <n v="5"/>
    <n v="25"/>
    <s v="Mobile Wallet"/>
    <x v="1"/>
    <n v="125"/>
  </r>
  <r>
    <n v="1734"/>
    <x v="6"/>
    <x v="5"/>
    <x v="1"/>
    <x v="4"/>
    <x v="3"/>
    <x v="0"/>
    <n v="5"/>
    <n v="25"/>
    <s v="Cash"/>
    <x v="0"/>
    <n v="125"/>
  </r>
  <r>
    <n v="499"/>
    <x v="3"/>
    <x v="20"/>
    <x v="0"/>
    <x v="4"/>
    <x v="0"/>
    <x v="3"/>
    <n v="4"/>
    <n v="30"/>
    <s v="Cash"/>
    <x v="2"/>
    <n v="120"/>
  </r>
  <r>
    <n v="1222"/>
    <x v="4"/>
    <x v="26"/>
    <x v="2"/>
    <x v="2"/>
    <x v="1"/>
    <x v="1"/>
    <n v="1"/>
    <n v="12"/>
    <s v="Card"/>
    <x v="3"/>
    <n v="12"/>
  </r>
  <r>
    <n v="1737"/>
    <x v="1"/>
    <x v="5"/>
    <x v="1"/>
    <x v="4"/>
    <x v="1"/>
    <x v="4"/>
    <n v="1"/>
    <n v="8"/>
    <s v="Card"/>
    <x v="0"/>
    <n v="8"/>
  </r>
  <r>
    <n v="519"/>
    <x v="2"/>
    <x v="80"/>
    <x v="1"/>
    <x v="3"/>
    <x v="1"/>
    <x v="4"/>
    <n v="5"/>
    <n v="8"/>
    <s v="Mobile Wallet"/>
    <x v="3"/>
    <n v="40"/>
  </r>
  <r>
    <n v="1116"/>
    <x v="5"/>
    <x v="12"/>
    <x v="2"/>
    <x v="3"/>
    <x v="1"/>
    <x v="2"/>
    <n v="1"/>
    <n v="20"/>
    <s v="Cash"/>
    <x v="1"/>
    <n v="20"/>
  </r>
  <r>
    <n v="1201"/>
    <x v="1"/>
    <x v="34"/>
    <x v="1"/>
    <x v="0"/>
    <x v="1"/>
    <x v="0"/>
    <n v="4"/>
    <n v="25"/>
    <s v="Cash"/>
    <x v="0"/>
    <n v="100"/>
  </r>
  <r>
    <n v="796"/>
    <x v="5"/>
    <x v="83"/>
    <x v="0"/>
    <x v="5"/>
    <x v="1"/>
    <x v="0"/>
    <n v="2"/>
    <n v="25"/>
    <s v="Card"/>
    <x v="0"/>
    <n v="50"/>
  </r>
  <r>
    <n v="263"/>
    <x v="1"/>
    <x v="83"/>
    <x v="0"/>
    <x v="5"/>
    <x v="2"/>
    <x v="2"/>
    <n v="2"/>
    <n v="20"/>
    <s v="Cash"/>
    <x v="1"/>
    <n v="40"/>
  </r>
  <r>
    <n v="354"/>
    <x v="2"/>
    <x v="78"/>
    <x v="2"/>
    <x v="4"/>
    <x v="1"/>
    <x v="2"/>
    <n v="5"/>
    <n v="20"/>
    <s v="Cash"/>
    <x v="2"/>
    <n v="100"/>
  </r>
  <r>
    <n v="905"/>
    <x v="7"/>
    <x v="55"/>
    <x v="1"/>
    <x v="2"/>
    <x v="1"/>
    <x v="0"/>
    <n v="4"/>
    <n v="25"/>
    <s v="Mobile Wallet"/>
    <x v="1"/>
    <n v="100"/>
  </r>
  <r>
    <n v="1131"/>
    <x v="4"/>
    <x v="30"/>
    <x v="1"/>
    <x v="2"/>
    <x v="1"/>
    <x v="2"/>
    <n v="2"/>
    <n v="20"/>
    <s v="Mobile Wallet"/>
    <x v="0"/>
    <n v="40"/>
  </r>
  <r>
    <n v="1548"/>
    <x v="5"/>
    <x v="18"/>
    <x v="0"/>
    <x v="0"/>
    <x v="1"/>
    <x v="1"/>
    <n v="1"/>
    <n v="12"/>
    <s v="Cash"/>
    <x v="2"/>
    <n v="12"/>
  </r>
  <r>
    <n v="885"/>
    <x v="2"/>
    <x v="40"/>
    <x v="2"/>
    <x v="2"/>
    <x v="1"/>
    <x v="1"/>
    <n v="2"/>
    <n v="12"/>
    <s v="Mobile Wallet"/>
    <x v="0"/>
    <n v="24"/>
  </r>
  <r>
    <n v="1626"/>
    <x v="5"/>
    <x v="69"/>
    <x v="1"/>
    <x v="1"/>
    <x v="2"/>
    <x v="1"/>
    <n v="3"/>
    <n v="12"/>
    <s v="Mobile Wallet"/>
    <x v="0"/>
    <n v="36"/>
  </r>
  <r>
    <n v="1382"/>
    <x v="6"/>
    <x v="41"/>
    <x v="2"/>
    <x v="4"/>
    <x v="1"/>
    <x v="1"/>
    <n v="1"/>
    <n v="12"/>
    <s v="Cash"/>
    <x v="0"/>
    <n v="12"/>
  </r>
  <r>
    <n v="84"/>
    <x v="2"/>
    <x v="72"/>
    <x v="0"/>
    <x v="3"/>
    <x v="2"/>
    <x v="3"/>
    <n v="4"/>
    <n v="30"/>
    <s v="Mobile Wallet"/>
    <x v="0"/>
    <n v="120"/>
  </r>
  <r>
    <n v="1496"/>
    <x v="1"/>
    <x v="36"/>
    <x v="2"/>
    <x v="2"/>
    <x v="3"/>
    <x v="1"/>
    <n v="1"/>
    <n v="12"/>
    <s v="Card"/>
    <x v="0"/>
    <n v="12"/>
  </r>
  <r>
    <n v="1133"/>
    <x v="0"/>
    <x v="36"/>
    <x v="2"/>
    <x v="2"/>
    <x v="2"/>
    <x v="3"/>
    <n v="4"/>
    <n v="30"/>
    <s v="Card"/>
    <x v="2"/>
    <n v="120"/>
  </r>
  <r>
    <n v="351"/>
    <x v="6"/>
    <x v="64"/>
    <x v="1"/>
    <x v="1"/>
    <x v="1"/>
    <x v="0"/>
    <n v="1"/>
    <n v="25"/>
    <s v="Card"/>
    <x v="3"/>
    <n v="25"/>
  </r>
  <r>
    <n v="654"/>
    <x v="1"/>
    <x v="89"/>
    <x v="1"/>
    <x v="5"/>
    <x v="3"/>
    <x v="1"/>
    <n v="1"/>
    <n v="12"/>
    <s v="Cash"/>
    <x v="3"/>
    <n v="12"/>
  </r>
  <r>
    <n v="978"/>
    <x v="2"/>
    <x v="72"/>
    <x v="0"/>
    <x v="3"/>
    <x v="3"/>
    <x v="1"/>
    <n v="3"/>
    <n v="12"/>
    <s v="Cash"/>
    <x v="3"/>
    <n v="36"/>
  </r>
  <r>
    <n v="1090"/>
    <x v="4"/>
    <x v="14"/>
    <x v="1"/>
    <x v="0"/>
    <x v="1"/>
    <x v="1"/>
    <n v="3"/>
    <n v="12"/>
    <s v="Card"/>
    <x v="0"/>
    <n v="36"/>
  </r>
  <r>
    <n v="1941"/>
    <x v="5"/>
    <x v="42"/>
    <x v="0"/>
    <x v="2"/>
    <x v="1"/>
    <x v="4"/>
    <n v="2"/>
    <n v="8"/>
    <s v="Cash"/>
    <x v="0"/>
    <n v="16"/>
  </r>
  <r>
    <n v="173"/>
    <x v="7"/>
    <x v="18"/>
    <x v="0"/>
    <x v="0"/>
    <x v="1"/>
    <x v="1"/>
    <n v="4"/>
    <n v="12"/>
    <s v="Card"/>
    <x v="0"/>
    <n v="48"/>
  </r>
  <r>
    <n v="1238"/>
    <x v="2"/>
    <x v="44"/>
    <x v="2"/>
    <x v="1"/>
    <x v="0"/>
    <x v="3"/>
    <n v="5"/>
    <n v="30"/>
    <s v="Card"/>
    <x v="1"/>
    <n v="150"/>
  </r>
  <r>
    <n v="1401"/>
    <x v="7"/>
    <x v="72"/>
    <x v="0"/>
    <x v="3"/>
    <x v="1"/>
    <x v="1"/>
    <n v="2"/>
    <n v="12"/>
    <s v="Cash"/>
    <x v="2"/>
    <n v="24"/>
  </r>
  <r>
    <n v="22"/>
    <x v="1"/>
    <x v="0"/>
    <x v="0"/>
    <x v="0"/>
    <x v="0"/>
    <x v="0"/>
    <n v="4"/>
    <n v="25"/>
    <s v="Mobile Wallet"/>
    <x v="3"/>
    <n v="100"/>
  </r>
  <r>
    <n v="430"/>
    <x v="6"/>
    <x v="11"/>
    <x v="1"/>
    <x v="4"/>
    <x v="0"/>
    <x v="2"/>
    <n v="2"/>
    <n v="20"/>
    <s v="Cash"/>
    <x v="2"/>
    <n v="40"/>
  </r>
  <r>
    <n v="483"/>
    <x v="1"/>
    <x v="73"/>
    <x v="2"/>
    <x v="6"/>
    <x v="3"/>
    <x v="3"/>
    <n v="4"/>
    <n v="30"/>
    <s v="Mobile Wallet"/>
    <x v="3"/>
    <n v="120"/>
  </r>
  <r>
    <n v="1651"/>
    <x v="7"/>
    <x v="86"/>
    <x v="1"/>
    <x v="4"/>
    <x v="2"/>
    <x v="4"/>
    <n v="2"/>
    <n v="8"/>
    <s v="Cash"/>
    <x v="1"/>
    <n v="16"/>
  </r>
  <r>
    <n v="767"/>
    <x v="1"/>
    <x v="82"/>
    <x v="0"/>
    <x v="1"/>
    <x v="2"/>
    <x v="0"/>
    <n v="4"/>
    <n v="25"/>
    <s v="Card"/>
    <x v="3"/>
    <n v="100"/>
  </r>
  <r>
    <n v="1649"/>
    <x v="3"/>
    <x v="28"/>
    <x v="2"/>
    <x v="0"/>
    <x v="3"/>
    <x v="0"/>
    <n v="5"/>
    <n v="25"/>
    <s v="Card"/>
    <x v="3"/>
    <n v="125"/>
  </r>
  <r>
    <n v="463"/>
    <x v="0"/>
    <x v="89"/>
    <x v="1"/>
    <x v="5"/>
    <x v="0"/>
    <x v="0"/>
    <n v="5"/>
    <n v="25"/>
    <s v="Card"/>
    <x v="0"/>
    <n v="125"/>
  </r>
  <r>
    <n v="236"/>
    <x v="6"/>
    <x v="77"/>
    <x v="2"/>
    <x v="4"/>
    <x v="1"/>
    <x v="0"/>
    <n v="3"/>
    <n v="25"/>
    <s v="Mobile Wallet"/>
    <x v="0"/>
    <n v="75"/>
  </r>
  <r>
    <n v="1336"/>
    <x v="0"/>
    <x v="42"/>
    <x v="0"/>
    <x v="2"/>
    <x v="3"/>
    <x v="4"/>
    <n v="3"/>
    <n v="8"/>
    <s v="Cash"/>
    <x v="1"/>
    <n v="24"/>
  </r>
  <r>
    <n v="1798"/>
    <x v="4"/>
    <x v="9"/>
    <x v="0"/>
    <x v="2"/>
    <x v="1"/>
    <x v="1"/>
    <n v="5"/>
    <n v="12"/>
    <s v="Mobile Wallet"/>
    <x v="3"/>
    <n v="60"/>
  </r>
  <r>
    <n v="1453"/>
    <x v="2"/>
    <x v="38"/>
    <x v="0"/>
    <x v="1"/>
    <x v="1"/>
    <x v="4"/>
    <n v="5"/>
    <n v="8"/>
    <s v="Card"/>
    <x v="3"/>
    <n v="40"/>
  </r>
  <r>
    <n v="1581"/>
    <x v="6"/>
    <x v="8"/>
    <x v="0"/>
    <x v="2"/>
    <x v="0"/>
    <x v="1"/>
    <n v="5"/>
    <n v="12"/>
    <s v="Card"/>
    <x v="2"/>
    <n v="60"/>
  </r>
  <r>
    <n v="294"/>
    <x v="4"/>
    <x v="53"/>
    <x v="1"/>
    <x v="6"/>
    <x v="1"/>
    <x v="0"/>
    <n v="4"/>
    <n v="25"/>
    <s v="Card"/>
    <x v="2"/>
    <n v="100"/>
  </r>
  <r>
    <n v="880"/>
    <x v="1"/>
    <x v="80"/>
    <x v="1"/>
    <x v="3"/>
    <x v="1"/>
    <x v="1"/>
    <n v="2"/>
    <n v="12"/>
    <s v="Cash"/>
    <x v="1"/>
    <n v="24"/>
  </r>
  <r>
    <n v="616"/>
    <x v="7"/>
    <x v="65"/>
    <x v="0"/>
    <x v="5"/>
    <x v="1"/>
    <x v="1"/>
    <n v="1"/>
    <n v="12"/>
    <s v="Mobile Wallet"/>
    <x v="3"/>
    <n v="12"/>
  </r>
  <r>
    <n v="141"/>
    <x v="2"/>
    <x v="54"/>
    <x v="1"/>
    <x v="3"/>
    <x v="1"/>
    <x v="2"/>
    <n v="2"/>
    <n v="20"/>
    <s v="Mobile Wallet"/>
    <x v="0"/>
    <n v="40"/>
  </r>
  <r>
    <n v="1535"/>
    <x v="7"/>
    <x v="69"/>
    <x v="1"/>
    <x v="1"/>
    <x v="1"/>
    <x v="1"/>
    <n v="1"/>
    <n v="12"/>
    <s v="Mobile Wallet"/>
    <x v="3"/>
    <n v="12"/>
  </r>
  <r>
    <n v="859"/>
    <x v="4"/>
    <x v="24"/>
    <x v="0"/>
    <x v="2"/>
    <x v="3"/>
    <x v="1"/>
    <n v="2"/>
    <n v="12"/>
    <s v="Mobile Wallet"/>
    <x v="0"/>
    <n v="24"/>
  </r>
  <r>
    <n v="621"/>
    <x v="6"/>
    <x v="85"/>
    <x v="2"/>
    <x v="6"/>
    <x v="0"/>
    <x v="4"/>
    <n v="2"/>
    <n v="8"/>
    <s v="Card"/>
    <x v="2"/>
    <n v="16"/>
  </r>
  <r>
    <n v="745"/>
    <x v="7"/>
    <x v="71"/>
    <x v="1"/>
    <x v="2"/>
    <x v="3"/>
    <x v="0"/>
    <n v="1"/>
    <n v="25"/>
    <s v="Cash"/>
    <x v="0"/>
    <n v="25"/>
  </r>
  <r>
    <n v="272"/>
    <x v="2"/>
    <x v="84"/>
    <x v="0"/>
    <x v="3"/>
    <x v="3"/>
    <x v="1"/>
    <n v="3"/>
    <n v="12"/>
    <s v="Cash"/>
    <x v="0"/>
    <n v="36"/>
  </r>
  <r>
    <n v="25"/>
    <x v="6"/>
    <x v="58"/>
    <x v="1"/>
    <x v="3"/>
    <x v="3"/>
    <x v="1"/>
    <n v="3"/>
    <n v="12"/>
    <s v="Mobile Wallet"/>
    <x v="3"/>
    <n v="36"/>
  </r>
  <r>
    <n v="895"/>
    <x v="6"/>
    <x v="88"/>
    <x v="0"/>
    <x v="6"/>
    <x v="0"/>
    <x v="1"/>
    <n v="3"/>
    <n v="12"/>
    <s v="Mobile Wallet"/>
    <x v="3"/>
    <n v="36"/>
  </r>
  <r>
    <n v="827"/>
    <x v="7"/>
    <x v="43"/>
    <x v="2"/>
    <x v="5"/>
    <x v="2"/>
    <x v="4"/>
    <n v="2"/>
    <n v="8"/>
    <s v="Mobile Wallet"/>
    <x v="3"/>
    <n v="16"/>
  </r>
  <r>
    <n v="1307"/>
    <x v="2"/>
    <x v="27"/>
    <x v="1"/>
    <x v="5"/>
    <x v="2"/>
    <x v="1"/>
    <n v="2"/>
    <n v="12"/>
    <s v="Card"/>
    <x v="3"/>
    <n v="24"/>
  </r>
  <r>
    <n v="917"/>
    <x v="4"/>
    <x v="90"/>
    <x v="1"/>
    <x v="6"/>
    <x v="0"/>
    <x v="4"/>
    <n v="2"/>
    <n v="8"/>
    <s v="Card"/>
    <x v="1"/>
    <n v="16"/>
  </r>
  <r>
    <n v="241"/>
    <x v="4"/>
    <x v="57"/>
    <x v="1"/>
    <x v="4"/>
    <x v="0"/>
    <x v="4"/>
    <n v="4"/>
    <n v="8"/>
    <s v="Card"/>
    <x v="2"/>
    <n v="32"/>
  </r>
  <r>
    <n v="1504"/>
    <x v="7"/>
    <x v="76"/>
    <x v="2"/>
    <x v="3"/>
    <x v="0"/>
    <x v="1"/>
    <n v="2"/>
    <n v="12"/>
    <s v="Card"/>
    <x v="0"/>
    <n v="24"/>
  </r>
  <r>
    <n v="1392"/>
    <x v="0"/>
    <x v="9"/>
    <x v="0"/>
    <x v="2"/>
    <x v="0"/>
    <x v="2"/>
    <n v="2"/>
    <n v="20"/>
    <s v="Mobile Wallet"/>
    <x v="1"/>
    <n v="40"/>
  </r>
  <r>
    <n v="634"/>
    <x v="0"/>
    <x v="49"/>
    <x v="2"/>
    <x v="1"/>
    <x v="0"/>
    <x v="1"/>
    <n v="2"/>
    <n v="12"/>
    <s v="Card"/>
    <x v="2"/>
    <n v="24"/>
  </r>
  <r>
    <n v="1671"/>
    <x v="0"/>
    <x v="33"/>
    <x v="0"/>
    <x v="2"/>
    <x v="0"/>
    <x v="1"/>
    <n v="2"/>
    <n v="12"/>
    <s v="Mobile Wallet"/>
    <x v="3"/>
    <n v="24"/>
  </r>
  <r>
    <n v="1888"/>
    <x v="0"/>
    <x v="35"/>
    <x v="0"/>
    <x v="5"/>
    <x v="0"/>
    <x v="0"/>
    <n v="3"/>
    <n v="25"/>
    <s v="Card"/>
    <x v="3"/>
    <n v="75"/>
  </r>
  <r>
    <n v="1168"/>
    <x v="0"/>
    <x v="56"/>
    <x v="0"/>
    <x v="3"/>
    <x v="0"/>
    <x v="1"/>
    <n v="1"/>
    <n v="12"/>
    <s v="Cash"/>
    <x v="3"/>
    <n v="12"/>
  </r>
  <r>
    <n v="1543"/>
    <x v="0"/>
    <x v="49"/>
    <x v="2"/>
    <x v="1"/>
    <x v="0"/>
    <x v="1"/>
    <n v="1"/>
    <n v="12"/>
    <s v="Mobile Wallet"/>
    <x v="0"/>
    <n v="12"/>
  </r>
  <r>
    <n v="1656"/>
    <x v="0"/>
    <x v="7"/>
    <x v="1"/>
    <x v="3"/>
    <x v="0"/>
    <x v="1"/>
    <n v="1"/>
    <n v="12"/>
    <s v="Mobile Wallet"/>
    <x v="1"/>
    <n v="12"/>
  </r>
  <r>
    <n v="1482"/>
    <x v="0"/>
    <x v="9"/>
    <x v="0"/>
    <x v="2"/>
    <x v="0"/>
    <x v="0"/>
    <n v="5"/>
    <n v="25"/>
    <s v="Cash"/>
    <x v="2"/>
    <n v="125"/>
  </r>
  <r>
    <n v="1372"/>
    <x v="0"/>
    <x v="36"/>
    <x v="2"/>
    <x v="2"/>
    <x v="0"/>
    <x v="0"/>
    <n v="3"/>
    <n v="25"/>
    <s v="Cash"/>
    <x v="2"/>
    <n v="75"/>
  </r>
  <r>
    <n v="285"/>
    <x v="4"/>
    <x v="45"/>
    <x v="2"/>
    <x v="3"/>
    <x v="0"/>
    <x v="1"/>
    <n v="3"/>
    <n v="12"/>
    <s v="Card"/>
    <x v="1"/>
    <n v="36"/>
  </r>
  <r>
    <n v="542"/>
    <x v="4"/>
    <x v="24"/>
    <x v="0"/>
    <x v="2"/>
    <x v="0"/>
    <x v="4"/>
    <n v="4"/>
    <n v="8"/>
    <s v="Card"/>
    <x v="3"/>
    <n v="32"/>
  </r>
  <r>
    <n v="1613"/>
    <x v="2"/>
    <x v="83"/>
    <x v="0"/>
    <x v="5"/>
    <x v="0"/>
    <x v="1"/>
    <n v="4"/>
    <n v="12"/>
    <s v="Card"/>
    <x v="2"/>
    <n v="48"/>
  </r>
  <r>
    <n v="1237"/>
    <x v="3"/>
    <x v="75"/>
    <x v="2"/>
    <x v="3"/>
    <x v="0"/>
    <x v="1"/>
    <n v="5"/>
    <n v="12"/>
    <s v="Mobile Wallet"/>
    <x v="1"/>
    <n v="60"/>
  </r>
  <r>
    <n v="434"/>
    <x v="2"/>
    <x v="57"/>
    <x v="1"/>
    <x v="4"/>
    <x v="0"/>
    <x v="1"/>
    <n v="1"/>
    <n v="12"/>
    <s v="Cash"/>
    <x v="3"/>
    <n v="12"/>
  </r>
  <r>
    <n v="1522"/>
    <x v="3"/>
    <x v="1"/>
    <x v="1"/>
    <x v="1"/>
    <x v="0"/>
    <x v="1"/>
    <n v="5"/>
    <n v="12"/>
    <s v="Mobile Wallet"/>
    <x v="3"/>
    <n v="60"/>
  </r>
  <r>
    <n v="21"/>
    <x v="0"/>
    <x v="15"/>
    <x v="0"/>
    <x v="4"/>
    <x v="0"/>
    <x v="3"/>
    <n v="4"/>
    <n v="30"/>
    <s v="Mobile Wallet"/>
    <x v="3"/>
    <n v="120"/>
  </r>
  <r>
    <n v="764"/>
    <x v="4"/>
    <x v="34"/>
    <x v="1"/>
    <x v="0"/>
    <x v="0"/>
    <x v="1"/>
    <n v="1"/>
    <n v="12"/>
    <s v="Cash"/>
    <x v="3"/>
    <n v="12"/>
  </r>
  <r>
    <n v="1874"/>
    <x v="0"/>
    <x v="8"/>
    <x v="0"/>
    <x v="2"/>
    <x v="0"/>
    <x v="2"/>
    <n v="2"/>
    <n v="20"/>
    <s v="Card"/>
    <x v="2"/>
    <n v="40"/>
  </r>
  <r>
    <n v="928"/>
    <x v="6"/>
    <x v="34"/>
    <x v="1"/>
    <x v="0"/>
    <x v="0"/>
    <x v="3"/>
    <n v="2"/>
    <n v="30"/>
    <s v="Cash"/>
    <x v="3"/>
    <n v="60"/>
  </r>
  <r>
    <n v="1850"/>
    <x v="4"/>
    <x v="34"/>
    <x v="1"/>
    <x v="0"/>
    <x v="0"/>
    <x v="1"/>
    <n v="1"/>
    <n v="12"/>
    <s v="Cash"/>
    <x v="3"/>
    <n v="12"/>
  </r>
  <r>
    <n v="735"/>
    <x v="4"/>
    <x v="63"/>
    <x v="1"/>
    <x v="5"/>
    <x v="0"/>
    <x v="3"/>
    <n v="4"/>
    <n v="30"/>
    <s v="Cash"/>
    <x v="3"/>
    <n v="120"/>
  </r>
  <r>
    <n v="611"/>
    <x v="1"/>
    <x v="59"/>
    <x v="0"/>
    <x v="0"/>
    <x v="0"/>
    <x v="2"/>
    <n v="2"/>
    <n v="20"/>
    <s v="Mobile Wallet"/>
    <x v="1"/>
    <n v="40"/>
  </r>
  <r>
    <n v="609"/>
    <x v="6"/>
    <x v="18"/>
    <x v="0"/>
    <x v="0"/>
    <x v="0"/>
    <x v="4"/>
    <n v="3"/>
    <n v="8"/>
    <s v="Mobile Wallet"/>
    <x v="2"/>
    <n v="24"/>
  </r>
  <r>
    <n v="196"/>
    <x v="4"/>
    <x v="89"/>
    <x v="1"/>
    <x v="5"/>
    <x v="0"/>
    <x v="1"/>
    <n v="3"/>
    <n v="12"/>
    <s v="Card"/>
    <x v="2"/>
    <n v="36"/>
  </r>
  <r>
    <n v="1485"/>
    <x v="5"/>
    <x v="50"/>
    <x v="0"/>
    <x v="6"/>
    <x v="0"/>
    <x v="0"/>
    <n v="2"/>
    <n v="25"/>
    <s v="Cash"/>
    <x v="0"/>
    <n v="50"/>
  </r>
  <r>
    <n v="1388"/>
    <x v="6"/>
    <x v="28"/>
    <x v="2"/>
    <x v="0"/>
    <x v="0"/>
    <x v="0"/>
    <n v="1"/>
    <n v="25"/>
    <s v="Mobile Wallet"/>
    <x v="0"/>
    <n v="25"/>
  </r>
  <r>
    <n v="1082"/>
    <x v="1"/>
    <x v="15"/>
    <x v="0"/>
    <x v="4"/>
    <x v="0"/>
    <x v="2"/>
    <n v="3"/>
    <n v="20"/>
    <s v="Card"/>
    <x v="0"/>
    <n v="60"/>
  </r>
  <r>
    <n v="1705"/>
    <x v="7"/>
    <x v="26"/>
    <x v="2"/>
    <x v="2"/>
    <x v="0"/>
    <x v="3"/>
    <n v="4"/>
    <n v="30"/>
    <s v="Card"/>
    <x v="1"/>
    <n v="120"/>
  </r>
  <r>
    <n v="1460"/>
    <x v="7"/>
    <x v="20"/>
    <x v="0"/>
    <x v="4"/>
    <x v="0"/>
    <x v="0"/>
    <n v="5"/>
    <n v="25"/>
    <s v="Mobile Wallet"/>
    <x v="2"/>
    <n v="125"/>
  </r>
  <r>
    <n v="376"/>
    <x v="6"/>
    <x v="81"/>
    <x v="0"/>
    <x v="6"/>
    <x v="0"/>
    <x v="1"/>
    <n v="1"/>
    <n v="12"/>
    <s v="Card"/>
    <x v="0"/>
    <n v="12"/>
  </r>
  <r>
    <n v="556"/>
    <x v="2"/>
    <x v="37"/>
    <x v="0"/>
    <x v="0"/>
    <x v="0"/>
    <x v="3"/>
    <n v="5"/>
    <n v="30"/>
    <s v="Mobile Wallet"/>
    <x v="0"/>
    <n v="150"/>
  </r>
  <r>
    <n v="16"/>
    <x v="1"/>
    <x v="13"/>
    <x v="2"/>
    <x v="3"/>
    <x v="0"/>
    <x v="1"/>
    <n v="2"/>
    <n v="12"/>
    <s v="Card"/>
    <x v="2"/>
    <n v="24"/>
  </r>
  <r>
    <n v="1752"/>
    <x v="2"/>
    <x v="10"/>
    <x v="2"/>
    <x v="0"/>
    <x v="0"/>
    <x v="3"/>
    <n v="4"/>
    <n v="30"/>
    <s v="Cash"/>
    <x v="3"/>
    <n v="120"/>
  </r>
  <r>
    <n v="1861"/>
    <x v="0"/>
    <x v="0"/>
    <x v="0"/>
    <x v="0"/>
    <x v="0"/>
    <x v="2"/>
    <n v="3"/>
    <n v="20"/>
    <s v="Card"/>
    <x v="2"/>
    <n v="60"/>
  </r>
  <r>
    <n v="113"/>
    <x v="2"/>
    <x v="9"/>
    <x v="0"/>
    <x v="2"/>
    <x v="0"/>
    <x v="1"/>
    <n v="5"/>
    <n v="12"/>
    <s v="Mobile Wallet"/>
    <x v="1"/>
    <n v="60"/>
  </r>
  <r>
    <n v="776"/>
    <x v="1"/>
    <x v="84"/>
    <x v="0"/>
    <x v="3"/>
    <x v="0"/>
    <x v="1"/>
    <n v="2"/>
    <n v="12"/>
    <s v="Cash"/>
    <x v="0"/>
    <n v="24"/>
  </r>
  <r>
    <n v="1302"/>
    <x v="6"/>
    <x v="84"/>
    <x v="0"/>
    <x v="3"/>
    <x v="0"/>
    <x v="3"/>
    <n v="3"/>
    <n v="30"/>
    <s v="Card"/>
    <x v="0"/>
    <n v="90"/>
  </r>
  <r>
    <n v="924"/>
    <x v="5"/>
    <x v="26"/>
    <x v="2"/>
    <x v="2"/>
    <x v="0"/>
    <x v="1"/>
    <n v="1"/>
    <n v="12"/>
    <s v="Mobile Wallet"/>
    <x v="0"/>
    <n v="12"/>
  </r>
  <r>
    <n v="239"/>
    <x v="7"/>
    <x v="16"/>
    <x v="0"/>
    <x v="0"/>
    <x v="0"/>
    <x v="1"/>
    <n v="4"/>
    <n v="12"/>
    <s v="Card"/>
    <x v="2"/>
    <n v="48"/>
  </r>
  <r>
    <n v="315"/>
    <x v="7"/>
    <x v="35"/>
    <x v="0"/>
    <x v="5"/>
    <x v="0"/>
    <x v="3"/>
    <n v="4"/>
    <n v="30"/>
    <s v="Mobile Wallet"/>
    <x v="3"/>
    <n v="120"/>
  </r>
  <r>
    <n v="914"/>
    <x v="4"/>
    <x v="64"/>
    <x v="1"/>
    <x v="1"/>
    <x v="0"/>
    <x v="3"/>
    <n v="4"/>
    <n v="30"/>
    <s v="Card"/>
    <x v="3"/>
    <n v="120"/>
  </r>
  <r>
    <n v="1970"/>
    <x v="3"/>
    <x v="33"/>
    <x v="0"/>
    <x v="2"/>
    <x v="0"/>
    <x v="1"/>
    <n v="2"/>
    <n v="12"/>
    <s v="Card"/>
    <x v="3"/>
    <n v="24"/>
  </r>
  <r>
    <n v="708"/>
    <x v="2"/>
    <x v="2"/>
    <x v="2"/>
    <x v="2"/>
    <x v="0"/>
    <x v="1"/>
    <n v="2"/>
    <n v="12"/>
    <s v="Cash"/>
    <x v="0"/>
    <n v="24"/>
  </r>
  <r>
    <n v="389"/>
    <x v="3"/>
    <x v="57"/>
    <x v="1"/>
    <x v="4"/>
    <x v="0"/>
    <x v="4"/>
    <n v="4"/>
    <n v="8"/>
    <s v="Card"/>
    <x v="1"/>
    <n v="32"/>
  </r>
  <r>
    <n v="114"/>
    <x v="0"/>
    <x v="43"/>
    <x v="2"/>
    <x v="5"/>
    <x v="0"/>
    <x v="2"/>
    <n v="5"/>
    <n v="20"/>
    <s v="Card"/>
    <x v="2"/>
    <n v="100"/>
  </r>
  <r>
    <n v="1648"/>
    <x v="6"/>
    <x v="11"/>
    <x v="1"/>
    <x v="4"/>
    <x v="0"/>
    <x v="1"/>
    <n v="4"/>
    <n v="12"/>
    <s v="Card"/>
    <x v="2"/>
    <n v="48"/>
  </r>
  <r>
    <n v="1329"/>
    <x v="0"/>
    <x v="16"/>
    <x v="0"/>
    <x v="0"/>
    <x v="0"/>
    <x v="1"/>
    <n v="2"/>
    <n v="12"/>
    <s v="Mobile Wallet"/>
    <x v="1"/>
    <n v="24"/>
  </r>
  <r>
    <n v="1735"/>
    <x v="0"/>
    <x v="37"/>
    <x v="0"/>
    <x v="0"/>
    <x v="0"/>
    <x v="1"/>
    <n v="1"/>
    <n v="12"/>
    <s v="Cash"/>
    <x v="0"/>
    <n v="12"/>
  </r>
  <r>
    <n v="1465"/>
    <x v="0"/>
    <x v="20"/>
    <x v="0"/>
    <x v="4"/>
    <x v="0"/>
    <x v="1"/>
    <n v="2"/>
    <n v="12"/>
    <s v="Mobile Wallet"/>
    <x v="0"/>
    <n v="24"/>
  </r>
  <r>
    <n v="830"/>
    <x v="0"/>
    <x v="70"/>
    <x v="0"/>
    <x v="6"/>
    <x v="0"/>
    <x v="1"/>
    <n v="1"/>
    <n v="12"/>
    <s v="Cash"/>
    <x v="1"/>
    <n v="12"/>
  </r>
  <r>
    <n v="3"/>
    <x v="0"/>
    <x v="72"/>
    <x v="0"/>
    <x v="3"/>
    <x v="0"/>
    <x v="3"/>
    <n v="5"/>
    <n v="30"/>
    <s v="Cash"/>
    <x v="3"/>
    <n v="150"/>
  </r>
  <r>
    <n v="526"/>
    <x v="0"/>
    <x v="26"/>
    <x v="2"/>
    <x v="2"/>
    <x v="0"/>
    <x v="1"/>
    <n v="4"/>
    <n v="12"/>
    <s v="Mobile Wallet"/>
    <x v="3"/>
    <n v="48"/>
  </r>
  <r>
    <n v="809"/>
    <x v="0"/>
    <x v="71"/>
    <x v="1"/>
    <x v="2"/>
    <x v="0"/>
    <x v="1"/>
    <n v="5"/>
    <n v="12"/>
    <s v="Cash"/>
    <x v="0"/>
    <n v="60"/>
  </r>
  <r>
    <n v="1745"/>
    <x v="0"/>
    <x v="40"/>
    <x v="2"/>
    <x v="2"/>
    <x v="0"/>
    <x v="1"/>
    <n v="2"/>
    <n v="12"/>
    <s v="Mobile Wallet"/>
    <x v="1"/>
    <n v="24"/>
  </r>
  <r>
    <n v="1439"/>
    <x v="2"/>
    <x v="56"/>
    <x v="0"/>
    <x v="3"/>
    <x v="0"/>
    <x v="3"/>
    <n v="1"/>
    <n v="30"/>
    <s v="Cash"/>
    <x v="1"/>
    <n v="30"/>
  </r>
  <r>
    <n v="1552"/>
    <x v="1"/>
    <x v="61"/>
    <x v="1"/>
    <x v="6"/>
    <x v="0"/>
    <x v="1"/>
    <n v="1"/>
    <n v="12"/>
    <s v="Cash"/>
    <x v="2"/>
    <n v="12"/>
  </r>
  <r>
    <n v="1071"/>
    <x v="1"/>
    <x v="45"/>
    <x v="2"/>
    <x v="3"/>
    <x v="0"/>
    <x v="4"/>
    <n v="5"/>
    <n v="8"/>
    <s v="Mobile Wallet"/>
    <x v="1"/>
    <n v="40"/>
  </r>
  <r>
    <n v="1087"/>
    <x v="3"/>
    <x v="58"/>
    <x v="1"/>
    <x v="3"/>
    <x v="0"/>
    <x v="1"/>
    <n v="3"/>
    <n v="12"/>
    <s v="Cash"/>
    <x v="0"/>
    <n v="36"/>
  </r>
  <r>
    <n v="1003"/>
    <x v="3"/>
    <x v="42"/>
    <x v="0"/>
    <x v="2"/>
    <x v="2"/>
    <x v="1"/>
    <n v="3"/>
    <n v="12"/>
    <s v="Cash"/>
    <x v="2"/>
    <n v="36"/>
  </r>
  <r>
    <n v="996"/>
    <x v="1"/>
    <x v="16"/>
    <x v="0"/>
    <x v="0"/>
    <x v="3"/>
    <x v="2"/>
    <n v="4"/>
    <n v="20"/>
    <s v="Card"/>
    <x v="1"/>
    <n v="80"/>
  </r>
  <r>
    <n v="954"/>
    <x v="6"/>
    <x v="28"/>
    <x v="2"/>
    <x v="0"/>
    <x v="2"/>
    <x v="1"/>
    <n v="2"/>
    <n v="12"/>
    <s v="Card"/>
    <x v="1"/>
    <n v="24"/>
  </r>
  <r>
    <n v="657"/>
    <x v="5"/>
    <x v="9"/>
    <x v="0"/>
    <x v="2"/>
    <x v="0"/>
    <x v="2"/>
    <n v="5"/>
    <n v="20"/>
    <s v="Mobile Wallet"/>
    <x v="2"/>
    <n v="100"/>
  </r>
  <r>
    <n v="1598"/>
    <x v="1"/>
    <x v="77"/>
    <x v="2"/>
    <x v="4"/>
    <x v="0"/>
    <x v="0"/>
    <n v="2"/>
    <n v="25"/>
    <s v="Mobile Wallet"/>
    <x v="3"/>
    <n v="50"/>
  </r>
  <r>
    <n v="183"/>
    <x v="0"/>
    <x v="86"/>
    <x v="1"/>
    <x v="4"/>
    <x v="0"/>
    <x v="1"/>
    <n v="4"/>
    <n v="12"/>
    <s v="Cash"/>
    <x v="1"/>
    <n v="48"/>
  </r>
  <r>
    <n v="1218"/>
    <x v="4"/>
    <x v="89"/>
    <x v="1"/>
    <x v="5"/>
    <x v="1"/>
    <x v="1"/>
    <n v="4"/>
    <n v="12"/>
    <s v="Card"/>
    <x v="2"/>
    <n v="48"/>
  </r>
  <r>
    <n v="705"/>
    <x v="1"/>
    <x v="46"/>
    <x v="1"/>
    <x v="3"/>
    <x v="1"/>
    <x v="4"/>
    <n v="5"/>
    <n v="8"/>
    <s v="Cash"/>
    <x v="1"/>
    <n v="40"/>
  </r>
  <r>
    <n v="1373"/>
    <x v="2"/>
    <x v="83"/>
    <x v="0"/>
    <x v="5"/>
    <x v="1"/>
    <x v="1"/>
    <n v="3"/>
    <n v="12"/>
    <s v="Card"/>
    <x v="0"/>
    <n v="36"/>
  </r>
  <r>
    <n v="1190"/>
    <x v="2"/>
    <x v="60"/>
    <x v="1"/>
    <x v="0"/>
    <x v="2"/>
    <x v="4"/>
    <n v="4"/>
    <n v="8"/>
    <s v="Cash"/>
    <x v="3"/>
    <n v="32"/>
  </r>
  <r>
    <n v="938"/>
    <x v="1"/>
    <x v="40"/>
    <x v="2"/>
    <x v="2"/>
    <x v="3"/>
    <x v="0"/>
    <n v="2"/>
    <n v="25"/>
    <s v="Card"/>
    <x v="0"/>
    <n v="50"/>
  </r>
  <r>
    <n v="1663"/>
    <x v="6"/>
    <x v="26"/>
    <x v="2"/>
    <x v="2"/>
    <x v="2"/>
    <x v="1"/>
    <n v="3"/>
    <n v="12"/>
    <s v="Card"/>
    <x v="1"/>
    <n v="36"/>
  </r>
  <r>
    <n v="842"/>
    <x v="2"/>
    <x v="67"/>
    <x v="2"/>
    <x v="6"/>
    <x v="3"/>
    <x v="4"/>
    <n v="4"/>
    <n v="8"/>
    <s v="Mobile Wallet"/>
    <x v="1"/>
    <n v="32"/>
  </r>
  <r>
    <n v="517"/>
    <x v="2"/>
    <x v="56"/>
    <x v="0"/>
    <x v="3"/>
    <x v="0"/>
    <x v="1"/>
    <n v="1"/>
    <n v="12"/>
    <s v="Cash"/>
    <x v="2"/>
    <n v="12"/>
  </r>
  <r>
    <n v="402"/>
    <x v="6"/>
    <x v="64"/>
    <x v="1"/>
    <x v="1"/>
    <x v="1"/>
    <x v="1"/>
    <n v="2"/>
    <n v="12"/>
    <s v="Cash"/>
    <x v="1"/>
    <n v="24"/>
  </r>
  <r>
    <n v="1466"/>
    <x v="0"/>
    <x v="24"/>
    <x v="0"/>
    <x v="2"/>
    <x v="2"/>
    <x v="4"/>
    <n v="1"/>
    <n v="8"/>
    <s v="Cash"/>
    <x v="2"/>
    <n v="8"/>
  </r>
  <r>
    <n v="1922"/>
    <x v="1"/>
    <x v="40"/>
    <x v="2"/>
    <x v="2"/>
    <x v="0"/>
    <x v="1"/>
    <n v="2"/>
    <n v="12"/>
    <s v="Card"/>
    <x v="1"/>
    <n v="24"/>
  </r>
  <r>
    <n v="1897"/>
    <x v="0"/>
    <x v="6"/>
    <x v="1"/>
    <x v="5"/>
    <x v="0"/>
    <x v="1"/>
    <n v="2"/>
    <n v="12"/>
    <s v="Card"/>
    <x v="2"/>
    <n v="24"/>
  </r>
  <r>
    <n v="1950"/>
    <x v="5"/>
    <x v="12"/>
    <x v="2"/>
    <x v="3"/>
    <x v="0"/>
    <x v="1"/>
    <n v="2"/>
    <n v="12"/>
    <s v="Cash"/>
    <x v="1"/>
    <n v="24"/>
  </r>
  <r>
    <n v="1306"/>
    <x v="5"/>
    <x v="2"/>
    <x v="2"/>
    <x v="2"/>
    <x v="3"/>
    <x v="1"/>
    <n v="1"/>
    <n v="12"/>
    <s v="Mobile Wallet"/>
    <x v="1"/>
    <n v="12"/>
  </r>
  <r>
    <n v="169"/>
    <x v="5"/>
    <x v="8"/>
    <x v="0"/>
    <x v="2"/>
    <x v="2"/>
    <x v="4"/>
    <n v="5"/>
    <n v="8"/>
    <s v="Card"/>
    <x v="0"/>
    <n v="40"/>
  </r>
  <r>
    <n v="1157"/>
    <x v="4"/>
    <x v="76"/>
    <x v="2"/>
    <x v="3"/>
    <x v="1"/>
    <x v="3"/>
    <n v="2"/>
    <n v="30"/>
    <s v="Mobile Wallet"/>
    <x v="0"/>
    <n v="60"/>
  </r>
  <r>
    <n v="1314"/>
    <x v="1"/>
    <x v="18"/>
    <x v="0"/>
    <x v="0"/>
    <x v="0"/>
    <x v="1"/>
    <n v="5"/>
    <n v="12"/>
    <s v="Card"/>
    <x v="3"/>
    <n v="60"/>
  </r>
  <r>
    <n v="1509"/>
    <x v="2"/>
    <x v="91"/>
    <x v="1"/>
    <x v="5"/>
    <x v="0"/>
    <x v="2"/>
    <n v="4"/>
    <n v="20"/>
    <s v="Cash"/>
    <x v="1"/>
    <n v="80"/>
  </r>
  <r>
    <n v="103"/>
    <x v="4"/>
    <x v="38"/>
    <x v="0"/>
    <x v="1"/>
    <x v="0"/>
    <x v="1"/>
    <n v="4"/>
    <n v="12"/>
    <s v="Cash"/>
    <x v="2"/>
    <n v="48"/>
  </r>
  <r>
    <n v="1470"/>
    <x v="3"/>
    <x v="13"/>
    <x v="2"/>
    <x v="3"/>
    <x v="0"/>
    <x v="1"/>
    <n v="5"/>
    <n v="12"/>
    <s v="Cash"/>
    <x v="0"/>
    <n v="60"/>
  </r>
  <r>
    <n v="383"/>
    <x v="6"/>
    <x v="85"/>
    <x v="2"/>
    <x v="6"/>
    <x v="0"/>
    <x v="3"/>
    <n v="3"/>
    <n v="30"/>
    <s v="Mobile Wallet"/>
    <x v="0"/>
    <n v="90"/>
  </r>
  <r>
    <n v="274"/>
    <x v="2"/>
    <x v="30"/>
    <x v="1"/>
    <x v="2"/>
    <x v="0"/>
    <x v="4"/>
    <n v="2"/>
    <n v="8"/>
    <s v="Cash"/>
    <x v="3"/>
    <n v="16"/>
  </r>
  <r>
    <n v="1589"/>
    <x v="5"/>
    <x v="10"/>
    <x v="2"/>
    <x v="0"/>
    <x v="0"/>
    <x v="1"/>
    <n v="3"/>
    <n v="12"/>
    <s v="Card"/>
    <x v="0"/>
    <n v="36"/>
  </r>
  <r>
    <n v="1280"/>
    <x v="6"/>
    <x v="2"/>
    <x v="2"/>
    <x v="2"/>
    <x v="0"/>
    <x v="4"/>
    <n v="1"/>
    <n v="8"/>
    <s v="Card"/>
    <x v="1"/>
    <n v="8"/>
  </r>
  <r>
    <n v="1716"/>
    <x v="2"/>
    <x v="32"/>
    <x v="2"/>
    <x v="5"/>
    <x v="0"/>
    <x v="1"/>
    <n v="2"/>
    <n v="12"/>
    <s v="Card"/>
    <x v="3"/>
    <n v="24"/>
  </r>
  <r>
    <n v="808"/>
    <x v="3"/>
    <x v="86"/>
    <x v="1"/>
    <x v="4"/>
    <x v="0"/>
    <x v="1"/>
    <n v="1"/>
    <n v="12"/>
    <s v="Card"/>
    <x v="1"/>
    <n v="12"/>
  </r>
  <r>
    <n v="435"/>
    <x v="6"/>
    <x v="55"/>
    <x v="1"/>
    <x v="2"/>
    <x v="2"/>
    <x v="3"/>
    <n v="4"/>
    <n v="30"/>
    <s v="Card"/>
    <x v="1"/>
    <n v="120"/>
  </r>
  <r>
    <n v="1303"/>
    <x v="5"/>
    <x v="8"/>
    <x v="0"/>
    <x v="2"/>
    <x v="3"/>
    <x v="0"/>
    <n v="3"/>
    <n v="25"/>
    <s v="Cash"/>
    <x v="2"/>
    <n v="75"/>
  </r>
  <r>
    <n v="801"/>
    <x v="3"/>
    <x v="2"/>
    <x v="2"/>
    <x v="2"/>
    <x v="1"/>
    <x v="4"/>
    <n v="3"/>
    <n v="8"/>
    <s v="Mobile Wallet"/>
    <x v="1"/>
    <n v="24"/>
  </r>
  <r>
    <n v="1203"/>
    <x v="6"/>
    <x v="50"/>
    <x v="0"/>
    <x v="6"/>
    <x v="1"/>
    <x v="1"/>
    <n v="5"/>
    <n v="12"/>
    <s v="Cash"/>
    <x v="2"/>
    <n v="60"/>
  </r>
  <r>
    <n v="198"/>
    <x v="6"/>
    <x v="2"/>
    <x v="2"/>
    <x v="2"/>
    <x v="1"/>
    <x v="2"/>
    <n v="3"/>
    <n v="20"/>
    <s v="Mobile Wallet"/>
    <x v="0"/>
    <n v="60"/>
  </r>
  <r>
    <n v="994"/>
    <x v="6"/>
    <x v="51"/>
    <x v="0"/>
    <x v="1"/>
    <x v="2"/>
    <x v="1"/>
    <n v="5"/>
    <n v="12"/>
    <s v="Card"/>
    <x v="2"/>
    <n v="60"/>
  </r>
  <r>
    <n v="288"/>
    <x v="1"/>
    <x v="44"/>
    <x v="2"/>
    <x v="1"/>
    <x v="3"/>
    <x v="1"/>
    <n v="3"/>
    <n v="12"/>
    <s v="Mobile Wallet"/>
    <x v="0"/>
    <n v="36"/>
  </r>
  <r>
    <n v="203"/>
    <x v="5"/>
    <x v="21"/>
    <x v="1"/>
    <x v="6"/>
    <x v="0"/>
    <x v="1"/>
    <n v="5"/>
    <n v="12"/>
    <s v="Cash"/>
    <x v="2"/>
    <n v="60"/>
  </r>
  <r>
    <n v="965"/>
    <x v="5"/>
    <x v="77"/>
    <x v="2"/>
    <x v="4"/>
    <x v="2"/>
    <x v="2"/>
    <n v="4"/>
    <n v="20"/>
    <s v="Mobile Wallet"/>
    <x v="2"/>
    <n v="80"/>
  </r>
  <r>
    <n v="878"/>
    <x v="4"/>
    <x v="42"/>
    <x v="0"/>
    <x v="2"/>
    <x v="1"/>
    <x v="1"/>
    <n v="3"/>
    <n v="12"/>
    <s v="Card"/>
    <x v="0"/>
    <n v="36"/>
  </r>
  <r>
    <n v="104"/>
    <x v="6"/>
    <x v="81"/>
    <x v="0"/>
    <x v="6"/>
    <x v="2"/>
    <x v="4"/>
    <n v="1"/>
    <n v="8"/>
    <s v="Cash"/>
    <x v="0"/>
    <n v="8"/>
  </r>
  <r>
    <n v="216"/>
    <x v="1"/>
    <x v="33"/>
    <x v="0"/>
    <x v="2"/>
    <x v="2"/>
    <x v="1"/>
    <n v="5"/>
    <n v="12"/>
    <s v="Card"/>
    <x v="1"/>
    <n v="60"/>
  </r>
  <r>
    <n v="70"/>
    <x v="0"/>
    <x v="2"/>
    <x v="2"/>
    <x v="2"/>
    <x v="0"/>
    <x v="1"/>
    <n v="2"/>
    <n v="12"/>
    <s v="Mobile Wallet"/>
    <x v="1"/>
    <n v="24"/>
  </r>
  <r>
    <n v="536"/>
    <x v="0"/>
    <x v="30"/>
    <x v="1"/>
    <x v="2"/>
    <x v="0"/>
    <x v="2"/>
    <n v="3"/>
    <n v="20"/>
    <s v="Mobile Wallet"/>
    <x v="2"/>
    <n v="60"/>
  </r>
  <r>
    <n v="1259"/>
    <x v="2"/>
    <x v="23"/>
    <x v="2"/>
    <x v="0"/>
    <x v="3"/>
    <x v="1"/>
    <n v="5"/>
    <n v="12"/>
    <s v="Card"/>
    <x v="3"/>
    <n v="60"/>
  </r>
  <r>
    <n v="1930"/>
    <x v="7"/>
    <x v="16"/>
    <x v="0"/>
    <x v="0"/>
    <x v="2"/>
    <x v="1"/>
    <n v="2"/>
    <n v="12"/>
    <s v="Card"/>
    <x v="3"/>
    <n v="24"/>
  </r>
  <r>
    <n v="862"/>
    <x v="3"/>
    <x v="28"/>
    <x v="2"/>
    <x v="0"/>
    <x v="1"/>
    <x v="1"/>
    <n v="5"/>
    <n v="12"/>
    <s v="Mobile Wallet"/>
    <x v="2"/>
    <n v="60"/>
  </r>
  <r>
    <n v="7"/>
    <x v="1"/>
    <x v="28"/>
    <x v="2"/>
    <x v="0"/>
    <x v="1"/>
    <x v="1"/>
    <n v="4"/>
    <n v="12"/>
    <s v="Mobile Wallet"/>
    <x v="0"/>
    <n v="48"/>
  </r>
  <r>
    <n v="1213"/>
    <x v="4"/>
    <x v="67"/>
    <x v="2"/>
    <x v="6"/>
    <x v="2"/>
    <x v="1"/>
    <n v="5"/>
    <n v="12"/>
    <s v="Mobile Wallet"/>
    <x v="0"/>
    <n v="60"/>
  </r>
  <r>
    <n v="782"/>
    <x v="7"/>
    <x v="32"/>
    <x v="2"/>
    <x v="5"/>
    <x v="2"/>
    <x v="2"/>
    <n v="5"/>
    <n v="20"/>
    <s v="Cash"/>
    <x v="0"/>
    <n v="100"/>
  </r>
  <r>
    <n v="289"/>
    <x v="3"/>
    <x v="89"/>
    <x v="1"/>
    <x v="5"/>
    <x v="3"/>
    <x v="1"/>
    <n v="5"/>
    <n v="12"/>
    <s v="Mobile Wallet"/>
    <x v="2"/>
    <n v="60"/>
  </r>
  <r>
    <n v="860"/>
    <x v="5"/>
    <x v="68"/>
    <x v="2"/>
    <x v="4"/>
    <x v="0"/>
    <x v="1"/>
    <n v="4"/>
    <n v="12"/>
    <s v="Cash"/>
    <x v="1"/>
    <n v="48"/>
  </r>
  <r>
    <n v="1557"/>
    <x v="4"/>
    <x v="60"/>
    <x v="1"/>
    <x v="0"/>
    <x v="3"/>
    <x v="1"/>
    <n v="3"/>
    <n v="12"/>
    <s v="Cash"/>
    <x v="2"/>
    <n v="36"/>
  </r>
  <r>
    <n v="759"/>
    <x v="3"/>
    <x v="82"/>
    <x v="0"/>
    <x v="1"/>
    <x v="2"/>
    <x v="4"/>
    <n v="5"/>
    <n v="8"/>
    <s v="Cash"/>
    <x v="0"/>
    <n v="40"/>
  </r>
  <r>
    <n v="1558"/>
    <x v="7"/>
    <x v="52"/>
    <x v="2"/>
    <x v="5"/>
    <x v="3"/>
    <x v="1"/>
    <n v="4"/>
    <n v="12"/>
    <s v="Cash"/>
    <x v="0"/>
    <n v="48"/>
  </r>
  <r>
    <n v="1463"/>
    <x v="1"/>
    <x v="41"/>
    <x v="2"/>
    <x v="4"/>
    <x v="1"/>
    <x v="0"/>
    <n v="4"/>
    <n v="25"/>
    <s v="Card"/>
    <x v="1"/>
    <n v="100"/>
  </r>
  <r>
    <n v="1173"/>
    <x v="7"/>
    <x v="66"/>
    <x v="0"/>
    <x v="1"/>
    <x v="0"/>
    <x v="1"/>
    <n v="3"/>
    <n v="12"/>
    <s v="Cash"/>
    <x v="0"/>
    <n v="36"/>
  </r>
  <r>
    <n v="199"/>
    <x v="1"/>
    <x v="60"/>
    <x v="1"/>
    <x v="0"/>
    <x v="0"/>
    <x v="0"/>
    <n v="4"/>
    <n v="25"/>
    <s v="Cash"/>
    <x v="3"/>
    <n v="100"/>
  </r>
  <r>
    <n v="1196"/>
    <x v="1"/>
    <x v="68"/>
    <x v="2"/>
    <x v="4"/>
    <x v="0"/>
    <x v="0"/>
    <n v="2"/>
    <n v="25"/>
    <s v="Cash"/>
    <x v="0"/>
    <n v="50"/>
  </r>
  <r>
    <n v="34"/>
    <x v="4"/>
    <x v="75"/>
    <x v="2"/>
    <x v="3"/>
    <x v="0"/>
    <x v="3"/>
    <n v="5"/>
    <n v="30"/>
    <s v="Mobile Wallet"/>
    <x v="0"/>
    <n v="150"/>
  </r>
  <r>
    <n v="1601"/>
    <x v="2"/>
    <x v="80"/>
    <x v="1"/>
    <x v="3"/>
    <x v="0"/>
    <x v="1"/>
    <n v="2"/>
    <n v="12"/>
    <s v="Cash"/>
    <x v="2"/>
    <n v="24"/>
  </r>
  <r>
    <n v="1225"/>
    <x v="3"/>
    <x v="2"/>
    <x v="2"/>
    <x v="2"/>
    <x v="0"/>
    <x v="1"/>
    <n v="4"/>
    <n v="12"/>
    <s v="Card"/>
    <x v="0"/>
    <n v="48"/>
  </r>
  <r>
    <n v="1398"/>
    <x v="5"/>
    <x v="79"/>
    <x v="1"/>
    <x v="2"/>
    <x v="0"/>
    <x v="2"/>
    <n v="3"/>
    <n v="20"/>
    <s v="Card"/>
    <x v="1"/>
    <n v="60"/>
  </r>
  <r>
    <n v="1164"/>
    <x v="0"/>
    <x v="40"/>
    <x v="2"/>
    <x v="2"/>
    <x v="0"/>
    <x v="0"/>
    <n v="2"/>
    <n v="25"/>
    <s v="Card"/>
    <x v="0"/>
    <n v="50"/>
  </r>
  <r>
    <n v="1379"/>
    <x v="0"/>
    <x v="25"/>
    <x v="1"/>
    <x v="0"/>
    <x v="0"/>
    <x v="1"/>
    <n v="5"/>
    <n v="12"/>
    <s v="Cash"/>
    <x v="0"/>
    <n v="60"/>
  </r>
  <r>
    <n v="622"/>
    <x v="4"/>
    <x v="58"/>
    <x v="1"/>
    <x v="3"/>
    <x v="0"/>
    <x v="2"/>
    <n v="5"/>
    <n v="20"/>
    <s v="Cash"/>
    <x v="2"/>
    <n v="100"/>
  </r>
  <r>
    <n v="985"/>
    <x v="2"/>
    <x v="10"/>
    <x v="2"/>
    <x v="0"/>
    <x v="1"/>
    <x v="0"/>
    <n v="1"/>
    <n v="25"/>
    <s v="Mobile Wallet"/>
    <x v="1"/>
    <n v="25"/>
  </r>
  <r>
    <n v="562"/>
    <x v="7"/>
    <x v="48"/>
    <x v="0"/>
    <x v="5"/>
    <x v="1"/>
    <x v="4"/>
    <n v="3"/>
    <n v="8"/>
    <s v="Cash"/>
    <x v="2"/>
    <n v="24"/>
  </r>
  <r>
    <n v="615"/>
    <x v="0"/>
    <x v="65"/>
    <x v="0"/>
    <x v="5"/>
    <x v="2"/>
    <x v="1"/>
    <n v="3"/>
    <n v="12"/>
    <s v="Mobile Wallet"/>
    <x v="0"/>
    <n v="36"/>
  </r>
  <r>
    <n v="789"/>
    <x v="2"/>
    <x v="60"/>
    <x v="1"/>
    <x v="0"/>
    <x v="2"/>
    <x v="3"/>
    <n v="2"/>
    <n v="30"/>
    <s v="Card"/>
    <x v="0"/>
    <n v="60"/>
  </r>
  <r>
    <n v="1176"/>
    <x v="5"/>
    <x v="68"/>
    <x v="2"/>
    <x v="4"/>
    <x v="2"/>
    <x v="1"/>
    <n v="2"/>
    <n v="12"/>
    <s v="Mobile Wallet"/>
    <x v="1"/>
    <n v="24"/>
  </r>
  <r>
    <n v="1233"/>
    <x v="1"/>
    <x v="50"/>
    <x v="0"/>
    <x v="6"/>
    <x v="0"/>
    <x v="1"/>
    <n v="4"/>
    <n v="12"/>
    <s v="Card"/>
    <x v="1"/>
    <n v="48"/>
  </r>
  <r>
    <n v="1249"/>
    <x v="4"/>
    <x v="48"/>
    <x v="0"/>
    <x v="5"/>
    <x v="0"/>
    <x v="2"/>
    <n v="5"/>
    <n v="20"/>
    <s v="Mobile Wallet"/>
    <x v="3"/>
    <n v="100"/>
  </r>
  <r>
    <n v="58"/>
    <x v="3"/>
    <x v="31"/>
    <x v="2"/>
    <x v="0"/>
    <x v="0"/>
    <x v="1"/>
    <n v="4"/>
    <n v="12"/>
    <s v="Cash"/>
    <x v="2"/>
    <n v="48"/>
  </r>
  <r>
    <n v="513"/>
    <x v="5"/>
    <x v="3"/>
    <x v="0"/>
    <x v="3"/>
    <x v="2"/>
    <x v="1"/>
    <n v="1"/>
    <n v="12"/>
    <s v="Mobile Wallet"/>
    <x v="1"/>
    <n v="12"/>
  </r>
  <r>
    <n v="1290"/>
    <x v="3"/>
    <x v="67"/>
    <x v="2"/>
    <x v="6"/>
    <x v="1"/>
    <x v="1"/>
    <n v="5"/>
    <n v="12"/>
    <s v="Cash"/>
    <x v="2"/>
    <n v="60"/>
  </r>
  <r>
    <n v="1513"/>
    <x v="1"/>
    <x v="27"/>
    <x v="1"/>
    <x v="5"/>
    <x v="3"/>
    <x v="3"/>
    <n v="5"/>
    <n v="30"/>
    <s v="Cash"/>
    <x v="2"/>
    <n v="150"/>
  </r>
  <r>
    <n v="1849"/>
    <x v="3"/>
    <x v="17"/>
    <x v="2"/>
    <x v="5"/>
    <x v="3"/>
    <x v="4"/>
    <n v="2"/>
    <n v="8"/>
    <s v="Card"/>
    <x v="3"/>
    <n v="16"/>
  </r>
  <r>
    <n v="729"/>
    <x v="1"/>
    <x v="24"/>
    <x v="0"/>
    <x v="2"/>
    <x v="0"/>
    <x v="1"/>
    <n v="5"/>
    <n v="12"/>
    <s v="Card"/>
    <x v="1"/>
    <n v="60"/>
  </r>
  <r>
    <n v="624"/>
    <x v="4"/>
    <x v="52"/>
    <x v="2"/>
    <x v="5"/>
    <x v="1"/>
    <x v="3"/>
    <n v="1"/>
    <n v="30"/>
    <s v="Cash"/>
    <x v="0"/>
    <n v="30"/>
  </r>
  <r>
    <n v="1636"/>
    <x v="5"/>
    <x v="28"/>
    <x v="2"/>
    <x v="0"/>
    <x v="1"/>
    <x v="1"/>
    <n v="2"/>
    <n v="12"/>
    <s v="Card"/>
    <x v="1"/>
    <n v="24"/>
  </r>
  <r>
    <n v="180"/>
    <x v="7"/>
    <x v="60"/>
    <x v="1"/>
    <x v="0"/>
    <x v="1"/>
    <x v="0"/>
    <n v="4"/>
    <n v="25"/>
    <s v="Mobile Wallet"/>
    <x v="1"/>
    <n v="100"/>
  </r>
  <r>
    <n v="1015"/>
    <x v="1"/>
    <x v="14"/>
    <x v="1"/>
    <x v="0"/>
    <x v="1"/>
    <x v="0"/>
    <n v="1"/>
    <n v="25"/>
    <s v="Mobile Wallet"/>
    <x v="0"/>
    <n v="25"/>
  </r>
  <r>
    <n v="1966"/>
    <x v="3"/>
    <x v="41"/>
    <x v="2"/>
    <x v="4"/>
    <x v="1"/>
    <x v="4"/>
    <n v="3"/>
    <n v="8"/>
    <s v="Card"/>
    <x v="2"/>
    <n v="24"/>
  </r>
  <r>
    <n v="160"/>
    <x v="6"/>
    <x v="74"/>
    <x v="2"/>
    <x v="1"/>
    <x v="3"/>
    <x v="4"/>
    <n v="5"/>
    <n v="8"/>
    <s v="Mobile Wallet"/>
    <x v="2"/>
    <n v="40"/>
  </r>
  <r>
    <n v="1658"/>
    <x v="7"/>
    <x v="49"/>
    <x v="2"/>
    <x v="1"/>
    <x v="1"/>
    <x v="0"/>
    <n v="3"/>
    <n v="25"/>
    <s v="Cash"/>
    <x v="3"/>
    <n v="75"/>
  </r>
  <r>
    <n v="1642"/>
    <x v="3"/>
    <x v="22"/>
    <x v="2"/>
    <x v="1"/>
    <x v="0"/>
    <x v="3"/>
    <n v="3"/>
    <n v="30"/>
    <s v="Mobile Wallet"/>
    <x v="3"/>
    <n v="90"/>
  </r>
  <r>
    <n v="700"/>
    <x v="7"/>
    <x v="46"/>
    <x v="1"/>
    <x v="3"/>
    <x v="2"/>
    <x v="4"/>
    <n v="1"/>
    <n v="8"/>
    <s v="Card"/>
    <x v="1"/>
    <n v="8"/>
  </r>
  <r>
    <n v="186"/>
    <x v="1"/>
    <x v="0"/>
    <x v="0"/>
    <x v="0"/>
    <x v="0"/>
    <x v="3"/>
    <n v="5"/>
    <n v="30"/>
    <s v="Card"/>
    <x v="0"/>
    <n v="150"/>
  </r>
  <r>
    <n v="1044"/>
    <x v="3"/>
    <x v="29"/>
    <x v="1"/>
    <x v="1"/>
    <x v="0"/>
    <x v="1"/>
    <n v="3"/>
    <n v="12"/>
    <s v="Card"/>
    <x v="2"/>
    <n v="36"/>
  </r>
  <r>
    <n v="1169"/>
    <x v="7"/>
    <x v="59"/>
    <x v="0"/>
    <x v="0"/>
    <x v="0"/>
    <x v="4"/>
    <n v="4"/>
    <n v="8"/>
    <s v="Cash"/>
    <x v="2"/>
    <n v="32"/>
  </r>
  <r>
    <n v="618"/>
    <x v="2"/>
    <x v="75"/>
    <x v="2"/>
    <x v="3"/>
    <x v="0"/>
    <x v="1"/>
    <n v="5"/>
    <n v="12"/>
    <s v="Mobile Wallet"/>
    <x v="1"/>
    <n v="60"/>
  </r>
  <r>
    <n v="629"/>
    <x v="5"/>
    <x v="0"/>
    <x v="0"/>
    <x v="0"/>
    <x v="2"/>
    <x v="1"/>
    <n v="1"/>
    <n v="12"/>
    <s v="Card"/>
    <x v="2"/>
    <n v="12"/>
  </r>
  <r>
    <n v="392"/>
    <x v="7"/>
    <x v="31"/>
    <x v="2"/>
    <x v="0"/>
    <x v="2"/>
    <x v="1"/>
    <n v="4"/>
    <n v="12"/>
    <s v="Mobile Wallet"/>
    <x v="0"/>
    <n v="48"/>
  </r>
  <r>
    <n v="1561"/>
    <x v="7"/>
    <x v="18"/>
    <x v="0"/>
    <x v="0"/>
    <x v="2"/>
    <x v="1"/>
    <n v="3"/>
    <n v="12"/>
    <s v="Mobile Wallet"/>
    <x v="1"/>
    <n v="36"/>
  </r>
  <r>
    <n v="861"/>
    <x v="6"/>
    <x v="29"/>
    <x v="1"/>
    <x v="1"/>
    <x v="0"/>
    <x v="2"/>
    <n v="1"/>
    <n v="20"/>
    <s v="Mobile Wallet"/>
    <x v="3"/>
    <n v="20"/>
  </r>
  <r>
    <n v="1221"/>
    <x v="0"/>
    <x v="48"/>
    <x v="0"/>
    <x v="5"/>
    <x v="0"/>
    <x v="0"/>
    <n v="2"/>
    <n v="25"/>
    <s v="Cash"/>
    <x v="2"/>
    <n v="50"/>
  </r>
  <r>
    <n v="1576"/>
    <x v="0"/>
    <x v="1"/>
    <x v="1"/>
    <x v="1"/>
    <x v="0"/>
    <x v="1"/>
    <n v="5"/>
    <n v="12"/>
    <s v="Mobile Wallet"/>
    <x v="3"/>
    <n v="60"/>
  </r>
  <r>
    <n v="116"/>
    <x v="0"/>
    <x v="33"/>
    <x v="0"/>
    <x v="2"/>
    <x v="0"/>
    <x v="1"/>
    <n v="4"/>
    <n v="12"/>
    <s v="Card"/>
    <x v="2"/>
    <n v="48"/>
  </r>
  <r>
    <n v="1239"/>
    <x v="0"/>
    <x v="9"/>
    <x v="0"/>
    <x v="2"/>
    <x v="0"/>
    <x v="0"/>
    <n v="4"/>
    <n v="25"/>
    <s v="Card"/>
    <x v="0"/>
    <n v="100"/>
  </r>
  <r>
    <n v="1483"/>
    <x v="0"/>
    <x v="72"/>
    <x v="0"/>
    <x v="3"/>
    <x v="0"/>
    <x v="1"/>
    <n v="2"/>
    <n v="12"/>
    <s v="Cash"/>
    <x v="1"/>
    <n v="24"/>
  </r>
  <r>
    <n v="1411"/>
    <x v="0"/>
    <x v="22"/>
    <x v="2"/>
    <x v="1"/>
    <x v="1"/>
    <x v="1"/>
    <n v="3"/>
    <n v="12"/>
    <s v="Cash"/>
    <x v="0"/>
    <n v="36"/>
  </r>
  <r>
    <n v="270"/>
    <x v="0"/>
    <x v="3"/>
    <x v="0"/>
    <x v="3"/>
    <x v="1"/>
    <x v="0"/>
    <n v="3"/>
    <n v="25"/>
    <s v="Cash"/>
    <x v="3"/>
    <n v="75"/>
  </r>
  <r>
    <n v="1145"/>
    <x v="0"/>
    <x v="34"/>
    <x v="1"/>
    <x v="0"/>
    <x v="0"/>
    <x v="1"/>
    <n v="3"/>
    <n v="12"/>
    <s v="Mobile Wallet"/>
    <x v="0"/>
    <n v="36"/>
  </r>
  <r>
    <n v="946"/>
    <x v="0"/>
    <x v="15"/>
    <x v="0"/>
    <x v="4"/>
    <x v="2"/>
    <x v="1"/>
    <n v="3"/>
    <n v="12"/>
    <s v="Card"/>
    <x v="2"/>
    <n v="36"/>
  </r>
  <r>
    <n v="585"/>
    <x v="0"/>
    <x v="37"/>
    <x v="0"/>
    <x v="0"/>
    <x v="0"/>
    <x v="0"/>
    <n v="4"/>
    <n v="25"/>
    <s v="Card"/>
    <x v="2"/>
    <n v="100"/>
  </r>
  <r>
    <n v="261"/>
    <x v="3"/>
    <x v="57"/>
    <x v="1"/>
    <x v="4"/>
    <x v="3"/>
    <x v="4"/>
    <n v="2"/>
    <n v="8"/>
    <s v="Mobile Wallet"/>
    <x v="1"/>
    <n v="16"/>
  </r>
  <r>
    <n v="144"/>
    <x v="2"/>
    <x v="15"/>
    <x v="0"/>
    <x v="4"/>
    <x v="3"/>
    <x v="1"/>
    <n v="5"/>
    <n v="12"/>
    <s v="Card"/>
    <x v="0"/>
    <n v="60"/>
  </r>
  <r>
    <n v="6"/>
    <x v="2"/>
    <x v="6"/>
    <x v="1"/>
    <x v="5"/>
    <x v="0"/>
    <x v="4"/>
    <n v="5"/>
    <n v="8"/>
    <s v="Cash"/>
    <x v="2"/>
    <n v="40"/>
  </r>
  <r>
    <n v="1243"/>
    <x v="5"/>
    <x v="65"/>
    <x v="0"/>
    <x v="5"/>
    <x v="1"/>
    <x v="0"/>
    <n v="3"/>
    <n v="25"/>
    <s v="Card"/>
    <x v="1"/>
    <n v="75"/>
  </r>
  <r>
    <n v="1802"/>
    <x v="1"/>
    <x v="4"/>
    <x v="0"/>
    <x v="1"/>
    <x v="1"/>
    <x v="3"/>
    <n v="4"/>
    <n v="30"/>
    <s v="Mobile Wallet"/>
    <x v="3"/>
    <n v="120"/>
  </r>
  <r>
    <n v="1247"/>
    <x v="0"/>
    <x v="9"/>
    <x v="0"/>
    <x v="2"/>
    <x v="1"/>
    <x v="0"/>
    <n v="4"/>
    <n v="25"/>
    <s v="Mobile Wallet"/>
    <x v="1"/>
    <n v="100"/>
  </r>
  <r>
    <n v="1434"/>
    <x v="6"/>
    <x v="15"/>
    <x v="0"/>
    <x v="4"/>
    <x v="0"/>
    <x v="1"/>
    <n v="5"/>
    <n v="12"/>
    <s v="Mobile Wallet"/>
    <x v="0"/>
    <n v="60"/>
  </r>
  <r>
    <n v="1291"/>
    <x v="3"/>
    <x v="68"/>
    <x v="2"/>
    <x v="4"/>
    <x v="0"/>
    <x v="1"/>
    <n v="1"/>
    <n v="12"/>
    <s v="Card"/>
    <x v="1"/>
    <n v="12"/>
  </r>
  <r>
    <n v="487"/>
    <x v="7"/>
    <x v="34"/>
    <x v="1"/>
    <x v="0"/>
    <x v="2"/>
    <x v="1"/>
    <n v="5"/>
    <n v="12"/>
    <s v="Cash"/>
    <x v="1"/>
    <n v="60"/>
  </r>
  <r>
    <n v="1796"/>
    <x v="4"/>
    <x v="53"/>
    <x v="1"/>
    <x v="6"/>
    <x v="2"/>
    <x v="4"/>
    <n v="2"/>
    <n v="8"/>
    <s v="Cash"/>
    <x v="1"/>
    <n v="16"/>
  </r>
  <r>
    <n v="1865"/>
    <x v="6"/>
    <x v="14"/>
    <x v="1"/>
    <x v="0"/>
    <x v="1"/>
    <x v="1"/>
    <n v="5"/>
    <n v="12"/>
    <s v="Card"/>
    <x v="3"/>
    <n v="60"/>
  </r>
  <r>
    <n v="962"/>
    <x v="3"/>
    <x v="62"/>
    <x v="1"/>
    <x v="6"/>
    <x v="3"/>
    <x v="1"/>
    <n v="2"/>
    <n v="12"/>
    <s v="Card"/>
    <x v="0"/>
    <n v="24"/>
  </r>
  <r>
    <n v="558"/>
    <x v="0"/>
    <x v="59"/>
    <x v="0"/>
    <x v="0"/>
    <x v="0"/>
    <x v="1"/>
    <n v="5"/>
    <n v="12"/>
    <s v="Cash"/>
    <x v="1"/>
    <n v="60"/>
  </r>
  <r>
    <n v="1624"/>
    <x v="6"/>
    <x v="37"/>
    <x v="0"/>
    <x v="0"/>
    <x v="0"/>
    <x v="2"/>
    <n v="5"/>
    <n v="20"/>
    <s v="Card"/>
    <x v="1"/>
    <n v="100"/>
  </r>
  <r>
    <n v="1198"/>
    <x v="7"/>
    <x v="23"/>
    <x v="2"/>
    <x v="0"/>
    <x v="0"/>
    <x v="2"/>
    <n v="5"/>
    <n v="20"/>
    <s v="Mobile Wallet"/>
    <x v="1"/>
    <n v="100"/>
  </r>
  <r>
    <n v="677"/>
    <x v="6"/>
    <x v="48"/>
    <x v="0"/>
    <x v="5"/>
    <x v="0"/>
    <x v="1"/>
    <n v="2"/>
    <n v="12"/>
    <s v="Cash"/>
    <x v="3"/>
    <n v="24"/>
  </r>
  <r>
    <n v="1339"/>
    <x v="0"/>
    <x v="62"/>
    <x v="1"/>
    <x v="6"/>
    <x v="0"/>
    <x v="0"/>
    <n v="2"/>
    <n v="25"/>
    <s v="Card"/>
    <x v="3"/>
    <n v="50"/>
  </r>
  <r>
    <n v="405"/>
    <x v="2"/>
    <x v="0"/>
    <x v="0"/>
    <x v="0"/>
    <x v="0"/>
    <x v="4"/>
    <n v="3"/>
    <n v="8"/>
    <s v="Mobile Wallet"/>
    <x v="1"/>
    <n v="24"/>
  </r>
  <r>
    <n v="1362"/>
    <x v="0"/>
    <x v="52"/>
    <x v="2"/>
    <x v="5"/>
    <x v="0"/>
    <x v="1"/>
    <n v="4"/>
    <n v="12"/>
    <s v="Cash"/>
    <x v="1"/>
    <n v="48"/>
  </r>
  <r>
    <n v="1295"/>
    <x v="6"/>
    <x v="81"/>
    <x v="0"/>
    <x v="6"/>
    <x v="0"/>
    <x v="3"/>
    <n v="3"/>
    <n v="30"/>
    <s v="Cash"/>
    <x v="1"/>
    <n v="90"/>
  </r>
  <r>
    <n v="1416"/>
    <x v="6"/>
    <x v="56"/>
    <x v="0"/>
    <x v="3"/>
    <x v="0"/>
    <x v="0"/>
    <n v="4"/>
    <n v="25"/>
    <s v="Card"/>
    <x v="1"/>
    <n v="100"/>
  </r>
  <r>
    <n v="806"/>
    <x v="6"/>
    <x v="59"/>
    <x v="0"/>
    <x v="0"/>
    <x v="0"/>
    <x v="3"/>
    <n v="4"/>
    <n v="30"/>
    <s v="Card"/>
    <x v="3"/>
    <n v="120"/>
  </r>
  <r>
    <n v="1801"/>
    <x v="6"/>
    <x v="0"/>
    <x v="0"/>
    <x v="0"/>
    <x v="0"/>
    <x v="1"/>
    <n v="2"/>
    <n v="12"/>
    <s v="Card"/>
    <x v="2"/>
    <n v="24"/>
  </r>
  <r>
    <n v="1081"/>
    <x v="7"/>
    <x v="17"/>
    <x v="2"/>
    <x v="5"/>
    <x v="0"/>
    <x v="4"/>
    <n v="2"/>
    <n v="8"/>
    <s v="Card"/>
    <x v="2"/>
    <n v="16"/>
  </r>
  <r>
    <n v="222"/>
    <x v="7"/>
    <x v="12"/>
    <x v="2"/>
    <x v="3"/>
    <x v="0"/>
    <x v="0"/>
    <n v="2"/>
    <n v="25"/>
    <s v="Card"/>
    <x v="0"/>
    <n v="50"/>
  </r>
  <r>
    <n v="1310"/>
    <x v="6"/>
    <x v="10"/>
    <x v="2"/>
    <x v="0"/>
    <x v="0"/>
    <x v="1"/>
    <n v="4"/>
    <n v="12"/>
    <s v="Cash"/>
    <x v="3"/>
    <n v="48"/>
  </r>
  <r>
    <n v="1231"/>
    <x v="6"/>
    <x v="33"/>
    <x v="0"/>
    <x v="2"/>
    <x v="0"/>
    <x v="0"/>
    <n v="4"/>
    <n v="25"/>
    <s v="Cash"/>
    <x v="1"/>
    <n v="100"/>
  </r>
  <r>
    <n v="2000"/>
    <x v="3"/>
    <x v="14"/>
    <x v="1"/>
    <x v="0"/>
    <x v="0"/>
    <x v="1"/>
    <n v="4"/>
    <n v="12"/>
    <s v="Mobile Wallet"/>
    <x v="2"/>
    <n v="48"/>
  </r>
  <r>
    <n v="703"/>
    <x v="3"/>
    <x v="33"/>
    <x v="0"/>
    <x v="2"/>
    <x v="0"/>
    <x v="1"/>
    <n v="4"/>
    <n v="12"/>
    <s v="Cash"/>
    <x v="3"/>
    <n v="48"/>
  </r>
  <r>
    <n v="1524"/>
    <x v="1"/>
    <x v="12"/>
    <x v="2"/>
    <x v="3"/>
    <x v="0"/>
    <x v="1"/>
    <n v="5"/>
    <n v="12"/>
    <s v="Card"/>
    <x v="1"/>
    <n v="60"/>
  </r>
  <r>
    <n v="998"/>
    <x v="6"/>
    <x v="17"/>
    <x v="2"/>
    <x v="5"/>
    <x v="0"/>
    <x v="1"/>
    <n v="5"/>
    <n v="12"/>
    <s v="Mobile Wallet"/>
    <x v="0"/>
    <n v="60"/>
  </r>
  <r>
    <n v="420"/>
    <x v="0"/>
    <x v="74"/>
    <x v="2"/>
    <x v="1"/>
    <x v="0"/>
    <x v="1"/>
    <n v="1"/>
    <n v="12"/>
    <s v="Cash"/>
    <x v="3"/>
    <n v="12"/>
  </r>
  <r>
    <n v="742"/>
    <x v="0"/>
    <x v="57"/>
    <x v="1"/>
    <x v="4"/>
    <x v="0"/>
    <x v="1"/>
    <n v="2"/>
    <n v="12"/>
    <s v="Mobile Wallet"/>
    <x v="1"/>
    <n v="24"/>
  </r>
  <r>
    <n v="458"/>
    <x v="2"/>
    <x v="55"/>
    <x v="1"/>
    <x v="2"/>
    <x v="0"/>
    <x v="0"/>
    <n v="2"/>
    <n v="25"/>
    <s v="Cash"/>
    <x v="3"/>
    <n v="50"/>
  </r>
  <r>
    <n v="1553"/>
    <x v="5"/>
    <x v="83"/>
    <x v="0"/>
    <x v="5"/>
    <x v="0"/>
    <x v="0"/>
    <n v="4"/>
    <n v="25"/>
    <s v="Card"/>
    <x v="3"/>
    <n v="100"/>
  </r>
  <r>
    <n v="911"/>
    <x v="7"/>
    <x v="64"/>
    <x v="1"/>
    <x v="1"/>
    <x v="0"/>
    <x v="1"/>
    <n v="1"/>
    <n v="12"/>
    <s v="Card"/>
    <x v="3"/>
    <n v="12"/>
  </r>
  <r>
    <n v="284"/>
    <x v="5"/>
    <x v="8"/>
    <x v="0"/>
    <x v="2"/>
    <x v="0"/>
    <x v="1"/>
    <n v="1"/>
    <n v="12"/>
    <s v="Card"/>
    <x v="0"/>
    <n v="12"/>
  </r>
  <r>
    <n v="334"/>
    <x v="7"/>
    <x v="10"/>
    <x v="2"/>
    <x v="0"/>
    <x v="0"/>
    <x v="4"/>
    <n v="3"/>
    <n v="8"/>
    <s v="Mobile Wallet"/>
    <x v="3"/>
    <n v="24"/>
  </r>
  <r>
    <n v="502"/>
    <x v="1"/>
    <x v="0"/>
    <x v="0"/>
    <x v="0"/>
    <x v="0"/>
    <x v="4"/>
    <n v="3"/>
    <n v="8"/>
    <s v="Card"/>
    <x v="2"/>
    <n v="24"/>
  </r>
  <r>
    <n v="1711"/>
    <x v="1"/>
    <x v="77"/>
    <x v="2"/>
    <x v="4"/>
    <x v="0"/>
    <x v="1"/>
    <n v="2"/>
    <n v="12"/>
    <s v="Cash"/>
    <x v="3"/>
    <n v="24"/>
  </r>
  <r>
    <n v="1030"/>
    <x v="1"/>
    <x v="91"/>
    <x v="1"/>
    <x v="5"/>
    <x v="0"/>
    <x v="0"/>
    <n v="5"/>
    <n v="25"/>
    <s v="Card"/>
    <x v="3"/>
    <n v="125"/>
  </r>
  <r>
    <n v="1012"/>
    <x v="1"/>
    <x v="0"/>
    <x v="0"/>
    <x v="0"/>
    <x v="0"/>
    <x v="1"/>
    <n v="4"/>
    <n v="12"/>
    <s v="Mobile Wallet"/>
    <x v="2"/>
    <n v="48"/>
  </r>
  <r>
    <n v="812"/>
    <x v="7"/>
    <x v="30"/>
    <x v="1"/>
    <x v="2"/>
    <x v="0"/>
    <x v="0"/>
    <n v="4"/>
    <n v="25"/>
    <s v="Card"/>
    <x v="2"/>
    <n v="100"/>
  </r>
  <r>
    <n v="1676"/>
    <x v="1"/>
    <x v="0"/>
    <x v="0"/>
    <x v="0"/>
    <x v="0"/>
    <x v="1"/>
    <n v="1"/>
    <n v="12"/>
    <s v="Mobile Wallet"/>
    <x v="3"/>
    <n v="12"/>
  </r>
  <r>
    <n v="1272"/>
    <x v="0"/>
    <x v="17"/>
    <x v="2"/>
    <x v="5"/>
    <x v="0"/>
    <x v="1"/>
    <n v="2"/>
    <n v="12"/>
    <s v="Card"/>
    <x v="1"/>
    <n v="24"/>
  </r>
  <r>
    <n v="1804"/>
    <x v="2"/>
    <x v="45"/>
    <x v="2"/>
    <x v="3"/>
    <x v="0"/>
    <x v="3"/>
    <n v="5"/>
    <n v="30"/>
    <s v="Cash"/>
    <x v="1"/>
    <n v="150"/>
  </r>
  <r>
    <n v="1408"/>
    <x v="1"/>
    <x v="18"/>
    <x v="0"/>
    <x v="0"/>
    <x v="0"/>
    <x v="3"/>
    <n v="5"/>
    <n v="30"/>
    <s v="Cash"/>
    <x v="1"/>
    <n v="150"/>
  </r>
  <r>
    <n v="1627"/>
    <x v="3"/>
    <x v="91"/>
    <x v="1"/>
    <x v="5"/>
    <x v="0"/>
    <x v="1"/>
    <n v="4"/>
    <n v="12"/>
    <s v="Card"/>
    <x v="1"/>
    <n v="48"/>
  </r>
  <r>
    <n v="573"/>
    <x v="3"/>
    <x v="7"/>
    <x v="1"/>
    <x v="3"/>
    <x v="0"/>
    <x v="1"/>
    <n v="4"/>
    <n v="12"/>
    <s v="Cash"/>
    <x v="1"/>
    <n v="48"/>
  </r>
  <r>
    <n v="1805"/>
    <x v="1"/>
    <x v="31"/>
    <x v="2"/>
    <x v="0"/>
    <x v="0"/>
    <x v="1"/>
    <n v="2"/>
    <n v="12"/>
    <s v="Mobile Wallet"/>
    <x v="1"/>
    <n v="24"/>
  </r>
  <r>
    <n v="527"/>
    <x v="7"/>
    <x v="53"/>
    <x v="1"/>
    <x v="6"/>
    <x v="0"/>
    <x v="1"/>
    <n v="3"/>
    <n v="12"/>
    <s v="Cash"/>
    <x v="1"/>
    <n v="36"/>
  </r>
  <r>
    <n v="302"/>
    <x v="3"/>
    <x v="76"/>
    <x v="2"/>
    <x v="3"/>
    <x v="0"/>
    <x v="0"/>
    <n v="1"/>
    <n v="25"/>
    <s v="Card"/>
    <x v="0"/>
    <n v="25"/>
  </r>
  <r>
    <n v="1647"/>
    <x v="5"/>
    <x v="19"/>
    <x v="2"/>
    <x v="6"/>
    <x v="0"/>
    <x v="1"/>
    <n v="1"/>
    <n v="12"/>
    <s v="Card"/>
    <x v="2"/>
    <n v="12"/>
  </r>
  <r>
    <n v="1955"/>
    <x v="7"/>
    <x v="32"/>
    <x v="2"/>
    <x v="5"/>
    <x v="0"/>
    <x v="1"/>
    <n v="5"/>
    <n v="12"/>
    <s v="Card"/>
    <x v="3"/>
    <n v="60"/>
  </r>
  <r>
    <n v="725"/>
    <x v="3"/>
    <x v="59"/>
    <x v="0"/>
    <x v="0"/>
    <x v="0"/>
    <x v="1"/>
    <n v="5"/>
    <n v="12"/>
    <s v="Card"/>
    <x v="3"/>
    <n v="60"/>
  </r>
  <r>
    <n v="1450"/>
    <x v="6"/>
    <x v="36"/>
    <x v="2"/>
    <x v="2"/>
    <x v="0"/>
    <x v="1"/>
    <n v="4"/>
    <n v="12"/>
    <s v="Mobile Wallet"/>
    <x v="3"/>
    <n v="48"/>
  </r>
  <r>
    <n v="1421"/>
    <x v="3"/>
    <x v="0"/>
    <x v="0"/>
    <x v="0"/>
    <x v="0"/>
    <x v="4"/>
    <n v="2"/>
    <n v="8"/>
    <s v="Card"/>
    <x v="0"/>
    <n v="16"/>
  </r>
  <r>
    <n v="43"/>
    <x v="4"/>
    <x v="28"/>
    <x v="2"/>
    <x v="0"/>
    <x v="0"/>
    <x v="0"/>
    <n v="5"/>
    <n v="25"/>
    <s v="Mobile Wallet"/>
    <x v="3"/>
    <n v="125"/>
  </r>
  <r>
    <n v="1947"/>
    <x v="3"/>
    <x v="91"/>
    <x v="1"/>
    <x v="5"/>
    <x v="0"/>
    <x v="4"/>
    <n v="3"/>
    <n v="8"/>
    <s v="Cash"/>
    <x v="0"/>
    <n v="24"/>
  </r>
  <r>
    <n v="1803"/>
    <x v="7"/>
    <x v="28"/>
    <x v="2"/>
    <x v="0"/>
    <x v="0"/>
    <x v="2"/>
    <n v="2"/>
    <n v="20"/>
    <s v="Card"/>
    <x v="3"/>
    <n v="40"/>
  </r>
  <r>
    <n v="71"/>
    <x v="4"/>
    <x v="42"/>
    <x v="0"/>
    <x v="2"/>
    <x v="0"/>
    <x v="4"/>
    <n v="2"/>
    <n v="8"/>
    <s v="Mobile Wallet"/>
    <x v="0"/>
    <n v="16"/>
  </r>
  <r>
    <n v="1040"/>
    <x v="7"/>
    <x v="21"/>
    <x v="1"/>
    <x v="6"/>
    <x v="0"/>
    <x v="0"/>
    <n v="1"/>
    <n v="25"/>
    <s v="Mobile Wallet"/>
    <x v="3"/>
    <n v="25"/>
  </r>
  <r>
    <n v="456"/>
    <x v="7"/>
    <x v="0"/>
    <x v="0"/>
    <x v="0"/>
    <x v="0"/>
    <x v="1"/>
    <n v="1"/>
    <n v="12"/>
    <s v="Card"/>
    <x v="2"/>
    <n v="12"/>
  </r>
  <r>
    <n v="843"/>
    <x v="3"/>
    <x v="2"/>
    <x v="2"/>
    <x v="2"/>
    <x v="0"/>
    <x v="3"/>
    <n v="4"/>
    <n v="30"/>
    <s v="Mobile Wallet"/>
    <x v="0"/>
    <n v="120"/>
  </r>
  <r>
    <n v="200"/>
    <x v="7"/>
    <x v="15"/>
    <x v="0"/>
    <x v="4"/>
    <x v="0"/>
    <x v="1"/>
    <n v="3"/>
    <n v="12"/>
    <s v="Card"/>
    <x v="0"/>
    <n v="36"/>
  </r>
  <r>
    <n v="1840"/>
    <x v="3"/>
    <x v="15"/>
    <x v="0"/>
    <x v="4"/>
    <x v="0"/>
    <x v="4"/>
    <n v="4"/>
    <n v="8"/>
    <s v="Mobile Wallet"/>
    <x v="1"/>
    <n v="32"/>
  </r>
  <r>
    <n v="1060"/>
    <x v="6"/>
    <x v="24"/>
    <x v="0"/>
    <x v="2"/>
    <x v="0"/>
    <x v="3"/>
    <n v="5"/>
    <n v="30"/>
    <s v="Cash"/>
    <x v="2"/>
    <n v="150"/>
  </r>
  <r>
    <n v="188"/>
    <x v="5"/>
    <x v="8"/>
    <x v="0"/>
    <x v="2"/>
    <x v="0"/>
    <x v="4"/>
    <n v="4"/>
    <n v="8"/>
    <s v="Mobile Wallet"/>
    <x v="2"/>
    <n v="32"/>
  </r>
  <r>
    <n v="769"/>
    <x v="6"/>
    <x v="79"/>
    <x v="1"/>
    <x v="2"/>
    <x v="0"/>
    <x v="0"/>
    <n v="1"/>
    <n v="25"/>
    <s v="Card"/>
    <x v="3"/>
    <n v="25"/>
  </r>
  <r>
    <n v="1337"/>
    <x v="7"/>
    <x v="48"/>
    <x v="0"/>
    <x v="5"/>
    <x v="0"/>
    <x v="3"/>
    <n v="2"/>
    <n v="30"/>
    <s v="Card"/>
    <x v="3"/>
    <n v="60"/>
  </r>
  <r>
    <n v="1889"/>
    <x v="5"/>
    <x v="11"/>
    <x v="1"/>
    <x v="4"/>
    <x v="0"/>
    <x v="0"/>
    <n v="3"/>
    <n v="25"/>
    <s v="Mobile Wallet"/>
    <x v="0"/>
    <n v="75"/>
  </r>
  <r>
    <n v="1454"/>
    <x v="7"/>
    <x v="79"/>
    <x v="1"/>
    <x v="2"/>
    <x v="0"/>
    <x v="1"/>
    <n v="5"/>
    <n v="12"/>
    <s v="Mobile Wallet"/>
    <x v="1"/>
    <n v="60"/>
  </r>
  <r>
    <n v="524"/>
    <x v="5"/>
    <x v="52"/>
    <x v="2"/>
    <x v="5"/>
    <x v="0"/>
    <x v="1"/>
    <n v="4"/>
    <n v="12"/>
    <s v="Cash"/>
    <x v="1"/>
    <n v="48"/>
  </r>
  <r>
    <n v="684"/>
    <x v="6"/>
    <x v="48"/>
    <x v="0"/>
    <x v="5"/>
    <x v="0"/>
    <x v="1"/>
    <n v="3"/>
    <n v="12"/>
    <s v="Card"/>
    <x v="2"/>
    <n v="36"/>
  </r>
  <r>
    <n v="1632"/>
    <x v="7"/>
    <x v="88"/>
    <x v="0"/>
    <x v="6"/>
    <x v="0"/>
    <x v="1"/>
    <n v="5"/>
    <n v="12"/>
    <s v="Mobile Wallet"/>
    <x v="2"/>
    <n v="60"/>
  </r>
  <r>
    <n v="286"/>
    <x v="7"/>
    <x v="78"/>
    <x v="2"/>
    <x v="4"/>
    <x v="0"/>
    <x v="1"/>
    <n v="3"/>
    <n v="12"/>
    <s v="Cash"/>
    <x v="0"/>
    <n v="36"/>
  </r>
  <r>
    <n v="1424"/>
    <x v="5"/>
    <x v="17"/>
    <x v="2"/>
    <x v="5"/>
    <x v="0"/>
    <x v="1"/>
    <n v="4"/>
    <n v="12"/>
    <s v="Cash"/>
    <x v="0"/>
    <n v="48"/>
  </r>
  <r>
    <n v="1685"/>
    <x v="5"/>
    <x v="77"/>
    <x v="2"/>
    <x v="4"/>
    <x v="0"/>
    <x v="4"/>
    <n v="3"/>
    <n v="8"/>
    <s v="Mobile Wallet"/>
    <x v="0"/>
    <n v="24"/>
  </r>
  <r>
    <n v="1311"/>
    <x v="7"/>
    <x v="50"/>
    <x v="0"/>
    <x v="6"/>
    <x v="0"/>
    <x v="4"/>
    <n v="5"/>
    <n v="8"/>
    <s v="Cash"/>
    <x v="1"/>
    <n v="40"/>
  </r>
  <r>
    <n v="1270"/>
    <x v="4"/>
    <x v="75"/>
    <x v="2"/>
    <x v="3"/>
    <x v="0"/>
    <x v="4"/>
    <n v="5"/>
    <n v="8"/>
    <s v="Mobile Wallet"/>
    <x v="0"/>
    <n v="40"/>
  </r>
  <r>
    <n v="1473"/>
    <x v="3"/>
    <x v="59"/>
    <x v="0"/>
    <x v="0"/>
    <x v="0"/>
    <x v="0"/>
    <n v="1"/>
    <n v="25"/>
    <s v="Cash"/>
    <x v="0"/>
    <n v="25"/>
  </r>
  <r>
    <n v="1958"/>
    <x v="7"/>
    <x v="89"/>
    <x v="1"/>
    <x v="5"/>
    <x v="0"/>
    <x v="1"/>
    <n v="3"/>
    <n v="12"/>
    <s v="Card"/>
    <x v="2"/>
    <n v="36"/>
  </r>
  <r>
    <n v="545"/>
    <x v="3"/>
    <x v="28"/>
    <x v="2"/>
    <x v="0"/>
    <x v="0"/>
    <x v="1"/>
    <n v="2"/>
    <n v="12"/>
    <s v="Card"/>
    <x v="1"/>
    <n v="24"/>
  </r>
  <r>
    <n v="807"/>
    <x v="2"/>
    <x v="64"/>
    <x v="1"/>
    <x v="1"/>
    <x v="0"/>
    <x v="4"/>
    <n v="3"/>
    <n v="8"/>
    <s v="Cash"/>
    <x v="0"/>
    <n v="24"/>
  </r>
  <r>
    <n v="117"/>
    <x v="3"/>
    <x v="31"/>
    <x v="2"/>
    <x v="0"/>
    <x v="0"/>
    <x v="1"/>
    <n v="2"/>
    <n v="12"/>
    <s v="Card"/>
    <x v="1"/>
    <n v="24"/>
  </r>
  <r>
    <n v="560"/>
    <x v="0"/>
    <x v="85"/>
    <x v="2"/>
    <x v="6"/>
    <x v="0"/>
    <x v="0"/>
    <n v="1"/>
    <n v="25"/>
    <s v="Card"/>
    <x v="2"/>
    <n v="25"/>
  </r>
  <r>
    <n v="1644"/>
    <x v="4"/>
    <x v="56"/>
    <x v="0"/>
    <x v="3"/>
    <x v="0"/>
    <x v="1"/>
    <n v="4"/>
    <n v="12"/>
    <s v="Cash"/>
    <x v="2"/>
    <n v="48"/>
  </r>
  <r>
    <n v="1282"/>
    <x v="5"/>
    <x v="71"/>
    <x v="1"/>
    <x v="2"/>
    <x v="0"/>
    <x v="1"/>
    <n v="3"/>
    <n v="12"/>
    <s v="Cash"/>
    <x v="3"/>
    <n v="36"/>
  </r>
  <r>
    <n v="1057"/>
    <x v="2"/>
    <x v="66"/>
    <x v="0"/>
    <x v="1"/>
    <x v="0"/>
    <x v="0"/>
    <n v="2"/>
    <n v="25"/>
    <s v="Mobile Wallet"/>
    <x v="2"/>
    <n v="50"/>
  </r>
  <r>
    <n v="364"/>
    <x v="4"/>
    <x v="37"/>
    <x v="0"/>
    <x v="0"/>
    <x v="0"/>
    <x v="1"/>
    <n v="2"/>
    <n v="12"/>
    <s v="Mobile Wallet"/>
    <x v="2"/>
    <n v="24"/>
  </r>
  <r>
    <n v="738"/>
    <x v="1"/>
    <x v="71"/>
    <x v="1"/>
    <x v="2"/>
    <x v="0"/>
    <x v="0"/>
    <n v="2"/>
    <n v="25"/>
    <s v="Card"/>
    <x v="3"/>
    <n v="50"/>
  </r>
  <r>
    <n v="613"/>
    <x v="6"/>
    <x v="77"/>
    <x v="2"/>
    <x v="4"/>
    <x v="0"/>
    <x v="1"/>
    <n v="4"/>
    <n v="12"/>
    <s v="Card"/>
    <x v="2"/>
    <n v="48"/>
  </r>
  <r>
    <n v="424"/>
    <x v="7"/>
    <x v="53"/>
    <x v="1"/>
    <x v="6"/>
    <x v="0"/>
    <x v="1"/>
    <n v="4"/>
    <n v="12"/>
    <s v="Mobile Wallet"/>
    <x v="0"/>
    <n v="48"/>
  </r>
  <r>
    <n v="1507"/>
    <x v="2"/>
    <x v="28"/>
    <x v="2"/>
    <x v="0"/>
    <x v="0"/>
    <x v="3"/>
    <n v="4"/>
    <n v="30"/>
    <s v="Card"/>
    <x v="0"/>
    <n v="120"/>
  </r>
  <r>
    <n v="1842"/>
    <x v="0"/>
    <x v="22"/>
    <x v="2"/>
    <x v="1"/>
    <x v="0"/>
    <x v="1"/>
    <n v="3"/>
    <n v="12"/>
    <s v="Cash"/>
    <x v="2"/>
    <n v="36"/>
  </r>
  <r>
    <n v="335"/>
    <x v="0"/>
    <x v="51"/>
    <x v="0"/>
    <x v="1"/>
    <x v="0"/>
    <x v="1"/>
    <n v="5"/>
    <n v="12"/>
    <s v="Card"/>
    <x v="1"/>
    <n v="60"/>
  </r>
  <r>
    <n v="704"/>
    <x v="2"/>
    <x v="2"/>
    <x v="2"/>
    <x v="2"/>
    <x v="0"/>
    <x v="1"/>
    <n v="5"/>
    <n v="12"/>
    <s v="Cash"/>
    <x v="2"/>
    <n v="60"/>
  </r>
  <r>
    <n v="603"/>
    <x v="6"/>
    <x v="72"/>
    <x v="0"/>
    <x v="3"/>
    <x v="0"/>
    <x v="4"/>
    <n v="5"/>
    <n v="8"/>
    <s v="Cash"/>
    <x v="2"/>
    <n v="40"/>
  </r>
  <r>
    <n v="1783"/>
    <x v="2"/>
    <x v="78"/>
    <x v="2"/>
    <x v="4"/>
    <x v="0"/>
    <x v="1"/>
    <n v="4"/>
    <n v="12"/>
    <s v="Card"/>
    <x v="1"/>
    <n v="48"/>
  </r>
  <r>
    <n v="1309"/>
    <x v="3"/>
    <x v="30"/>
    <x v="1"/>
    <x v="2"/>
    <x v="0"/>
    <x v="1"/>
    <n v="3"/>
    <n v="12"/>
    <s v="Card"/>
    <x v="3"/>
    <n v="36"/>
  </r>
  <r>
    <n v="214"/>
    <x v="5"/>
    <x v="31"/>
    <x v="2"/>
    <x v="0"/>
    <x v="0"/>
    <x v="3"/>
    <n v="3"/>
    <n v="30"/>
    <s v="Card"/>
    <x v="2"/>
    <n v="90"/>
  </r>
  <r>
    <n v="481"/>
    <x v="6"/>
    <x v="0"/>
    <x v="0"/>
    <x v="0"/>
    <x v="0"/>
    <x v="1"/>
    <n v="2"/>
    <n v="12"/>
    <s v="Card"/>
    <x v="2"/>
    <n v="24"/>
  </r>
  <r>
    <n v="102"/>
    <x v="4"/>
    <x v="24"/>
    <x v="0"/>
    <x v="2"/>
    <x v="0"/>
    <x v="0"/>
    <n v="4"/>
    <n v="25"/>
    <s v="Cash"/>
    <x v="3"/>
    <n v="100"/>
  </r>
  <r>
    <n v="598"/>
    <x v="5"/>
    <x v="36"/>
    <x v="2"/>
    <x v="2"/>
    <x v="0"/>
    <x v="1"/>
    <n v="3"/>
    <n v="12"/>
    <s v="Mobile Wallet"/>
    <x v="0"/>
    <n v="36"/>
  </r>
  <r>
    <n v="1574"/>
    <x v="0"/>
    <x v="18"/>
    <x v="0"/>
    <x v="0"/>
    <x v="0"/>
    <x v="3"/>
    <n v="4"/>
    <n v="30"/>
    <s v="Card"/>
    <x v="2"/>
    <n v="120"/>
  </r>
  <r>
    <n v="233"/>
    <x v="6"/>
    <x v="33"/>
    <x v="0"/>
    <x v="2"/>
    <x v="0"/>
    <x v="3"/>
    <n v="4"/>
    <n v="30"/>
    <s v="Card"/>
    <x v="1"/>
    <n v="120"/>
  </r>
  <r>
    <n v="1183"/>
    <x v="2"/>
    <x v="50"/>
    <x v="0"/>
    <x v="6"/>
    <x v="0"/>
    <x v="1"/>
    <n v="1"/>
    <n v="12"/>
    <s v="Cash"/>
    <x v="1"/>
    <n v="12"/>
  </r>
  <r>
    <n v="1709"/>
    <x v="2"/>
    <x v="56"/>
    <x v="0"/>
    <x v="3"/>
    <x v="0"/>
    <x v="1"/>
    <n v="3"/>
    <n v="12"/>
    <s v="Mobile Wallet"/>
    <x v="1"/>
    <n v="36"/>
  </r>
  <r>
    <n v="1659"/>
    <x v="3"/>
    <x v="55"/>
    <x v="1"/>
    <x v="2"/>
    <x v="0"/>
    <x v="0"/>
    <n v="2"/>
    <n v="25"/>
    <s v="Cash"/>
    <x v="1"/>
    <n v="50"/>
  </r>
  <r>
    <n v="1128"/>
    <x v="4"/>
    <x v="9"/>
    <x v="0"/>
    <x v="2"/>
    <x v="0"/>
    <x v="1"/>
    <n v="2"/>
    <n v="12"/>
    <s v="Cash"/>
    <x v="1"/>
    <n v="24"/>
  </r>
  <r>
    <n v="748"/>
    <x v="5"/>
    <x v="61"/>
    <x v="1"/>
    <x v="6"/>
    <x v="0"/>
    <x v="1"/>
    <n v="1"/>
    <n v="12"/>
    <s v="Cash"/>
    <x v="1"/>
    <n v="12"/>
  </r>
  <r>
    <n v="1653"/>
    <x v="4"/>
    <x v="5"/>
    <x v="1"/>
    <x v="4"/>
    <x v="0"/>
    <x v="2"/>
    <n v="5"/>
    <n v="20"/>
    <s v="Mobile Wallet"/>
    <x v="1"/>
    <n v="100"/>
  </r>
  <r>
    <n v="1914"/>
    <x v="0"/>
    <x v="42"/>
    <x v="0"/>
    <x v="2"/>
    <x v="0"/>
    <x v="3"/>
    <n v="1"/>
    <n v="30"/>
    <s v="Card"/>
    <x v="1"/>
    <n v="30"/>
  </r>
  <r>
    <n v="907"/>
    <x v="4"/>
    <x v="24"/>
    <x v="0"/>
    <x v="2"/>
    <x v="0"/>
    <x v="3"/>
    <n v="5"/>
    <n v="30"/>
    <s v="Cash"/>
    <x v="1"/>
    <n v="150"/>
  </r>
  <r>
    <n v="1638"/>
    <x v="1"/>
    <x v="35"/>
    <x v="0"/>
    <x v="5"/>
    <x v="0"/>
    <x v="1"/>
    <n v="2"/>
    <n v="12"/>
    <s v="Cash"/>
    <x v="1"/>
    <n v="24"/>
  </r>
  <r>
    <n v="1366"/>
    <x v="0"/>
    <x v="10"/>
    <x v="2"/>
    <x v="0"/>
    <x v="0"/>
    <x v="0"/>
    <n v="2"/>
    <n v="25"/>
    <s v="Mobile Wallet"/>
    <x v="1"/>
    <n v="50"/>
  </r>
  <r>
    <n v="1665"/>
    <x v="7"/>
    <x v="33"/>
    <x v="0"/>
    <x v="2"/>
    <x v="0"/>
    <x v="0"/>
    <n v="5"/>
    <n v="25"/>
    <s v="Mobile Wallet"/>
    <x v="1"/>
    <n v="125"/>
  </r>
  <r>
    <n v="1419"/>
    <x v="1"/>
    <x v="28"/>
    <x v="2"/>
    <x v="0"/>
    <x v="0"/>
    <x v="1"/>
    <n v="4"/>
    <n v="12"/>
    <s v="Card"/>
    <x v="1"/>
    <n v="48"/>
  </r>
  <r>
    <n v="130"/>
    <x v="6"/>
    <x v="8"/>
    <x v="0"/>
    <x v="2"/>
    <x v="0"/>
    <x v="1"/>
    <n v="2"/>
    <n v="12"/>
    <s v="Cash"/>
    <x v="1"/>
    <n v="24"/>
  </r>
  <r>
    <n v="1606"/>
    <x v="5"/>
    <x v="29"/>
    <x v="1"/>
    <x v="1"/>
    <x v="0"/>
    <x v="1"/>
    <n v="2"/>
    <n v="12"/>
    <s v="Card"/>
    <x v="1"/>
    <n v="24"/>
  </r>
  <r>
    <n v="296"/>
    <x v="6"/>
    <x v="66"/>
    <x v="0"/>
    <x v="1"/>
    <x v="0"/>
    <x v="1"/>
    <n v="3"/>
    <n v="12"/>
    <s v="Card"/>
    <x v="1"/>
    <n v="36"/>
  </r>
  <r>
    <n v="1357"/>
    <x v="6"/>
    <x v="63"/>
    <x v="1"/>
    <x v="5"/>
    <x v="0"/>
    <x v="4"/>
    <n v="2"/>
    <n v="8"/>
    <s v="Cash"/>
    <x v="1"/>
    <n v="16"/>
  </r>
  <r>
    <n v="1149"/>
    <x v="7"/>
    <x v="26"/>
    <x v="2"/>
    <x v="2"/>
    <x v="0"/>
    <x v="4"/>
    <n v="3"/>
    <n v="8"/>
    <s v="Mobile Wallet"/>
    <x v="1"/>
    <n v="24"/>
  </r>
  <r>
    <n v="1389"/>
    <x v="5"/>
    <x v="55"/>
    <x v="1"/>
    <x v="2"/>
    <x v="0"/>
    <x v="1"/>
    <n v="5"/>
    <n v="12"/>
    <s v="Cash"/>
    <x v="1"/>
    <n v="60"/>
  </r>
  <r>
    <n v="1008"/>
    <x v="1"/>
    <x v="56"/>
    <x v="0"/>
    <x v="3"/>
    <x v="0"/>
    <x v="1"/>
    <n v="5"/>
    <n v="12"/>
    <s v="Mobile Wallet"/>
    <x v="1"/>
    <n v="60"/>
  </r>
  <r>
    <n v="551"/>
    <x v="3"/>
    <x v="14"/>
    <x v="1"/>
    <x v="0"/>
    <x v="0"/>
    <x v="1"/>
    <n v="2"/>
    <n v="12"/>
    <s v="Card"/>
    <x v="1"/>
    <n v="24"/>
  </r>
  <r>
    <n v="1241"/>
    <x v="1"/>
    <x v="5"/>
    <x v="1"/>
    <x v="4"/>
    <x v="0"/>
    <x v="1"/>
    <n v="4"/>
    <n v="12"/>
    <s v="Cash"/>
    <x v="1"/>
    <n v="48"/>
  </r>
  <r>
    <n v="534"/>
    <x v="3"/>
    <x v="15"/>
    <x v="0"/>
    <x v="4"/>
    <x v="0"/>
    <x v="1"/>
    <n v="1"/>
    <n v="12"/>
    <s v="Mobile Wallet"/>
    <x v="1"/>
    <n v="12"/>
  </r>
  <r>
    <n v="1712"/>
    <x v="3"/>
    <x v="23"/>
    <x v="2"/>
    <x v="0"/>
    <x v="0"/>
    <x v="4"/>
    <n v="2"/>
    <n v="8"/>
    <s v="Mobile Wallet"/>
    <x v="1"/>
    <n v="16"/>
  </r>
  <r>
    <n v="1825"/>
    <x v="1"/>
    <x v="85"/>
    <x v="2"/>
    <x v="6"/>
    <x v="0"/>
    <x v="1"/>
    <n v="3"/>
    <n v="12"/>
    <s v="Mobile Wallet"/>
    <x v="1"/>
    <n v="36"/>
  </r>
  <r>
    <n v="28"/>
    <x v="4"/>
    <x v="2"/>
    <x v="2"/>
    <x v="2"/>
    <x v="0"/>
    <x v="3"/>
    <n v="1"/>
    <n v="30"/>
    <s v="Cash"/>
    <x v="1"/>
    <n v="30"/>
  </r>
  <r>
    <n v="306"/>
    <x v="1"/>
    <x v="70"/>
    <x v="0"/>
    <x v="6"/>
    <x v="0"/>
    <x v="1"/>
    <n v="4"/>
    <n v="12"/>
    <s v="Cash"/>
    <x v="1"/>
    <n v="48"/>
  </r>
  <r>
    <n v="1226"/>
    <x v="0"/>
    <x v="16"/>
    <x v="0"/>
    <x v="0"/>
    <x v="0"/>
    <x v="2"/>
    <n v="2"/>
    <n v="20"/>
    <s v="Card"/>
    <x v="1"/>
    <n v="40"/>
  </r>
  <r>
    <n v="1076"/>
    <x v="1"/>
    <x v="54"/>
    <x v="1"/>
    <x v="3"/>
    <x v="0"/>
    <x v="2"/>
    <n v="4"/>
    <n v="20"/>
    <s v="Mobile Wallet"/>
    <x v="1"/>
    <n v="80"/>
  </r>
  <r>
    <n v="904"/>
    <x v="5"/>
    <x v="0"/>
    <x v="0"/>
    <x v="0"/>
    <x v="0"/>
    <x v="1"/>
    <n v="3"/>
    <n v="12"/>
    <s v="Card"/>
    <x v="1"/>
    <n v="36"/>
  </r>
  <r>
    <n v="1846"/>
    <x v="5"/>
    <x v="9"/>
    <x v="0"/>
    <x v="2"/>
    <x v="0"/>
    <x v="4"/>
    <n v="3"/>
    <n v="8"/>
    <s v="Cash"/>
    <x v="1"/>
    <n v="24"/>
  </r>
  <r>
    <n v="20"/>
    <x v="7"/>
    <x v="36"/>
    <x v="2"/>
    <x v="2"/>
    <x v="0"/>
    <x v="4"/>
    <n v="4"/>
    <n v="8"/>
    <s v="Card"/>
    <x v="1"/>
    <n v="32"/>
  </r>
  <r>
    <n v="961"/>
    <x v="3"/>
    <x v="3"/>
    <x v="0"/>
    <x v="3"/>
    <x v="0"/>
    <x v="1"/>
    <n v="4"/>
    <n v="12"/>
    <s v="Cash"/>
    <x v="1"/>
    <n v="48"/>
  </r>
  <r>
    <n v="1429"/>
    <x v="0"/>
    <x v="66"/>
    <x v="0"/>
    <x v="1"/>
    <x v="0"/>
    <x v="2"/>
    <n v="4"/>
    <n v="20"/>
    <s v="Mobile Wallet"/>
    <x v="1"/>
    <n v="80"/>
  </r>
  <r>
    <n v="1150"/>
    <x v="3"/>
    <x v="1"/>
    <x v="1"/>
    <x v="1"/>
    <x v="0"/>
    <x v="1"/>
    <n v="4"/>
    <n v="12"/>
    <s v="Card"/>
    <x v="1"/>
    <n v="48"/>
  </r>
  <r>
    <n v="1445"/>
    <x v="7"/>
    <x v="79"/>
    <x v="1"/>
    <x v="2"/>
    <x v="0"/>
    <x v="3"/>
    <n v="4"/>
    <n v="30"/>
    <s v="Cash"/>
    <x v="1"/>
    <n v="120"/>
  </r>
  <r>
    <n v="156"/>
    <x v="4"/>
    <x v="55"/>
    <x v="1"/>
    <x v="2"/>
    <x v="0"/>
    <x v="1"/>
    <n v="4"/>
    <n v="12"/>
    <s v="Cash"/>
    <x v="1"/>
    <n v="48"/>
  </r>
  <r>
    <n v="1940"/>
    <x v="5"/>
    <x v="52"/>
    <x v="2"/>
    <x v="5"/>
    <x v="0"/>
    <x v="1"/>
    <n v="3"/>
    <n v="12"/>
    <s v="Cash"/>
    <x v="1"/>
    <n v="36"/>
  </r>
  <r>
    <n v="1410"/>
    <x v="4"/>
    <x v="55"/>
    <x v="1"/>
    <x v="2"/>
    <x v="0"/>
    <x v="1"/>
    <n v="5"/>
    <n v="12"/>
    <s v="Cash"/>
    <x v="1"/>
    <n v="60"/>
  </r>
  <r>
    <n v="1791"/>
    <x v="1"/>
    <x v="9"/>
    <x v="0"/>
    <x v="2"/>
    <x v="0"/>
    <x v="1"/>
    <n v="4"/>
    <n v="12"/>
    <s v="Card"/>
    <x v="1"/>
    <n v="48"/>
  </r>
  <r>
    <n v="1882"/>
    <x v="4"/>
    <x v="7"/>
    <x v="1"/>
    <x v="3"/>
    <x v="0"/>
    <x v="4"/>
    <n v="3"/>
    <n v="8"/>
    <s v="Cash"/>
    <x v="1"/>
    <n v="24"/>
  </r>
  <r>
    <n v="1171"/>
    <x v="2"/>
    <x v="57"/>
    <x v="1"/>
    <x v="4"/>
    <x v="0"/>
    <x v="4"/>
    <n v="4"/>
    <n v="8"/>
    <s v="Mobile Wallet"/>
    <x v="1"/>
    <n v="32"/>
  </r>
  <r>
    <n v="579"/>
    <x v="4"/>
    <x v="77"/>
    <x v="2"/>
    <x v="4"/>
    <x v="0"/>
    <x v="1"/>
    <n v="2"/>
    <n v="12"/>
    <s v="Card"/>
    <x v="1"/>
    <n v="24"/>
  </r>
  <r>
    <n v="322"/>
    <x v="1"/>
    <x v="79"/>
    <x v="1"/>
    <x v="2"/>
    <x v="0"/>
    <x v="4"/>
    <n v="1"/>
    <n v="8"/>
    <s v="Card"/>
    <x v="1"/>
    <n v="8"/>
  </r>
  <r>
    <n v="1010"/>
    <x v="2"/>
    <x v="7"/>
    <x v="1"/>
    <x v="3"/>
    <x v="0"/>
    <x v="1"/>
    <n v="4"/>
    <n v="12"/>
    <s v="Mobile Wallet"/>
    <x v="1"/>
    <n v="48"/>
  </r>
  <r>
    <n v="1717"/>
    <x v="2"/>
    <x v="31"/>
    <x v="2"/>
    <x v="0"/>
    <x v="0"/>
    <x v="1"/>
    <n v="1"/>
    <n v="12"/>
    <s v="Cash"/>
    <x v="1"/>
    <n v="12"/>
  </r>
  <r>
    <n v="1555"/>
    <x v="6"/>
    <x v="82"/>
    <x v="0"/>
    <x v="1"/>
    <x v="0"/>
    <x v="1"/>
    <n v="1"/>
    <n v="12"/>
    <s v="Card"/>
    <x v="1"/>
    <n v="12"/>
  </r>
  <r>
    <n v="975"/>
    <x v="6"/>
    <x v="33"/>
    <x v="0"/>
    <x v="2"/>
    <x v="0"/>
    <x v="1"/>
    <n v="3"/>
    <n v="12"/>
    <s v="Cash"/>
    <x v="1"/>
    <n v="36"/>
  </r>
  <r>
    <n v="1084"/>
    <x v="6"/>
    <x v="71"/>
    <x v="1"/>
    <x v="2"/>
    <x v="0"/>
    <x v="0"/>
    <n v="3"/>
    <n v="25"/>
    <s v="Mobile Wallet"/>
    <x v="1"/>
    <n v="75"/>
  </r>
  <r>
    <n v="1990"/>
    <x v="1"/>
    <x v="37"/>
    <x v="0"/>
    <x v="0"/>
    <x v="0"/>
    <x v="2"/>
    <n v="2"/>
    <n v="20"/>
    <s v="Card"/>
    <x v="1"/>
    <n v="40"/>
  </r>
  <r>
    <n v="1396"/>
    <x v="0"/>
    <x v="17"/>
    <x v="2"/>
    <x v="5"/>
    <x v="0"/>
    <x v="3"/>
    <n v="3"/>
    <n v="30"/>
    <s v="Cash"/>
    <x v="1"/>
    <n v="90"/>
  </r>
  <r>
    <n v="46"/>
    <x v="6"/>
    <x v="4"/>
    <x v="0"/>
    <x v="1"/>
    <x v="0"/>
    <x v="4"/>
    <n v="2"/>
    <n v="8"/>
    <s v="Mobile Wallet"/>
    <x v="1"/>
    <n v="16"/>
  </r>
  <r>
    <n v="210"/>
    <x v="1"/>
    <x v="9"/>
    <x v="0"/>
    <x v="2"/>
    <x v="0"/>
    <x v="3"/>
    <n v="1"/>
    <n v="30"/>
    <s v="Cash"/>
    <x v="1"/>
    <n v="30"/>
  </r>
  <r>
    <n v="535"/>
    <x v="7"/>
    <x v="43"/>
    <x v="2"/>
    <x v="5"/>
    <x v="0"/>
    <x v="4"/>
    <n v="2"/>
    <n v="8"/>
    <s v="Card"/>
    <x v="1"/>
    <n v="16"/>
  </r>
  <r>
    <n v="87"/>
    <x v="0"/>
    <x v="17"/>
    <x v="2"/>
    <x v="5"/>
    <x v="0"/>
    <x v="1"/>
    <n v="3"/>
    <n v="12"/>
    <s v="Cash"/>
    <x v="1"/>
    <n v="36"/>
  </r>
  <r>
    <n v="1692"/>
    <x v="0"/>
    <x v="34"/>
    <x v="1"/>
    <x v="0"/>
    <x v="0"/>
    <x v="0"/>
    <n v="3"/>
    <n v="25"/>
    <s v="Cash"/>
    <x v="1"/>
    <n v="75"/>
  </r>
  <r>
    <n v="1652"/>
    <x v="0"/>
    <x v="27"/>
    <x v="1"/>
    <x v="5"/>
    <x v="0"/>
    <x v="1"/>
    <n v="1"/>
    <n v="12"/>
    <s v="Cash"/>
    <x v="1"/>
    <n v="12"/>
  </r>
  <r>
    <n v="1594"/>
    <x v="6"/>
    <x v="3"/>
    <x v="0"/>
    <x v="3"/>
    <x v="0"/>
    <x v="0"/>
    <n v="5"/>
    <n v="25"/>
    <s v="Mobile Wallet"/>
    <x v="1"/>
    <n v="125"/>
  </r>
  <r>
    <n v="522"/>
    <x v="5"/>
    <x v="79"/>
    <x v="1"/>
    <x v="2"/>
    <x v="0"/>
    <x v="1"/>
    <n v="2"/>
    <n v="12"/>
    <s v="Card"/>
    <x v="1"/>
    <n v="24"/>
  </r>
  <r>
    <n v="264"/>
    <x v="3"/>
    <x v="0"/>
    <x v="0"/>
    <x v="0"/>
    <x v="0"/>
    <x v="1"/>
    <n v="3"/>
    <n v="12"/>
    <s v="Cash"/>
    <x v="1"/>
    <n v="36"/>
  </r>
  <r>
    <n v="1404"/>
    <x v="0"/>
    <x v="36"/>
    <x v="2"/>
    <x v="2"/>
    <x v="0"/>
    <x v="1"/>
    <n v="2"/>
    <n v="12"/>
    <s v="Mobile Wallet"/>
    <x v="1"/>
    <n v="24"/>
  </r>
  <r>
    <n v="1106"/>
    <x v="6"/>
    <x v="86"/>
    <x v="1"/>
    <x v="4"/>
    <x v="0"/>
    <x v="1"/>
    <n v="5"/>
    <n v="12"/>
    <s v="Cash"/>
    <x v="1"/>
    <n v="60"/>
  </r>
  <r>
    <n v="927"/>
    <x v="1"/>
    <x v="79"/>
    <x v="1"/>
    <x v="2"/>
    <x v="0"/>
    <x v="2"/>
    <n v="2"/>
    <n v="20"/>
    <s v="Card"/>
    <x v="1"/>
    <n v="40"/>
  </r>
  <r>
    <n v="467"/>
    <x v="2"/>
    <x v="71"/>
    <x v="1"/>
    <x v="2"/>
    <x v="0"/>
    <x v="1"/>
    <n v="2"/>
    <n v="12"/>
    <s v="Card"/>
    <x v="1"/>
    <n v="24"/>
  </r>
  <r>
    <n v="35"/>
    <x v="0"/>
    <x v="33"/>
    <x v="0"/>
    <x v="2"/>
    <x v="0"/>
    <x v="0"/>
    <n v="4"/>
    <n v="25"/>
    <s v="Card"/>
    <x v="1"/>
    <n v="100"/>
  </r>
  <r>
    <n v="706"/>
    <x v="1"/>
    <x v="53"/>
    <x v="1"/>
    <x v="6"/>
    <x v="0"/>
    <x v="2"/>
    <n v="4"/>
    <n v="20"/>
    <s v="Cash"/>
    <x v="1"/>
    <n v="80"/>
  </r>
  <r>
    <n v="109"/>
    <x v="0"/>
    <x v="37"/>
    <x v="0"/>
    <x v="0"/>
    <x v="0"/>
    <x v="1"/>
    <n v="1"/>
    <n v="12"/>
    <s v="Card"/>
    <x v="1"/>
    <n v="12"/>
  </r>
  <r>
    <n v="778"/>
    <x v="2"/>
    <x v="42"/>
    <x v="0"/>
    <x v="2"/>
    <x v="0"/>
    <x v="1"/>
    <n v="4"/>
    <n v="12"/>
    <s v="Mobile Wallet"/>
    <x v="1"/>
    <n v="48"/>
  </r>
  <r>
    <n v="1163"/>
    <x v="4"/>
    <x v="31"/>
    <x v="2"/>
    <x v="0"/>
    <x v="0"/>
    <x v="1"/>
    <n v="3"/>
    <n v="12"/>
    <s v="Card"/>
    <x v="1"/>
    <n v="36"/>
  </r>
  <r>
    <n v="474"/>
    <x v="6"/>
    <x v="91"/>
    <x v="1"/>
    <x v="5"/>
    <x v="0"/>
    <x v="4"/>
    <n v="5"/>
    <n v="8"/>
    <s v="Card"/>
    <x v="1"/>
    <n v="40"/>
  </r>
  <r>
    <n v="448"/>
    <x v="0"/>
    <x v="61"/>
    <x v="1"/>
    <x v="6"/>
    <x v="0"/>
    <x v="1"/>
    <n v="2"/>
    <n v="12"/>
    <s v="Card"/>
    <x v="1"/>
    <n v="24"/>
  </r>
  <r>
    <n v="1587"/>
    <x v="3"/>
    <x v="1"/>
    <x v="1"/>
    <x v="1"/>
    <x v="0"/>
    <x v="1"/>
    <n v="4"/>
    <n v="12"/>
    <s v="Cash"/>
    <x v="1"/>
    <n v="48"/>
  </r>
  <r>
    <n v="944"/>
    <x v="1"/>
    <x v="30"/>
    <x v="1"/>
    <x v="2"/>
    <x v="0"/>
    <x v="4"/>
    <n v="2"/>
    <n v="8"/>
    <s v="Card"/>
    <x v="1"/>
    <n v="16"/>
  </r>
  <r>
    <n v="1182"/>
    <x v="2"/>
    <x v="34"/>
    <x v="1"/>
    <x v="0"/>
    <x v="0"/>
    <x v="1"/>
    <n v="5"/>
    <n v="12"/>
    <s v="Mobile Wallet"/>
    <x v="1"/>
    <n v="60"/>
  </r>
  <r>
    <n v="1776"/>
    <x v="2"/>
    <x v="21"/>
    <x v="1"/>
    <x v="6"/>
    <x v="0"/>
    <x v="3"/>
    <n v="1"/>
    <n v="30"/>
    <s v="Cash"/>
    <x v="1"/>
    <n v="30"/>
  </r>
  <r>
    <n v="226"/>
    <x v="4"/>
    <x v="23"/>
    <x v="2"/>
    <x v="0"/>
    <x v="0"/>
    <x v="1"/>
    <n v="2"/>
    <n v="12"/>
    <s v="Mobile Wallet"/>
    <x v="1"/>
    <n v="24"/>
  </r>
  <r>
    <n v="78"/>
    <x v="6"/>
    <x v="57"/>
    <x v="1"/>
    <x v="4"/>
    <x v="0"/>
    <x v="1"/>
    <n v="4"/>
    <n v="12"/>
    <s v="Cash"/>
    <x v="1"/>
    <n v="48"/>
  </r>
  <r>
    <n v="1512"/>
    <x v="5"/>
    <x v="45"/>
    <x v="2"/>
    <x v="3"/>
    <x v="0"/>
    <x v="1"/>
    <n v="1"/>
    <n v="12"/>
    <s v="Cash"/>
    <x v="1"/>
    <n v="12"/>
  </r>
  <r>
    <n v="1026"/>
    <x v="0"/>
    <x v="3"/>
    <x v="0"/>
    <x v="3"/>
    <x v="0"/>
    <x v="1"/>
    <n v="2"/>
    <n v="12"/>
    <s v="Cash"/>
    <x v="1"/>
    <n v="24"/>
  </r>
  <r>
    <n v="1871"/>
    <x v="5"/>
    <x v="25"/>
    <x v="1"/>
    <x v="0"/>
    <x v="0"/>
    <x v="1"/>
    <n v="5"/>
    <n v="12"/>
    <s v="Card"/>
    <x v="1"/>
    <n v="60"/>
  </r>
  <r>
    <n v="1207"/>
    <x v="1"/>
    <x v="34"/>
    <x v="1"/>
    <x v="0"/>
    <x v="0"/>
    <x v="2"/>
    <n v="4"/>
    <n v="20"/>
    <s v="Mobile Wallet"/>
    <x v="1"/>
    <n v="80"/>
  </r>
  <r>
    <n v="44"/>
    <x v="2"/>
    <x v="9"/>
    <x v="0"/>
    <x v="2"/>
    <x v="0"/>
    <x v="1"/>
    <n v="2"/>
    <n v="12"/>
    <s v="Cash"/>
    <x v="1"/>
    <n v="24"/>
  </r>
  <r>
    <n v="1436"/>
    <x v="4"/>
    <x v="87"/>
    <x v="0"/>
    <x v="4"/>
    <x v="0"/>
    <x v="1"/>
    <n v="2"/>
    <n v="12"/>
    <s v="Mobile Wallet"/>
    <x v="1"/>
    <n v="24"/>
  </r>
  <r>
    <n v="1028"/>
    <x v="7"/>
    <x v="11"/>
    <x v="1"/>
    <x v="4"/>
    <x v="0"/>
    <x v="0"/>
    <n v="5"/>
    <n v="25"/>
    <s v="Card"/>
    <x v="1"/>
    <n v="125"/>
  </r>
  <r>
    <n v="951"/>
    <x v="7"/>
    <x v="65"/>
    <x v="0"/>
    <x v="5"/>
    <x v="0"/>
    <x v="2"/>
    <n v="4"/>
    <n v="20"/>
    <s v="Cash"/>
    <x v="1"/>
    <n v="80"/>
  </r>
  <r>
    <n v="250"/>
    <x v="7"/>
    <x v="91"/>
    <x v="1"/>
    <x v="5"/>
    <x v="0"/>
    <x v="1"/>
    <n v="5"/>
    <n v="12"/>
    <s v="Card"/>
    <x v="1"/>
    <n v="60"/>
  </r>
  <r>
    <n v="934"/>
    <x v="3"/>
    <x v="5"/>
    <x v="1"/>
    <x v="4"/>
    <x v="0"/>
    <x v="0"/>
    <n v="1"/>
    <n v="25"/>
    <s v="Cash"/>
    <x v="1"/>
    <n v="25"/>
  </r>
  <r>
    <n v="1726"/>
    <x v="0"/>
    <x v="41"/>
    <x v="2"/>
    <x v="4"/>
    <x v="0"/>
    <x v="3"/>
    <n v="5"/>
    <n v="30"/>
    <s v="Card"/>
    <x v="1"/>
    <n v="150"/>
  </r>
  <r>
    <n v="1893"/>
    <x v="1"/>
    <x v="61"/>
    <x v="1"/>
    <x v="6"/>
    <x v="0"/>
    <x v="4"/>
    <n v="1"/>
    <n v="8"/>
    <s v="Mobile Wallet"/>
    <x v="1"/>
    <n v="8"/>
  </r>
  <r>
    <n v="1319"/>
    <x v="4"/>
    <x v="23"/>
    <x v="2"/>
    <x v="0"/>
    <x v="0"/>
    <x v="2"/>
    <n v="4"/>
    <n v="20"/>
    <s v="Mobile Wallet"/>
    <x v="1"/>
    <n v="80"/>
  </r>
  <r>
    <n v="1074"/>
    <x v="7"/>
    <x v="42"/>
    <x v="0"/>
    <x v="2"/>
    <x v="0"/>
    <x v="1"/>
    <n v="2"/>
    <n v="12"/>
    <s v="Card"/>
    <x v="1"/>
    <n v="24"/>
  </r>
  <r>
    <n v="120"/>
    <x v="1"/>
    <x v="33"/>
    <x v="0"/>
    <x v="2"/>
    <x v="0"/>
    <x v="2"/>
    <n v="1"/>
    <n v="20"/>
    <s v="Card"/>
    <x v="1"/>
    <n v="20"/>
  </r>
  <r>
    <n v="98"/>
    <x v="6"/>
    <x v="0"/>
    <x v="0"/>
    <x v="0"/>
    <x v="0"/>
    <x v="0"/>
    <n v="2"/>
    <n v="25"/>
    <s v="Mobile Wallet"/>
    <x v="1"/>
    <n v="50"/>
  </r>
  <r>
    <n v="939"/>
    <x v="0"/>
    <x v="74"/>
    <x v="2"/>
    <x v="1"/>
    <x v="0"/>
    <x v="3"/>
    <n v="1"/>
    <n v="30"/>
    <s v="Mobile Wallet"/>
    <x v="1"/>
    <n v="30"/>
  </r>
  <r>
    <n v="457"/>
    <x v="0"/>
    <x v="71"/>
    <x v="1"/>
    <x v="2"/>
    <x v="0"/>
    <x v="1"/>
    <n v="1"/>
    <n v="12"/>
    <s v="Card"/>
    <x v="1"/>
    <n v="12"/>
  </r>
  <r>
    <n v="13"/>
    <x v="7"/>
    <x v="29"/>
    <x v="1"/>
    <x v="1"/>
    <x v="0"/>
    <x v="3"/>
    <n v="4"/>
    <n v="30"/>
    <s v="Cash"/>
    <x v="1"/>
    <n v="120"/>
  </r>
  <r>
    <n v="1575"/>
    <x v="2"/>
    <x v="82"/>
    <x v="0"/>
    <x v="1"/>
    <x v="0"/>
    <x v="2"/>
    <n v="4"/>
    <n v="20"/>
    <s v="Mobile Wallet"/>
    <x v="1"/>
    <n v="80"/>
  </r>
  <r>
    <n v="101"/>
    <x v="5"/>
    <x v="55"/>
    <x v="1"/>
    <x v="2"/>
    <x v="0"/>
    <x v="3"/>
    <n v="4"/>
    <n v="30"/>
    <s v="Card"/>
    <x v="1"/>
    <n v="120"/>
  </r>
  <r>
    <n v="224"/>
    <x v="6"/>
    <x v="8"/>
    <x v="0"/>
    <x v="2"/>
    <x v="0"/>
    <x v="1"/>
    <n v="1"/>
    <n v="12"/>
    <s v="Cash"/>
    <x v="1"/>
    <n v="12"/>
  </r>
  <r>
    <n v="333"/>
    <x v="6"/>
    <x v="18"/>
    <x v="0"/>
    <x v="0"/>
    <x v="0"/>
    <x v="0"/>
    <n v="2"/>
    <n v="25"/>
    <s v="Card"/>
    <x v="1"/>
    <n v="50"/>
  </r>
  <r>
    <n v="1506"/>
    <x v="7"/>
    <x v="88"/>
    <x v="0"/>
    <x v="6"/>
    <x v="0"/>
    <x v="0"/>
    <n v="1"/>
    <n v="25"/>
    <s v="Card"/>
    <x v="1"/>
    <n v="25"/>
  </r>
  <r>
    <n v="1271"/>
    <x v="4"/>
    <x v="15"/>
    <x v="0"/>
    <x v="4"/>
    <x v="0"/>
    <x v="1"/>
    <n v="3"/>
    <n v="12"/>
    <s v="Mobile Wallet"/>
    <x v="1"/>
    <n v="36"/>
  </r>
  <r>
    <n v="90"/>
    <x v="4"/>
    <x v="56"/>
    <x v="0"/>
    <x v="3"/>
    <x v="0"/>
    <x v="1"/>
    <n v="3"/>
    <n v="12"/>
    <s v="Mobile Wallet"/>
    <x v="1"/>
    <n v="36"/>
  </r>
  <r>
    <n v="1300"/>
    <x v="4"/>
    <x v="74"/>
    <x v="2"/>
    <x v="1"/>
    <x v="0"/>
    <x v="2"/>
    <n v="2"/>
    <n v="20"/>
    <s v="Card"/>
    <x v="1"/>
    <n v="40"/>
  </r>
  <r>
    <n v="395"/>
    <x v="7"/>
    <x v="30"/>
    <x v="1"/>
    <x v="2"/>
    <x v="0"/>
    <x v="2"/>
    <n v="2"/>
    <n v="20"/>
    <s v="Mobile Wallet"/>
    <x v="1"/>
    <n v="40"/>
  </r>
  <r>
    <n v="1078"/>
    <x v="3"/>
    <x v="25"/>
    <x v="1"/>
    <x v="0"/>
    <x v="0"/>
    <x v="1"/>
    <n v="4"/>
    <n v="12"/>
    <s v="Mobile Wallet"/>
    <x v="1"/>
    <n v="48"/>
  </r>
  <r>
    <n v="1349"/>
    <x v="2"/>
    <x v="67"/>
    <x v="2"/>
    <x v="6"/>
    <x v="0"/>
    <x v="1"/>
    <n v="4"/>
    <n v="12"/>
    <s v="Mobile Wallet"/>
    <x v="1"/>
    <n v="48"/>
  </r>
  <r>
    <n v="394"/>
    <x v="2"/>
    <x v="50"/>
    <x v="0"/>
    <x v="6"/>
    <x v="0"/>
    <x v="1"/>
    <n v="4"/>
    <n v="12"/>
    <s v="Card"/>
    <x v="1"/>
    <n v="48"/>
  </r>
  <r>
    <n v="851"/>
    <x v="5"/>
    <x v="88"/>
    <x v="0"/>
    <x v="6"/>
    <x v="0"/>
    <x v="4"/>
    <n v="5"/>
    <n v="8"/>
    <s v="Cash"/>
    <x v="1"/>
    <n v="40"/>
  </r>
  <r>
    <n v="1359"/>
    <x v="6"/>
    <x v="33"/>
    <x v="0"/>
    <x v="2"/>
    <x v="0"/>
    <x v="2"/>
    <n v="3"/>
    <n v="20"/>
    <s v="Mobile Wallet"/>
    <x v="1"/>
    <n v="60"/>
  </r>
  <r>
    <n v="1730"/>
    <x v="0"/>
    <x v="25"/>
    <x v="1"/>
    <x v="0"/>
    <x v="0"/>
    <x v="0"/>
    <n v="5"/>
    <n v="25"/>
    <s v="Mobile Wallet"/>
    <x v="1"/>
    <n v="125"/>
  </r>
  <r>
    <n v="1320"/>
    <x v="7"/>
    <x v="23"/>
    <x v="2"/>
    <x v="0"/>
    <x v="0"/>
    <x v="4"/>
    <n v="5"/>
    <n v="8"/>
    <s v="Card"/>
    <x v="1"/>
    <n v="40"/>
  </r>
  <r>
    <n v="1428"/>
    <x v="7"/>
    <x v="2"/>
    <x v="2"/>
    <x v="2"/>
    <x v="0"/>
    <x v="0"/>
    <n v="2"/>
    <n v="25"/>
    <s v="Mobile Wallet"/>
    <x v="1"/>
    <n v="50"/>
  </r>
  <r>
    <n v="237"/>
    <x v="0"/>
    <x v="31"/>
    <x v="2"/>
    <x v="0"/>
    <x v="0"/>
    <x v="2"/>
    <n v="4"/>
    <n v="20"/>
    <s v="Cash"/>
    <x v="1"/>
    <n v="80"/>
  </r>
  <r>
    <n v="1795"/>
    <x v="2"/>
    <x v="6"/>
    <x v="1"/>
    <x v="5"/>
    <x v="0"/>
    <x v="1"/>
    <n v="3"/>
    <n v="12"/>
    <s v="Card"/>
    <x v="1"/>
    <n v="36"/>
  </r>
  <r>
    <n v="678"/>
    <x v="2"/>
    <x v="60"/>
    <x v="1"/>
    <x v="0"/>
    <x v="0"/>
    <x v="1"/>
    <n v="1"/>
    <n v="12"/>
    <s v="Mobile Wallet"/>
    <x v="1"/>
    <n v="12"/>
  </r>
  <r>
    <n v="1313"/>
    <x v="3"/>
    <x v="28"/>
    <x v="2"/>
    <x v="0"/>
    <x v="0"/>
    <x v="4"/>
    <n v="2"/>
    <n v="8"/>
    <s v="Mobile Wallet"/>
    <x v="1"/>
    <n v="16"/>
  </r>
  <r>
    <n v="1121"/>
    <x v="4"/>
    <x v="35"/>
    <x v="0"/>
    <x v="5"/>
    <x v="0"/>
    <x v="1"/>
    <n v="2"/>
    <n v="12"/>
    <s v="Cash"/>
    <x v="1"/>
    <n v="24"/>
  </r>
  <r>
    <n v="1637"/>
    <x v="3"/>
    <x v="56"/>
    <x v="0"/>
    <x v="3"/>
    <x v="0"/>
    <x v="3"/>
    <n v="4"/>
    <n v="30"/>
    <s v="Card"/>
    <x v="1"/>
    <n v="120"/>
  </r>
  <r>
    <n v="1079"/>
    <x v="0"/>
    <x v="33"/>
    <x v="0"/>
    <x v="2"/>
    <x v="0"/>
    <x v="1"/>
    <n v="1"/>
    <n v="12"/>
    <s v="Card"/>
    <x v="1"/>
    <n v="12"/>
  </r>
  <r>
    <n v="111"/>
    <x v="2"/>
    <x v="14"/>
    <x v="1"/>
    <x v="0"/>
    <x v="0"/>
    <x v="1"/>
    <n v="1"/>
    <n v="12"/>
    <s v="Card"/>
    <x v="1"/>
    <n v="12"/>
  </r>
  <r>
    <n v="1108"/>
    <x v="0"/>
    <x v="59"/>
    <x v="0"/>
    <x v="0"/>
    <x v="0"/>
    <x v="1"/>
    <n v="5"/>
    <n v="12"/>
    <s v="Card"/>
    <x v="1"/>
    <n v="60"/>
  </r>
  <r>
    <n v="275"/>
    <x v="3"/>
    <x v="8"/>
    <x v="0"/>
    <x v="2"/>
    <x v="0"/>
    <x v="3"/>
    <n v="3"/>
    <n v="30"/>
    <s v="Card"/>
    <x v="1"/>
    <n v="90"/>
  </r>
  <r>
    <n v="1155"/>
    <x v="2"/>
    <x v="47"/>
    <x v="0"/>
    <x v="4"/>
    <x v="0"/>
    <x v="1"/>
    <n v="2"/>
    <n v="12"/>
    <s v="Cash"/>
    <x v="1"/>
    <n v="24"/>
  </r>
  <r>
    <n v="922"/>
    <x v="5"/>
    <x v="45"/>
    <x v="2"/>
    <x v="3"/>
    <x v="0"/>
    <x v="4"/>
    <n v="4"/>
    <n v="8"/>
    <s v="Card"/>
    <x v="1"/>
    <n v="32"/>
  </r>
  <r>
    <n v="1212"/>
    <x v="6"/>
    <x v="82"/>
    <x v="0"/>
    <x v="1"/>
    <x v="0"/>
    <x v="4"/>
    <n v="1"/>
    <n v="8"/>
    <s v="Cash"/>
    <x v="1"/>
    <n v="8"/>
  </r>
  <r>
    <n v="89"/>
    <x v="6"/>
    <x v="90"/>
    <x v="1"/>
    <x v="6"/>
    <x v="0"/>
    <x v="2"/>
    <n v="3"/>
    <n v="20"/>
    <s v="Cash"/>
    <x v="3"/>
    <n v="60"/>
  </r>
  <r>
    <n v="96"/>
    <x v="0"/>
    <x v="51"/>
    <x v="0"/>
    <x v="1"/>
    <x v="0"/>
    <x v="4"/>
    <n v="3"/>
    <n v="8"/>
    <s v="Card"/>
    <x v="2"/>
    <n v="24"/>
  </r>
  <r>
    <n v="1067"/>
    <x v="1"/>
    <x v="0"/>
    <x v="0"/>
    <x v="0"/>
    <x v="0"/>
    <x v="1"/>
    <n v="2"/>
    <n v="12"/>
    <s v="Mobile Wallet"/>
    <x v="3"/>
    <n v="24"/>
  </r>
  <r>
    <n v="572"/>
    <x v="7"/>
    <x v="43"/>
    <x v="2"/>
    <x v="5"/>
    <x v="0"/>
    <x v="3"/>
    <n v="3"/>
    <n v="30"/>
    <s v="Cash"/>
    <x v="0"/>
    <n v="90"/>
  </r>
  <r>
    <n v="564"/>
    <x v="5"/>
    <x v="84"/>
    <x v="0"/>
    <x v="3"/>
    <x v="0"/>
    <x v="1"/>
    <n v="3"/>
    <n v="12"/>
    <s v="Cash"/>
    <x v="0"/>
    <n v="36"/>
  </r>
  <r>
    <n v="658"/>
    <x v="7"/>
    <x v="86"/>
    <x v="1"/>
    <x v="4"/>
    <x v="0"/>
    <x v="2"/>
    <n v="1"/>
    <n v="20"/>
    <s v="Cash"/>
    <x v="2"/>
    <n v="20"/>
  </r>
  <r>
    <n v="883"/>
    <x v="7"/>
    <x v="63"/>
    <x v="1"/>
    <x v="5"/>
    <x v="0"/>
    <x v="1"/>
    <n v="3"/>
    <n v="12"/>
    <s v="Cash"/>
    <x v="1"/>
    <n v="36"/>
  </r>
  <r>
    <n v="1666"/>
    <x v="0"/>
    <x v="13"/>
    <x v="2"/>
    <x v="3"/>
    <x v="0"/>
    <x v="1"/>
    <n v="5"/>
    <n v="12"/>
    <s v="Mobile Wallet"/>
    <x v="3"/>
    <n v="60"/>
  </r>
  <r>
    <n v="441"/>
    <x v="3"/>
    <x v="36"/>
    <x v="2"/>
    <x v="2"/>
    <x v="0"/>
    <x v="0"/>
    <n v="2"/>
    <n v="25"/>
    <s v="Mobile Wallet"/>
    <x v="0"/>
    <n v="50"/>
  </r>
  <r>
    <n v="220"/>
    <x v="5"/>
    <x v="18"/>
    <x v="0"/>
    <x v="0"/>
    <x v="0"/>
    <x v="1"/>
    <n v="3"/>
    <n v="12"/>
    <s v="Mobile Wallet"/>
    <x v="0"/>
    <n v="36"/>
  </r>
  <r>
    <n v="107"/>
    <x v="0"/>
    <x v="33"/>
    <x v="0"/>
    <x v="2"/>
    <x v="0"/>
    <x v="2"/>
    <n v="4"/>
    <n v="20"/>
    <s v="Mobile Wallet"/>
    <x v="1"/>
    <n v="80"/>
  </r>
  <r>
    <n v="60"/>
    <x v="1"/>
    <x v="61"/>
    <x v="1"/>
    <x v="6"/>
    <x v="0"/>
    <x v="0"/>
    <n v="2"/>
    <n v="25"/>
    <s v="Mobile Wallet"/>
    <x v="0"/>
    <n v="50"/>
  </r>
  <r>
    <n v="385"/>
    <x v="1"/>
    <x v="10"/>
    <x v="2"/>
    <x v="0"/>
    <x v="0"/>
    <x v="1"/>
    <n v="5"/>
    <n v="12"/>
    <s v="Card"/>
    <x v="2"/>
    <n v="60"/>
  </r>
  <r>
    <n v="1599"/>
    <x v="2"/>
    <x v="42"/>
    <x v="0"/>
    <x v="2"/>
    <x v="0"/>
    <x v="1"/>
    <n v="5"/>
    <n v="12"/>
    <s v="Mobile Wallet"/>
    <x v="2"/>
    <n v="60"/>
  </r>
  <r>
    <n v="501"/>
    <x v="5"/>
    <x v="46"/>
    <x v="1"/>
    <x v="3"/>
    <x v="0"/>
    <x v="2"/>
    <n v="2"/>
    <n v="20"/>
    <s v="Mobile Wallet"/>
    <x v="2"/>
    <n v="40"/>
  </r>
  <r>
    <n v="686"/>
    <x v="0"/>
    <x v="73"/>
    <x v="2"/>
    <x v="6"/>
    <x v="0"/>
    <x v="1"/>
    <n v="2"/>
    <n v="12"/>
    <s v="Card"/>
    <x v="1"/>
    <n v="24"/>
  </r>
  <r>
    <n v="1572"/>
    <x v="2"/>
    <x v="4"/>
    <x v="0"/>
    <x v="1"/>
    <x v="0"/>
    <x v="0"/>
    <n v="2"/>
    <n v="25"/>
    <s v="Mobile Wallet"/>
    <x v="0"/>
    <n v="50"/>
  </r>
  <r>
    <n v="1779"/>
    <x v="2"/>
    <x v="33"/>
    <x v="0"/>
    <x v="2"/>
    <x v="0"/>
    <x v="4"/>
    <n v="5"/>
    <n v="8"/>
    <s v="Cash"/>
    <x v="0"/>
    <n v="40"/>
  </r>
  <r>
    <n v="1047"/>
    <x v="7"/>
    <x v="15"/>
    <x v="0"/>
    <x v="4"/>
    <x v="0"/>
    <x v="1"/>
    <n v="4"/>
    <n v="12"/>
    <s v="Cash"/>
    <x v="1"/>
    <n v="48"/>
  </r>
  <r>
    <n v="1670"/>
    <x v="6"/>
    <x v="83"/>
    <x v="0"/>
    <x v="5"/>
    <x v="0"/>
    <x v="1"/>
    <n v="5"/>
    <n v="12"/>
    <s v="Card"/>
    <x v="3"/>
    <n v="60"/>
  </r>
  <r>
    <n v="1253"/>
    <x v="2"/>
    <x v="19"/>
    <x v="2"/>
    <x v="6"/>
    <x v="0"/>
    <x v="0"/>
    <n v="5"/>
    <n v="25"/>
    <s v="Card"/>
    <x v="0"/>
    <n v="125"/>
  </r>
  <r>
    <n v="1989"/>
    <x v="7"/>
    <x v="39"/>
    <x v="2"/>
    <x v="4"/>
    <x v="0"/>
    <x v="1"/>
    <n v="5"/>
    <n v="12"/>
    <s v="Card"/>
    <x v="0"/>
    <n v="60"/>
  </r>
  <r>
    <n v="1308"/>
    <x v="2"/>
    <x v="70"/>
    <x v="0"/>
    <x v="6"/>
    <x v="0"/>
    <x v="1"/>
    <n v="2"/>
    <n v="12"/>
    <s v="Mobile Wallet"/>
    <x v="0"/>
    <n v="24"/>
  </r>
  <r>
    <n v="462"/>
    <x v="1"/>
    <x v="61"/>
    <x v="1"/>
    <x v="6"/>
    <x v="0"/>
    <x v="2"/>
    <n v="2"/>
    <n v="20"/>
    <s v="Card"/>
    <x v="0"/>
    <n v="40"/>
  </r>
  <r>
    <n v="147"/>
    <x v="7"/>
    <x v="14"/>
    <x v="1"/>
    <x v="0"/>
    <x v="0"/>
    <x v="1"/>
    <n v="4"/>
    <n v="12"/>
    <s v="Mobile Wallet"/>
    <x v="0"/>
    <n v="48"/>
  </r>
  <r>
    <n v="314"/>
    <x v="5"/>
    <x v="6"/>
    <x v="1"/>
    <x v="5"/>
    <x v="0"/>
    <x v="4"/>
    <n v="2"/>
    <n v="8"/>
    <s v="Cash"/>
    <x v="0"/>
    <n v="16"/>
  </r>
  <r>
    <n v="770"/>
    <x v="3"/>
    <x v="2"/>
    <x v="2"/>
    <x v="2"/>
    <x v="0"/>
    <x v="4"/>
    <n v="3"/>
    <n v="8"/>
    <s v="Mobile Wallet"/>
    <x v="0"/>
    <n v="24"/>
  </r>
  <r>
    <n v="1832"/>
    <x v="1"/>
    <x v="29"/>
    <x v="1"/>
    <x v="1"/>
    <x v="0"/>
    <x v="2"/>
    <n v="3"/>
    <n v="20"/>
    <s v="Cash"/>
    <x v="0"/>
    <n v="60"/>
  </r>
  <r>
    <n v="1193"/>
    <x v="1"/>
    <x v="24"/>
    <x v="0"/>
    <x v="2"/>
    <x v="0"/>
    <x v="3"/>
    <n v="2"/>
    <n v="30"/>
    <s v="Cash"/>
    <x v="0"/>
    <n v="60"/>
  </r>
  <r>
    <n v="1305"/>
    <x v="4"/>
    <x v="23"/>
    <x v="2"/>
    <x v="0"/>
    <x v="0"/>
    <x v="1"/>
    <n v="4"/>
    <n v="12"/>
    <s v="Card"/>
    <x v="3"/>
    <n v="48"/>
  </r>
  <r>
    <n v="599"/>
    <x v="6"/>
    <x v="20"/>
    <x v="0"/>
    <x v="4"/>
    <x v="0"/>
    <x v="1"/>
    <n v="5"/>
    <n v="12"/>
    <s v="Mobile Wallet"/>
    <x v="2"/>
    <n v="60"/>
  </r>
  <r>
    <n v="47"/>
    <x v="2"/>
    <x v="15"/>
    <x v="0"/>
    <x v="4"/>
    <x v="0"/>
    <x v="1"/>
    <n v="4"/>
    <n v="12"/>
    <s v="Card"/>
    <x v="3"/>
    <n v="48"/>
  </r>
  <r>
    <n v="1179"/>
    <x v="5"/>
    <x v="25"/>
    <x v="1"/>
    <x v="0"/>
    <x v="0"/>
    <x v="2"/>
    <n v="4"/>
    <n v="20"/>
    <s v="Mobile Wallet"/>
    <x v="3"/>
    <n v="80"/>
  </r>
  <r>
    <n v="660"/>
    <x v="4"/>
    <x v="10"/>
    <x v="2"/>
    <x v="0"/>
    <x v="0"/>
    <x v="4"/>
    <n v="3"/>
    <n v="8"/>
    <s v="Cash"/>
    <x v="3"/>
    <n v="24"/>
  </r>
  <r>
    <n v="1394"/>
    <x v="0"/>
    <x v="54"/>
    <x v="1"/>
    <x v="3"/>
    <x v="0"/>
    <x v="1"/>
    <n v="2"/>
    <n v="12"/>
    <s v="Cash"/>
    <x v="0"/>
    <n v="24"/>
  </r>
  <r>
    <n v="696"/>
    <x v="6"/>
    <x v="7"/>
    <x v="1"/>
    <x v="3"/>
    <x v="0"/>
    <x v="0"/>
    <n v="5"/>
    <n v="25"/>
    <s v="Card"/>
    <x v="1"/>
    <n v="125"/>
  </r>
  <r>
    <n v="1007"/>
    <x v="6"/>
    <x v="91"/>
    <x v="1"/>
    <x v="5"/>
    <x v="0"/>
    <x v="3"/>
    <n v="3"/>
    <n v="30"/>
    <s v="Mobile Wallet"/>
    <x v="0"/>
    <n v="90"/>
  </r>
  <r>
    <n v="1502"/>
    <x v="0"/>
    <x v="54"/>
    <x v="1"/>
    <x v="3"/>
    <x v="0"/>
    <x v="2"/>
    <n v="4"/>
    <n v="20"/>
    <s v="Card"/>
    <x v="3"/>
    <n v="80"/>
  </r>
  <r>
    <n v="1997"/>
    <x v="4"/>
    <x v="69"/>
    <x v="1"/>
    <x v="1"/>
    <x v="0"/>
    <x v="1"/>
    <n v="2"/>
    <n v="12"/>
    <s v="Mobile Wallet"/>
    <x v="2"/>
    <n v="24"/>
  </r>
  <r>
    <n v="918"/>
    <x v="6"/>
    <x v="19"/>
    <x v="2"/>
    <x v="6"/>
    <x v="0"/>
    <x v="2"/>
    <n v="3"/>
    <n v="20"/>
    <s v="Mobile Wallet"/>
    <x v="0"/>
    <n v="60"/>
  </r>
  <r>
    <n v="1848"/>
    <x v="2"/>
    <x v="45"/>
    <x v="2"/>
    <x v="3"/>
    <x v="0"/>
    <x v="0"/>
    <n v="1"/>
    <n v="25"/>
    <s v="Mobile Wallet"/>
    <x v="0"/>
    <n v="25"/>
  </r>
  <r>
    <n v="1493"/>
    <x v="5"/>
    <x v="40"/>
    <x v="2"/>
    <x v="2"/>
    <x v="0"/>
    <x v="2"/>
    <n v="3"/>
    <n v="20"/>
    <s v="Cash"/>
    <x v="2"/>
    <n v="60"/>
  </r>
  <r>
    <n v="1219"/>
    <x v="1"/>
    <x v="17"/>
    <x v="2"/>
    <x v="5"/>
    <x v="0"/>
    <x v="4"/>
    <n v="4"/>
    <n v="8"/>
    <s v="Cash"/>
    <x v="1"/>
    <n v="32"/>
  </r>
  <r>
    <n v="328"/>
    <x v="5"/>
    <x v="43"/>
    <x v="2"/>
    <x v="5"/>
    <x v="0"/>
    <x v="1"/>
    <n v="4"/>
    <n v="12"/>
    <s v="Cash"/>
    <x v="1"/>
    <n v="48"/>
  </r>
  <r>
    <n v="1491"/>
    <x v="3"/>
    <x v="9"/>
    <x v="0"/>
    <x v="2"/>
    <x v="0"/>
    <x v="1"/>
    <n v="1"/>
    <n v="12"/>
    <s v="Cash"/>
    <x v="1"/>
    <n v="12"/>
  </r>
  <r>
    <n v="30"/>
    <x v="6"/>
    <x v="71"/>
    <x v="1"/>
    <x v="2"/>
    <x v="1"/>
    <x v="4"/>
    <n v="1"/>
    <n v="8"/>
    <s v="Mobile Wallet"/>
    <x v="1"/>
    <n v="8"/>
  </r>
  <r>
    <n v="1784"/>
    <x v="0"/>
    <x v="34"/>
    <x v="1"/>
    <x v="0"/>
    <x v="1"/>
    <x v="2"/>
    <n v="4"/>
    <n v="20"/>
    <s v="Cash"/>
    <x v="1"/>
    <n v="80"/>
  </r>
  <r>
    <n v="981"/>
    <x v="6"/>
    <x v="79"/>
    <x v="1"/>
    <x v="2"/>
    <x v="3"/>
    <x v="1"/>
    <n v="2"/>
    <n v="12"/>
    <s v="Mobile Wallet"/>
    <x v="1"/>
    <n v="24"/>
  </r>
  <r>
    <n v="1800"/>
    <x v="3"/>
    <x v="14"/>
    <x v="1"/>
    <x v="0"/>
    <x v="3"/>
    <x v="0"/>
    <n v="3"/>
    <n v="25"/>
    <s v="Card"/>
    <x v="1"/>
    <n v="75"/>
  </r>
  <r>
    <n v="693"/>
    <x v="1"/>
    <x v="23"/>
    <x v="2"/>
    <x v="0"/>
    <x v="1"/>
    <x v="1"/>
    <n v="1"/>
    <n v="12"/>
    <s v="Mobile Wallet"/>
    <x v="1"/>
    <n v="12"/>
  </r>
  <r>
    <n v="1700"/>
    <x v="2"/>
    <x v="71"/>
    <x v="1"/>
    <x v="2"/>
    <x v="3"/>
    <x v="1"/>
    <n v="5"/>
    <n v="12"/>
    <s v="Card"/>
    <x v="1"/>
    <n v="60"/>
  </r>
  <r>
    <n v="495"/>
    <x v="1"/>
    <x v="11"/>
    <x v="1"/>
    <x v="4"/>
    <x v="3"/>
    <x v="0"/>
    <n v="2"/>
    <n v="25"/>
    <s v="Cash"/>
    <x v="1"/>
    <n v="50"/>
  </r>
  <r>
    <n v="1187"/>
    <x v="2"/>
    <x v="13"/>
    <x v="2"/>
    <x v="3"/>
    <x v="0"/>
    <x v="1"/>
    <n v="2"/>
    <n v="12"/>
    <s v="Mobile Wallet"/>
    <x v="1"/>
    <n v="24"/>
  </r>
  <r>
    <n v="65"/>
    <x v="5"/>
    <x v="31"/>
    <x v="2"/>
    <x v="0"/>
    <x v="0"/>
    <x v="1"/>
    <n v="3"/>
    <n v="12"/>
    <s v="Card"/>
    <x v="1"/>
    <n v="36"/>
  </r>
  <r>
    <n v="374"/>
    <x v="2"/>
    <x v="0"/>
    <x v="0"/>
    <x v="0"/>
    <x v="1"/>
    <x v="1"/>
    <n v="3"/>
    <n v="12"/>
    <s v="Card"/>
    <x v="1"/>
    <n v="36"/>
  </r>
  <r>
    <n v="1484"/>
    <x v="3"/>
    <x v="84"/>
    <x v="0"/>
    <x v="3"/>
    <x v="3"/>
    <x v="3"/>
    <n v="5"/>
    <n v="30"/>
    <s v="Card"/>
    <x v="1"/>
    <n v="150"/>
  </r>
  <r>
    <n v="1475"/>
    <x v="2"/>
    <x v="25"/>
    <x v="1"/>
    <x v="0"/>
    <x v="3"/>
    <x v="2"/>
    <n v="5"/>
    <n v="20"/>
    <s v="Cash"/>
    <x v="1"/>
    <n v="100"/>
  </r>
  <r>
    <n v="193"/>
    <x v="3"/>
    <x v="37"/>
    <x v="0"/>
    <x v="0"/>
    <x v="2"/>
    <x v="4"/>
    <n v="3"/>
    <n v="8"/>
    <s v="Cash"/>
    <x v="1"/>
    <n v="24"/>
  </r>
  <r>
    <n v="165"/>
    <x v="4"/>
    <x v="8"/>
    <x v="0"/>
    <x v="2"/>
    <x v="2"/>
    <x v="1"/>
    <n v="4"/>
    <n v="12"/>
    <s v="Mobile Wallet"/>
    <x v="1"/>
    <n v="48"/>
  </r>
  <r>
    <n v="1669"/>
    <x v="5"/>
    <x v="51"/>
    <x v="0"/>
    <x v="1"/>
    <x v="1"/>
    <x v="1"/>
    <n v="4"/>
    <n v="12"/>
    <s v="Card"/>
    <x v="1"/>
    <n v="48"/>
  </r>
  <r>
    <n v="1461"/>
    <x v="1"/>
    <x v="73"/>
    <x v="2"/>
    <x v="6"/>
    <x v="1"/>
    <x v="1"/>
    <n v="3"/>
    <n v="12"/>
    <s v="Card"/>
    <x v="1"/>
    <n v="36"/>
  </r>
  <r>
    <n v="1588"/>
    <x v="3"/>
    <x v="27"/>
    <x v="1"/>
    <x v="5"/>
    <x v="1"/>
    <x v="4"/>
    <n v="4"/>
    <n v="8"/>
    <s v="Cash"/>
    <x v="1"/>
    <n v="32"/>
  </r>
  <r>
    <n v="1144"/>
    <x v="5"/>
    <x v="28"/>
    <x v="2"/>
    <x v="0"/>
    <x v="3"/>
    <x v="0"/>
    <n v="4"/>
    <n v="25"/>
    <s v="Cash"/>
    <x v="1"/>
    <n v="100"/>
  </r>
  <r>
    <n v="45"/>
    <x v="6"/>
    <x v="77"/>
    <x v="2"/>
    <x v="4"/>
    <x v="1"/>
    <x v="2"/>
    <n v="1"/>
    <n v="20"/>
    <s v="Cash"/>
    <x v="1"/>
    <n v="20"/>
  </r>
  <r>
    <n v="671"/>
    <x v="3"/>
    <x v="61"/>
    <x v="1"/>
    <x v="6"/>
    <x v="0"/>
    <x v="0"/>
    <n v="2"/>
    <n v="25"/>
    <s v="Card"/>
    <x v="1"/>
    <n v="50"/>
  </r>
  <r>
    <n v="1170"/>
    <x v="7"/>
    <x v="2"/>
    <x v="2"/>
    <x v="2"/>
    <x v="1"/>
    <x v="1"/>
    <n v="1"/>
    <n v="12"/>
    <s v="Mobile Wallet"/>
    <x v="1"/>
    <n v="12"/>
  </r>
  <r>
    <n v="260"/>
    <x v="7"/>
    <x v="60"/>
    <x v="1"/>
    <x v="0"/>
    <x v="0"/>
    <x v="1"/>
    <n v="2"/>
    <n v="12"/>
    <s v="Card"/>
    <x v="1"/>
    <n v="24"/>
  </r>
  <r>
    <n v="614"/>
    <x v="4"/>
    <x v="64"/>
    <x v="1"/>
    <x v="1"/>
    <x v="1"/>
    <x v="4"/>
    <n v="3"/>
    <n v="8"/>
    <s v="Cash"/>
    <x v="1"/>
    <n v="24"/>
  </r>
  <r>
    <n v="1731"/>
    <x v="0"/>
    <x v="42"/>
    <x v="0"/>
    <x v="2"/>
    <x v="2"/>
    <x v="1"/>
    <n v="4"/>
    <n v="12"/>
    <s v="Cash"/>
    <x v="1"/>
    <n v="48"/>
  </r>
  <r>
    <n v="412"/>
    <x v="2"/>
    <x v="42"/>
    <x v="0"/>
    <x v="2"/>
    <x v="0"/>
    <x v="1"/>
    <n v="2"/>
    <n v="12"/>
    <s v="Card"/>
    <x v="1"/>
    <n v="24"/>
  </r>
  <r>
    <n v="1738"/>
    <x v="5"/>
    <x v="76"/>
    <x v="2"/>
    <x v="3"/>
    <x v="3"/>
    <x v="4"/>
    <n v="2"/>
    <n v="8"/>
    <s v="Cash"/>
    <x v="1"/>
    <n v="16"/>
  </r>
  <r>
    <n v="1807"/>
    <x v="6"/>
    <x v="4"/>
    <x v="0"/>
    <x v="1"/>
    <x v="2"/>
    <x v="1"/>
    <n v="3"/>
    <n v="12"/>
    <s v="Cash"/>
    <x v="1"/>
    <n v="36"/>
  </r>
  <r>
    <n v="687"/>
    <x v="0"/>
    <x v="23"/>
    <x v="2"/>
    <x v="0"/>
    <x v="0"/>
    <x v="1"/>
    <n v="1"/>
    <n v="12"/>
    <s v="Card"/>
    <x v="1"/>
    <n v="12"/>
  </r>
  <r>
    <n v="15"/>
    <x v="2"/>
    <x v="56"/>
    <x v="0"/>
    <x v="3"/>
    <x v="2"/>
    <x v="0"/>
    <n v="3"/>
    <n v="25"/>
    <s v="Card"/>
    <x v="1"/>
    <n v="75"/>
  </r>
  <r>
    <n v="837"/>
    <x v="7"/>
    <x v="79"/>
    <x v="1"/>
    <x v="2"/>
    <x v="2"/>
    <x v="3"/>
    <n v="3"/>
    <n v="30"/>
    <s v="Card"/>
    <x v="1"/>
    <n v="90"/>
  </r>
  <r>
    <n v="1713"/>
    <x v="1"/>
    <x v="29"/>
    <x v="1"/>
    <x v="1"/>
    <x v="3"/>
    <x v="4"/>
    <n v="1"/>
    <n v="8"/>
    <s v="Cash"/>
    <x v="1"/>
    <n v="8"/>
  </r>
  <r>
    <n v="1621"/>
    <x v="1"/>
    <x v="52"/>
    <x v="2"/>
    <x v="5"/>
    <x v="2"/>
    <x v="4"/>
    <n v="2"/>
    <n v="8"/>
    <s v="Cash"/>
    <x v="1"/>
    <n v="16"/>
  </r>
  <r>
    <n v="802"/>
    <x v="0"/>
    <x v="2"/>
    <x v="2"/>
    <x v="2"/>
    <x v="2"/>
    <x v="3"/>
    <n v="2"/>
    <n v="30"/>
    <s v="Cash"/>
    <x v="1"/>
    <n v="60"/>
  </r>
  <r>
    <n v="407"/>
    <x v="0"/>
    <x v="59"/>
    <x v="0"/>
    <x v="0"/>
    <x v="2"/>
    <x v="1"/>
    <n v="2"/>
    <n v="12"/>
    <s v="Mobile Wallet"/>
    <x v="1"/>
    <n v="24"/>
  </r>
  <r>
    <n v="1151"/>
    <x v="1"/>
    <x v="24"/>
    <x v="0"/>
    <x v="2"/>
    <x v="3"/>
    <x v="0"/>
    <n v="5"/>
    <n v="25"/>
    <s v="Cash"/>
    <x v="1"/>
    <n v="125"/>
  </r>
  <r>
    <n v="63"/>
    <x v="1"/>
    <x v="50"/>
    <x v="0"/>
    <x v="6"/>
    <x v="0"/>
    <x v="2"/>
    <n v="1"/>
    <n v="20"/>
    <s v="Card"/>
    <x v="1"/>
    <n v="20"/>
  </r>
  <r>
    <n v="1925"/>
    <x v="4"/>
    <x v="74"/>
    <x v="2"/>
    <x v="1"/>
    <x v="2"/>
    <x v="3"/>
    <n v="2"/>
    <n v="30"/>
    <s v="Mobile Wallet"/>
    <x v="1"/>
    <n v="60"/>
  </r>
  <r>
    <n v="1864"/>
    <x v="0"/>
    <x v="76"/>
    <x v="2"/>
    <x v="3"/>
    <x v="1"/>
    <x v="1"/>
    <n v="4"/>
    <n v="12"/>
    <s v="Cash"/>
    <x v="1"/>
    <n v="48"/>
  </r>
  <r>
    <n v="479"/>
    <x v="3"/>
    <x v="37"/>
    <x v="0"/>
    <x v="0"/>
    <x v="2"/>
    <x v="1"/>
    <n v="3"/>
    <n v="12"/>
    <s v="Mobile Wallet"/>
    <x v="1"/>
    <n v="36"/>
  </r>
  <r>
    <n v="1301"/>
    <x v="5"/>
    <x v="36"/>
    <x v="2"/>
    <x v="2"/>
    <x v="2"/>
    <x v="1"/>
    <n v="5"/>
    <n v="12"/>
    <s v="Mobile Wallet"/>
    <x v="1"/>
    <n v="60"/>
  </r>
  <r>
    <n v="612"/>
    <x v="4"/>
    <x v="60"/>
    <x v="1"/>
    <x v="0"/>
    <x v="1"/>
    <x v="1"/>
    <n v="2"/>
    <n v="12"/>
    <s v="Cash"/>
    <x v="1"/>
    <n v="24"/>
  </r>
  <r>
    <n v="329"/>
    <x v="2"/>
    <x v="67"/>
    <x v="2"/>
    <x v="6"/>
    <x v="0"/>
    <x v="0"/>
    <n v="5"/>
    <n v="25"/>
    <s v="Card"/>
    <x v="1"/>
    <n v="125"/>
  </r>
  <r>
    <n v="1479"/>
    <x v="0"/>
    <x v="48"/>
    <x v="0"/>
    <x v="5"/>
    <x v="1"/>
    <x v="1"/>
    <n v="5"/>
    <n v="12"/>
    <s v="Card"/>
    <x v="1"/>
    <n v="60"/>
  </r>
  <r>
    <n v="1733"/>
    <x v="5"/>
    <x v="39"/>
    <x v="2"/>
    <x v="4"/>
    <x v="3"/>
    <x v="1"/>
    <n v="1"/>
    <n v="12"/>
    <s v="Cash"/>
    <x v="1"/>
    <n v="12"/>
  </r>
  <r>
    <n v="594"/>
    <x v="6"/>
    <x v="78"/>
    <x v="2"/>
    <x v="4"/>
    <x v="1"/>
    <x v="0"/>
    <n v="1"/>
    <n v="25"/>
    <s v="Cash"/>
    <x v="1"/>
    <n v="25"/>
  </r>
  <r>
    <n v="1978"/>
    <x v="7"/>
    <x v="91"/>
    <x v="1"/>
    <x v="5"/>
    <x v="1"/>
    <x v="0"/>
    <n v="3"/>
    <n v="25"/>
    <s v="Cash"/>
    <x v="1"/>
    <n v="75"/>
  </r>
  <r>
    <n v="668"/>
    <x v="6"/>
    <x v="36"/>
    <x v="2"/>
    <x v="2"/>
    <x v="1"/>
    <x v="4"/>
    <n v="3"/>
    <n v="8"/>
    <s v="Mobile Wallet"/>
    <x v="1"/>
    <n v="24"/>
  </r>
  <r>
    <n v="1822"/>
    <x v="5"/>
    <x v="23"/>
    <x v="2"/>
    <x v="0"/>
    <x v="2"/>
    <x v="1"/>
    <n v="5"/>
    <n v="12"/>
    <s v="Cash"/>
    <x v="1"/>
    <n v="60"/>
  </r>
  <r>
    <n v="1610"/>
    <x v="7"/>
    <x v="29"/>
    <x v="1"/>
    <x v="1"/>
    <x v="1"/>
    <x v="3"/>
    <n v="3"/>
    <n v="30"/>
    <s v="Card"/>
    <x v="1"/>
    <n v="90"/>
  </r>
  <r>
    <n v="453"/>
    <x v="0"/>
    <x v="35"/>
    <x v="0"/>
    <x v="5"/>
    <x v="2"/>
    <x v="0"/>
    <n v="4"/>
    <n v="25"/>
    <s v="Card"/>
    <x v="1"/>
    <n v="100"/>
  </r>
  <r>
    <n v="1413"/>
    <x v="1"/>
    <x v="28"/>
    <x v="2"/>
    <x v="0"/>
    <x v="2"/>
    <x v="1"/>
    <n v="3"/>
    <n v="12"/>
    <s v="Cash"/>
    <x v="1"/>
    <n v="36"/>
  </r>
  <r>
    <n v="1122"/>
    <x v="7"/>
    <x v="85"/>
    <x v="2"/>
    <x v="6"/>
    <x v="3"/>
    <x v="1"/>
    <n v="2"/>
    <n v="12"/>
    <s v="Cash"/>
    <x v="1"/>
    <n v="24"/>
  </r>
  <r>
    <n v="1167"/>
    <x v="1"/>
    <x v="8"/>
    <x v="0"/>
    <x v="2"/>
    <x v="2"/>
    <x v="3"/>
    <n v="3"/>
    <n v="30"/>
    <s v="Card"/>
    <x v="1"/>
    <n v="90"/>
  </r>
  <r>
    <n v="242"/>
    <x v="5"/>
    <x v="19"/>
    <x v="2"/>
    <x v="6"/>
    <x v="0"/>
    <x v="1"/>
    <n v="1"/>
    <n v="12"/>
    <s v="Mobile Wallet"/>
    <x v="1"/>
    <n v="12"/>
  </r>
  <r>
    <n v="1808"/>
    <x v="1"/>
    <x v="63"/>
    <x v="1"/>
    <x v="5"/>
    <x v="1"/>
    <x v="1"/>
    <n v="2"/>
    <n v="12"/>
    <s v="Mobile Wallet"/>
    <x v="1"/>
    <n v="24"/>
  </r>
  <r>
    <n v="1283"/>
    <x v="3"/>
    <x v="42"/>
    <x v="0"/>
    <x v="2"/>
    <x v="3"/>
    <x v="2"/>
    <n v="1"/>
    <n v="20"/>
    <s v="Card"/>
    <x v="1"/>
    <n v="20"/>
  </r>
  <r>
    <n v="990"/>
    <x v="2"/>
    <x v="49"/>
    <x v="2"/>
    <x v="1"/>
    <x v="1"/>
    <x v="2"/>
    <n v="4"/>
    <n v="20"/>
    <s v="Cash"/>
    <x v="1"/>
    <n v="80"/>
  </r>
  <r>
    <n v="336"/>
    <x v="2"/>
    <x v="16"/>
    <x v="0"/>
    <x v="0"/>
    <x v="1"/>
    <x v="1"/>
    <n v="4"/>
    <n v="12"/>
    <s v="Cash"/>
    <x v="1"/>
    <n v="48"/>
  </r>
  <r>
    <n v="732"/>
    <x v="3"/>
    <x v="49"/>
    <x v="2"/>
    <x v="1"/>
    <x v="2"/>
    <x v="1"/>
    <n v="1"/>
    <n v="12"/>
    <s v="Mobile Wallet"/>
    <x v="1"/>
    <n v="12"/>
  </r>
  <r>
    <n v="1611"/>
    <x v="1"/>
    <x v="55"/>
    <x v="1"/>
    <x v="2"/>
    <x v="0"/>
    <x v="0"/>
    <n v="5"/>
    <n v="25"/>
    <s v="Card"/>
    <x v="1"/>
    <n v="125"/>
  </r>
  <r>
    <n v="971"/>
    <x v="2"/>
    <x v="34"/>
    <x v="1"/>
    <x v="0"/>
    <x v="1"/>
    <x v="1"/>
    <n v="1"/>
    <n v="12"/>
    <s v="Card"/>
    <x v="1"/>
    <n v="12"/>
  </r>
  <r>
    <n v="645"/>
    <x v="2"/>
    <x v="40"/>
    <x v="2"/>
    <x v="2"/>
    <x v="3"/>
    <x v="1"/>
    <n v="3"/>
    <n v="12"/>
    <s v="Cash"/>
    <x v="1"/>
    <n v="36"/>
  </r>
  <r>
    <n v="1856"/>
    <x v="4"/>
    <x v="0"/>
    <x v="0"/>
    <x v="0"/>
    <x v="3"/>
    <x v="1"/>
    <n v="3"/>
    <n v="12"/>
    <s v="Cash"/>
    <x v="1"/>
    <n v="36"/>
  </r>
  <r>
    <n v="1984"/>
    <x v="7"/>
    <x v="27"/>
    <x v="1"/>
    <x v="5"/>
    <x v="2"/>
    <x v="1"/>
    <n v="3"/>
    <n v="12"/>
    <s v="Card"/>
    <x v="1"/>
    <n v="36"/>
  </r>
  <r>
    <n v="1393"/>
    <x v="2"/>
    <x v="27"/>
    <x v="1"/>
    <x v="5"/>
    <x v="2"/>
    <x v="2"/>
    <n v="3"/>
    <n v="20"/>
    <s v="Mobile Wallet"/>
    <x v="1"/>
    <n v="60"/>
  </r>
  <r>
    <n v="1293"/>
    <x v="6"/>
    <x v="79"/>
    <x v="1"/>
    <x v="2"/>
    <x v="3"/>
    <x v="1"/>
    <n v="2"/>
    <n v="12"/>
    <s v="Mobile Wallet"/>
    <x v="1"/>
    <n v="24"/>
  </r>
  <r>
    <n v="1899"/>
    <x v="2"/>
    <x v="44"/>
    <x v="2"/>
    <x v="1"/>
    <x v="0"/>
    <x v="0"/>
    <n v="4"/>
    <n v="25"/>
    <s v="Card"/>
    <x v="1"/>
    <n v="100"/>
  </r>
  <r>
    <n v="52"/>
    <x v="0"/>
    <x v="25"/>
    <x v="1"/>
    <x v="0"/>
    <x v="0"/>
    <x v="1"/>
    <n v="5"/>
    <n v="12"/>
    <s v="Cash"/>
    <x v="1"/>
    <n v="60"/>
  </r>
  <r>
    <n v="1156"/>
    <x v="3"/>
    <x v="54"/>
    <x v="1"/>
    <x v="3"/>
    <x v="0"/>
    <x v="0"/>
    <n v="1"/>
    <n v="25"/>
    <s v="Mobile Wallet"/>
    <x v="1"/>
    <n v="25"/>
  </r>
  <r>
    <n v="617"/>
    <x v="3"/>
    <x v="70"/>
    <x v="0"/>
    <x v="6"/>
    <x v="2"/>
    <x v="1"/>
    <n v="5"/>
    <n v="12"/>
    <s v="Card"/>
    <x v="1"/>
    <n v="60"/>
  </r>
  <r>
    <n v="1597"/>
    <x v="6"/>
    <x v="27"/>
    <x v="1"/>
    <x v="5"/>
    <x v="1"/>
    <x v="1"/>
    <n v="2"/>
    <n v="12"/>
    <s v="Mobile Wallet"/>
    <x v="1"/>
    <n v="24"/>
  </r>
  <r>
    <n v="27"/>
    <x v="0"/>
    <x v="43"/>
    <x v="2"/>
    <x v="5"/>
    <x v="0"/>
    <x v="4"/>
    <n v="4"/>
    <n v="8"/>
    <s v="Mobile Wallet"/>
    <x v="1"/>
    <n v="32"/>
  </r>
  <r>
    <n v="1347"/>
    <x v="7"/>
    <x v="36"/>
    <x v="2"/>
    <x v="2"/>
    <x v="2"/>
    <x v="1"/>
    <n v="1"/>
    <n v="12"/>
    <s v="Cash"/>
    <x v="1"/>
    <n v="12"/>
  </r>
  <r>
    <n v="1181"/>
    <x v="0"/>
    <x v="48"/>
    <x v="0"/>
    <x v="5"/>
    <x v="3"/>
    <x v="1"/>
    <n v="4"/>
    <n v="12"/>
    <s v="Mobile Wallet"/>
    <x v="1"/>
    <n v="48"/>
  </r>
  <r>
    <n v="1004"/>
    <x v="3"/>
    <x v="30"/>
    <x v="1"/>
    <x v="2"/>
    <x v="1"/>
    <x v="0"/>
    <n v="5"/>
    <n v="25"/>
    <s v="Card"/>
    <x v="1"/>
    <n v="125"/>
  </r>
  <r>
    <n v="1476"/>
    <x v="2"/>
    <x v="59"/>
    <x v="0"/>
    <x v="0"/>
    <x v="0"/>
    <x v="2"/>
    <n v="4"/>
    <n v="20"/>
    <s v="Cash"/>
    <x v="1"/>
    <n v="80"/>
  </r>
  <r>
    <n v="1038"/>
    <x v="5"/>
    <x v="36"/>
    <x v="2"/>
    <x v="2"/>
    <x v="1"/>
    <x v="3"/>
    <n v="2"/>
    <n v="30"/>
    <s v="Card"/>
    <x v="1"/>
    <n v="60"/>
  </r>
  <r>
    <n v="1468"/>
    <x v="0"/>
    <x v="47"/>
    <x v="0"/>
    <x v="4"/>
    <x v="2"/>
    <x v="4"/>
    <n v="4"/>
    <n v="8"/>
    <s v="Card"/>
    <x v="1"/>
    <n v="32"/>
  </r>
  <r>
    <n v="1981"/>
    <x v="1"/>
    <x v="55"/>
    <x v="1"/>
    <x v="2"/>
    <x v="2"/>
    <x v="2"/>
    <n v="1"/>
    <n v="20"/>
    <s v="Card"/>
    <x v="1"/>
    <n v="20"/>
  </r>
  <r>
    <n v="363"/>
    <x v="3"/>
    <x v="69"/>
    <x v="1"/>
    <x v="1"/>
    <x v="0"/>
    <x v="1"/>
    <n v="1"/>
    <n v="12"/>
    <s v="Card"/>
    <x v="1"/>
    <n v="12"/>
  </r>
  <r>
    <n v="919"/>
    <x v="6"/>
    <x v="24"/>
    <x v="0"/>
    <x v="2"/>
    <x v="1"/>
    <x v="1"/>
    <n v="3"/>
    <n v="12"/>
    <s v="Card"/>
    <x v="1"/>
    <n v="36"/>
  </r>
  <r>
    <n v="1177"/>
    <x v="5"/>
    <x v="26"/>
    <x v="2"/>
    <x v="2"/>
    <x v="2"/>
    <x v="4"/>
    <n v="3"/>
    <n v="8"/>
    <s v="Cash"/>
    <x v="1"/>
    <n v="24"/>
  </r>
  <r>
    <n v="976"/>
    <x v="4"/>
    <x v="2"/>
    <x v="2"/>
    <x v="2"/>
    <x v="0"/>
    <x v="1"/>
    <n v="4"/>
    <n v="12"/>
    <s v="Mobile Wallet"/>
    <x v="1"/>
    <n v="48"/>
  </r>
  <r>
    <n v="1906"/>
    <x v="4"/>
    <x v="18"/>
    <x v="0"/>
    <x v="0"/>
    <x v="1"/>
    <x v="1"/>
    <n v="4"/>
    <n v="12"/>
    <s v="Mobile Wallet"/>
    <x v="1"/>
    <n v="48"/>
  </r>
  <r>
    <n v="1031"/>
    <x v="5"/>
    <x v="28"/>
    <x v="2"/>
    <x v="0"/>
    <x v="0"/>
    <x v="1"/>
    <n v="4"/>
    <n v="12"/>
    <s v="Card"/>
    <x v="1"/>
    <n v="48"/>
  </r>
  <r>
    <n v="1655"/>
    <x v="4"/>
    <x v="42"/>
    <x v="0"/>
    <x v="2"/>
    <x v="2"/>
    <x v="1"/>
    <n v="1"/>
    <n v="12"/>
    <s v="Mobile Wallet"/>
    <x v="1"/>
    <n v="12"/>
  </r>
  <r>
    <n v="1607"/>
    <x v="4"/>
    <x v="1"/>
    <x v="1"/>
    <x v="1"/>
    <x v="2"/>
    <x v="2"/>
    <n v="2"/>
    <n v="20"/>
    <s v="Card"/>
    <x v="1"/>
    <n v="40"/>
  </r>
  <r>
    <n v="1949"/>
    <x v="6"/>
    <x v="4"/>
    <x v="0"/>
    <x v="1"/>
    <x v="3"/>
    <x v="1"/>
    <n v="4"/>
    <n v="12"/>
    <s v="Mobile Wallet"/>
    <x v="1"/>
    <n v="48"/>
  </r>
  <r>
    <n v="1374"/>
    <x v="4"/>
    <x v="34"/>
    <x v="1"/>
    <x v="0"/>
    <x v="0"/>
    <x v="4"/>
    <n v="2"/>
    <n v="8"/>
    <s v="Mobile Wallet"/>
    <x v="1"/>
    <n v="16"/>
  </r>
  <r>
    <n v="865"/>
    <x v="6"/>
    <x v="3"/>
    <x v="0"/>
    <x v="3"/>
    <x v="2"/>
    <x v="1"/>
    <n v="5"/>
    <n v="12"/>
    <s v="Cash"/>
    <x v="1"/>
    <n v="60"/>
  </r>
  <r>
    <n v="76"/>
    <x v="4"/>
    <x v="47"/>
    <x v="0"/>
    <x v="4"/>
    <x v="0"/>
    <x v="2"/>
    <n v="4"/>
    <n v="20"/>
    <s v="Mobile Wallet"/>
    <x v="1"/>
    <n v="80"/>
  </r>
  <r>
    <n v="1948"/>
    <x v="4"/>
    <x v="13"/>
    <x v="2"/>
    <x v="3"/>
    <x v="0"/>
    <x v="0"/>
    <n v="5"/>
    <n v="25"/>
    <s v="Cash"/>
    <x v="1"/>
    <n v="125"/>
  </r>
  <r>
    <n v="596"/>
    <x v="6"/>
    <x v="23"/>
    <x v="2"/>
    <x v="0"/>
    <x v="1"/>
    <x v="4"/>
    <n v="3"/>
    <n v="8"/>
    <s v="Mobile Wallet"/>
    <x v="1"/>
    <n v="24"/>
  </r>
  <r>
    <n v="1352"/>
    <x v="2"/>
    <x v="87"/>
    <x v="0"/>
    <x v="4"/>
    <x v="2"/>
    <x v="1"/>
    <n v="2"/>
    <n v="12"/>
    <s v="Card"/>
    <x v="1"/>
    <n v="24"/>
  </r>
  <r>
    <n v="317"/>
    <x v="7"/>
    <x v="88"/>
    <x v="0"/>
    <x v="6"/>
    <x v="2"/>
    <x v="1"/>
    <n v="1"/>
    <n v="12"/>
    <s v="Cash"/>
    <x v="1"/>
    <n v="12"/>
  </r>
  <r>
    <n v="1994"/>
    <x v="3"/>
    <x v="42"/>
    <x v="0"/>
    <x v="2"/>
    <x v="3"/>
    <x v="1"/>
    <n v="2"/>
    <n v="12"/>
    <s v="Mobile Wallet"/>
    <x v="1"/>
    <n v="24"/>
  </r>
  <r>
    <n v="431"/>
    <x v="3"/>
    <x v="8"/>
    <x v="0"/>
    <x v="2"/>
    <x v="1"/>
    <x v="0"/>
    <n v="4"/>
    <n v="25"/>
    <s v="Card"/>
    <x v="1"/>
    <n v="100"/>
  </r>
  <r>
    <n v="1263"/>
    <x v="5"/>
    <x v="30"/>
    <x v="1"/>
    <x v="2"/>
    <x v="3"/>
    <x v="1"/>
    <n v="1"/>
    <n v="12"/>
    <s v="Card"/>
    <x v="1"/>
    <n v="12"/>
  </r>
  <r>
    <n v="1430"/>
    <x v="5"/>
    <x v="34"/>
    <x v="1"/>
    <x v="0"/>
    <x v="2"/>
    <x v="0"/>
    <n v="4"/>
    <n v="25"/>
    <s v="Card"/>
    <x v="1"/>
    <n v="100"/>
  </r>
  <r>
    <n v="425"/>
    <x v="2"/>
    <x v="69"/>
    <x v="1"/>
    <x v="1"/>
    <x v="0"/>
    <x v="1"/>
    <n v="5"/>
    <n v="12"/>
    <s v="Cash"/>
    <x v="1"/>
    <n v="60"/>
  </r>
  <r>
    <n v="555"/>
    <x v="3"/>
    <x v="4"/>
    <x v="0"/>
    <x v="1"/>
    <x v="3"/>
    <x v="1"/>
    <n v="3"/>
    <n v="12"/>
    <s v="Mobile Wallet"/>
    <x v="1"/>
    <n v="36"/>
  </r>
  <r>
    <n v="945"/>
    <x v="1"/>
    <x v="37"/>
    <x v="0"/>
    <x v="0"/>
    <x v="1"/>
    <x v="4"/>
    <n v="4"/>
    <n v="8"/>
    <s v="Card"/>
    <x v="1"/>
    <n v="32"/>
  </r>
  <r>
    <n v="655"/>
    <x v="0"/>
    <x v="60"/>
    <x v="1"/>
    <x v="0"/>
    <x v="0"/>
    <x v="4"/>
    <n v="4"/>
    <n v="8"/>
    <s v="Mobile Wallet"/>
    <x v="1"/>
    <n v="32"/>
  </r>
  <r>
    <n v="1732"/>
    <x v="7"/>
    <x v="29"/>
    <x v="1"/>
    <x v="1"/>
    <x v="1"/>
    <x v="3"/>
    <n v="4"/>
    <n v="30"/>
    <s v="Card"/>
    <x v="1"/>
    <n v="120"/>
  </r>
  <r>
    <n v="1456"/>
    <x v="1"/>
    <x v="84"/>
    <x v="0"/>
    <x v="3"/>
    <x v="1"/>
    <x v="1"/>
    <n v="5"/>
    <n v="12"/>
    <s v="Cash"/>
    <x v="1"/>
    <n v="60"/>
  </r>
  <r>
    <n v="1762"/>
    <x v="5"/>
    <x v="23"/>
    <x v="2"/>
    <x v="0"/>
    <x v="2"/>
    <x v="4"/>
    <n v="5"/>
    <n v="8"/>
    <s v="Cash"/>
    <x v="1"/>
    <n v="40"/>
  </r>
  <r>
    <n v="1684"/>
    <x v="3"/>
    <x v="45"/>
    <x v="2"/>
    <x v="3"/>
    <x v="2"/>
    <x v="1"/>
    <n v="2"/>
    <n v="12"/>
    <s v="Mobile Wallet"/>
    <x v="1"/>
    <n v="24"/>
  </r>
  <r>
    <n v="1162"/>
    <x v="1"/>
    <x v="29"/>
    <x v="1"/>
    <x v="1"/>
    <x v="3"/>
    <x v="1"/>
    <n v="5"/>
    <n v="12"/>
    <s v="Card"/>
    <x v="1"/>
    <n v="60"/>
  </r>
  <r>
    <n v="1725"/>
    <x v="4"/>
    <x v="40"/>
    <x v="2"/>
    <x v="2"/>
    <x v="0"/>
    <x v="1"/>
    <n v="4"/>
    <n v="12"/>
    <s v="Cash"/>
    <x v="1"/>
    <n v="48"/>
  </r>
  <r>
    <n v="1383"/>
    <x v="7"/>
    <x v="46"/>
    <x v="1"/>
    <x v="3"/>
    <x v="0"/>
    <x v="1"/>
    <n v="3"/>
    <n v="12"/>
    <s v="Cash"/>
    <x v="1"/>
    <n v="36"/>
  </r>
  <r>
    <n v="549"/>
    <x v="4"/>
    <x v="73"/>
    <x v="2"/>
    <x v="6"/>
    <x v="2"/>
    <x v="1"/>
    <n v="4"/>
    <n v="12"/>
    <s v="Cash"/>
    <x v="1"/>
    <n v="48"/>
  </r>
  <r>
    <n v="119"/>
    <x v="2"/>
    <x v="86"/>
    <x v="1"/>
    <x v="4"/>
    <x v="3"/>
    <x v="1"/>
    <n v="3"/>
    <n v="12"/>
    <s v="Card"/>
    <x v="1"/>
    <n v="36"/>
  </r>
  <r>
    <n v="1916"/>
    <x v="4"/>
    <x v="26"/>
    <x v="2"/>
    <x v="2"/>
    <x v="2"/>
    <x v="1"/>
    <n v="5"/>
    <n v="12"/>
    <s v="Mobile Wallet"/>
    <x v="1"/>
    <n v="60"/>
  </r>
  <r>
    <n v="844"/>
    <x v="5"/>
    <x v="59"/>
    <x v="0"/>
    <x v="0"/>
    <x v="0"/>
    <x v="3"/>
    <n v="2"/>
    <n v="30"/>
    <s v="Card"/>
    <x v="1"/>
    <n v="60"/>
  </r>
  <r>
    <n v="1814"/>
    <x v="1"/>
    <x v="70"/>
    <x v="0"/>
    <x v="6"/>
    <x v="3"/>
    <x v="0"/>
    <n v="1"/>
    <n v="25"/>
    <s v="Card"/>
    <x v="1"/>
    <n v="25"/>
  </r>
  <r>
    <n v="461"/>
    <x v="4"/>
    <x v="26"/>
    <x v="2"/>
    <x v="2"/>
    <x v="1"/>
    <x v="3"/>
    <n v="5"/>
    <n v="30"/>
    <s v="Card"/>
    <x v="1"/>
    <n v="150"/>
  </r>
  <r>
    <n v="325"/>
    <x v="0"/>
    <x v="22"/>
    <x v="2"/>
    <x v="1"/>
    <x v="0"/>
    <x v="2"/>
    <n v="4"/>
    <n v="20"/>
    <s v="Mobile Wallet"/>
    <x v="1"/>
    <n v="80"/>
  </r>
  <r>
    <n v="1407"/>
    <x v="4"/>
    <x v="81"/>
    <x v="0"/>
    <x v="6"/>
    <x v="2"/>
    <x v="2"/>
    <n v="2"/>
    <n v="20"/>
    <s v="Card"/>
    <x v="1"/>
    <n v="40"/>
  </r>
  <r>
    <n v="850"/>
    <x v="0"/>
    <x v="3"/>
    <x v="0"/>
    <x v="3"/>
    <x v="2"/>
    <x v="1"/>
    <n v="3"/>
    <n v="12"/>
    <s v="Mobile Wallet"/>
    <x v="1"/>
    <n v="36"/>
  </r>
  <r>
    <n v="1322"/>
    <x v="7"/>
    <x v="30"/>
    <x v="1"/>
    <x v="2"/>
    <x v="2"/>
    <x v="1"/>
    <n v="5"/>
    <n v="12"/>
    <s v="Card"/>
    <x v="1"/>
    <n v="60"/>
  </r>
  <r>
    <n v="1227"/>
    <x v="5"/>
    <x v="41"/>
    <x v="2"/>
    <x v="4"/>
    <x v="3"/>
    <x v="1"/>
    <n v="4"/>
    <n v="12"/>
    <s v="Mobile Wallet"/>
    <x v="1"/>
    <n v="48"/>
  </r>
  <r>
    <n v="69"/>
    <x v="6"/>
    <x v="35"/>
    <x v="0"/>
    <x v="5"/>
    <x v="2"/>
    <x v="1"/>
    <n v="4"/>
    <n v="12"/>
    <s v="Card"/>
    <x v="1"/>
    <n v="48"/>
  </r>
  <r>
    <n v="1622"/>
    <x v="4"/>
    <x v="80"/>
    <x v="1"/>
    <x v="3"/>
    <x v="2"/>
    <x v="1"/>
    <n v="1"/>
    <n v="12"/>
    <s v="Mobile Wallet"/>
    <x v="1"/>
    <n v="12"/>
  </r>
  <r>
    <n v="952"/>
    <x v="6"/>
    <x v="4"/>
    <x v="0"/>
    <x v="1"/>
    <x v="0"/>
    <x v="4"/>
    <n v="1"/>
    <n v="8"/>
    <s v="Cash"/>
    <x v="1"/>
    <n v="8"/>
  </r>
  <r>
    <n v="1262"/>
    <x v="7"/>
    <x v="0"/>
    <x v="0"/>
    <x v="0"/>
    <x v="1"/>
    <x v="0"/>
    <n v="5"/>
    <n v="25"/>
    <s v="Cash"/>
    <x v="1"/>
    <n v="125"/>
  </r>
  <r>
    <n v="1536"/>
    <x v="4"/>
    <x v="60"/>
    <x v="1"/>
    <x v="0"/>
    <x v="0"/>
    <x v="1"/>
    <n v="3"/>
    <n v="12"/>
    <s v="Cash"/>
    <x v="1"/>
    <n v="36"/>
  </r>
  <r>
    <n v="1323"/>
    <x v="1"/>
    <x v="51"/>
    <x v="0"/>
    <x v="1"/>
    <x v="0"/>
    <x v="4"/>
    <n v="5"/>
    <n v="8"/>
    <s v="Cash"/>
    <x v="1"/>
    <n v="40"/>
  </r>
  <r>
    <n v="408"/>
    <x v="2"/>
    <x v="25"/>
    <x v="1"/>
    <x v="0"/>
    <x v="0"/>
    <x v="1"/>
    <n v="5"/>
    <n v="12"/>
    <s v="Mobile Wallet"/>
    <x v="1"/>
    <n v="60"/>
  </r>
  <r>
    <n v="1580"/>
    <x v="7"/>
    <x v="24"/>
    <x v="0"/>
    <x v="2"/>
    <x v="3"/>
    <x v="1"/>
    <n v="5"/>
    <n v="12"/>
    <s v="Cash"/>
    <x v="1"/>
    <n v="60"/>
  </r>
  <r>
    <n v="925"/>
    <x v="3"/>
    <x v="13"/>
    <x v="2"/>
    <x v="3"/>
    <x v="2"/>
    <x v="1"/>
    <n v="4"/>
    <n v="12"/>
    <s v="Mobile Wallet"/>
    <x v="1"/>
    <n v="48"/>
  </r>
  <r>
    <n v="1578"/>
    <x v="4"/>
    <x v="20"/>
    <x v="0"/>
    <x v="4"/>
    <x v="0"/>
    <x v="1"/>
    <n v="1"/>
    <n v="12"/>
    <s v="Mobile Wallet"/>
    <x v="1"/>
    <n v="12"/>
  </r>
  <r>
    <n v="733"/>
    <x v="3"/>
    <x v="86"/>
    <x v="1"/>
    <x v="4"/>
    <x v="1"/>
    <x v="1"/>
    <n v="4"/>
    <n v="12"/>
    <s v="Card"/>
    <x v="1"/>
    <n v="48"/>
  </r>
  <r>
    <n v="246"/>
    <x v="0"/>
    <x v="87"/>
    <x v="0"/>
    <x v="4"/>
    <x v="2"/>
    <x v="0"/>
    <n v="3"/>
    <n v="25"/>
    <s v="Cash"/>
    <x v="1"/>
    <n v="75"/>
  </r>
  <r>
    <n v="1973"/>
    <x v="7"/>
    <x v="22"/>
    <x v="2"/>
    <x v="1"/>
    <x v="0"/>
    <x v="1"/>
    <n v="3"/>
    <n v="12"/>
    <s v="Cash"/>
    <x v="1"/>
    <n v="36"/>
  </r>
  <r>
    <n v="1641"/>
    <x v="6"/>
    <x v="19"/>
    <x v="2"/>
    <x v="6"/>
    <x v="2"/>
    <x v="1"/>
    <n v="2"/>
    <n v="12"/>
    <s v="Mobile Wallet"/>
    <x v="1"/>
    <n v="24"/>
  </r>
  <r>
    <n v="1592"/>
    <x v="7"/>
    <x v="89"/>
    <x v="1"/>
    <x v="5"/>
    <x v="0"/>
    <x v="1"/>
    <n v="1"/>
    <n v="12"/>
    <s v="Mobile Wallet"/>
    <x v="1"/>
    <n v="12"/>
  </r>
  <r>
    <n v="1870"/>
    <x v="4"/>
    <x v="42"/>
    <x v="0"/>
    <x v="2"/>
    <x v="2"/>
    <x v="1"/>
    <n v="5"/>
    <n v="12"/>
    <s v="Card"/>
    <x v="1"/>
    <n v="60"/>
  </r>
  <r>
    <n v="391"/>
    <x v="7"/>
    <x v="10"/>
    <x v="2"/>
    <x v="0"/>
    <x v="2"/>
    <x v="1"/>
    <n v="2"/>
    <n v="12"/>
    <s v="Cash"/>
    <x v="1"/>
    <n v="24"/>
  </r>
  <r>
    <n v="1942"/>
    <x v="2"/>
    <x v="36"/>
    <x v="2"/>
    <x v="2"/>
    <x v="2"/>
    <x v="2"/>
    <n v="5"/>
    <n v="20"/>
    <s v="Card"/>
    <x v="1"/>
    <n v="100"/>
  </r>
  <r>
    <n v="1668"/>
    <x v="3"/>
    <x v="10"/>
    <x v="2"/>
    <x v="0"/>
    <x v="1"/>
    <x v="1"/>
    <n v="4"/>
    <n v="12"/>
    <s v="Mobile Wallet"/>
    <x v="1"/>
    <n v="48"/>
  </r>
  <r>
    <n v="68"/>
    <x v="3"/>
    <x v="91"/>
    <x v="1"/>
    <x v="5"/>
    <x v="3"/>
    <x v="1"/>
    <n v="5"/>
    <n v="12"/>
    <s v="Cash"/>
    <x v="1"/>
    <n v="60"/>
  </r>
  <r>
    <n v="674"/>
    <x v="0"/>
    <x v="44"/>
    <x v="2"/>
    <x v="1"/>
    <x v="0"/>
    <x v="1"/>
    <n v="2"/>
    <n v="12"/>
    <s v="Card"/>
    <x v="1"/>
    <n v="24"/>
  </r>
  <r>
    <n v="1195"/>
    <x v="4"/>
    <x v="63"/>
    <x v="1"/>
    <x v="5"/>
    <x v="2"/>
    <x v="1"/>
    <n v="1"/>
    <n v="12"/>
    <s v="Mobile Wallet"/>
    <x v="1"/>
    <n v="12"/>
  </r>
  <r>
    <n v="1154"/>
    <x v="4"/>
    <x v="3"/>
    <x v="0"/>
    <x v="3"/>
    <x v="3"/>
    <x v="1"/>
    <n v="4"/>
    <n v="12"/>
    <s v="Card"/>
    <x v="1"/>
    <n v="48"/>
  </r>
  <r>
    <n v="1344"/>
    <x v="3"/>
    <x v="83"/>
    <x v="0"/>
    <x v="5"/>
    <x v="2"/>
    <x v="1"/>
    <n v="3"/>
    <n v="12"/>
    <s v="Mobile Wallet"/>
    <x v="1"/>
    <n v="36"/>
  </r>
  <r>
    <n v="477"/>
    <x v="3"/>
    <x v="71"/>
    <x v="1"/>
    <x v="2"/>
    <x v="1"/>
    <x v="1"/>
    <n v="5"/>
    <n v="12"/>
    <s v="Card"/>
    <x v="1"/>
    <n v="60"/>
  </r>
  <r>
    <n v="1956"/>
    <x v="3"/>
    <x v="34"/>
    <x v="1"/>
    <x v="0"/>
    <x v="2"/>
    <x v="2"/>
    <n v="5"/>
    <n v="20"/>
    <s v="Card"/>
    <x v="1"/>
    <n v="100"/>
  </r>
  <r>
    <n v="977"/>
    <x v="2"/>
    <x v="66"/>
    <x v="0"/>
    <x v="1"/>
    <x v="1"/>
    <x v="2"/>
    <n v="5"/>
    <n v="20"/>
    <s v="Card"/>
    <x v="1"/>
    <n v="100"/>
  </r>
  <r>
    <n v="1000"/>
    <x v="7"/>
    <x v="37"/>
    <x v="0"/>
    <x v="0"/>
    <x v="1"/>
    <x v="2"/>
    <n v="1"/>
    <n v="20"/>
    <s v="Cash"/>
    <x v="1"/>
    <n v="20"/>
  </r>
  <r>
    <n v="372"/>
    <x v="2"/>
    <x v="79"/>
    <x v="1"/>
    <x v="2"/>
    <x v="1"/>
    <x v="2"/>
    <n v="4"/>
    <n v="20"/>
    <s v="Card"/>
    <x v="1"/>
    <n v="80"/>
  </r>
  <r>
    <n v="378"/>
    <x v="3"/>
    <x v="51"/>
    <x v="0"/>
    <x v="1"/>
    <x v="1"/>
    <x v="4"/>
    <n v="4"/>
    <n v="8"/>
    <s v="Card"/>
    <x v="1"/>
    <n v="32"/>
  </r>
  <r>
    <n v="489"/>
    <x v="3"/>
    <x v="67"/>
    <x v="2"/>
    <x v="6"/>
    <x v="1"/>
    <x v="0"/>
    <n v="3"/>
    <n v="25"/>
    <s v="Cash"/>
    <x v="1"/>
    <n v="75"/>
  </r>
  <r>
    <n v="1510"/>
    <x v="6"/>
    <x v="2"/>
    <x v="2"/>
    <x v="2"/>
    <x v="3"/>
    <x v="1"/>
    <n v="5"/>
    <n v="12"/>
    <s v="Mobile Wallet"/>
    <x v="1"/>
    <n v="60"/>
  </r>
  <r>
    <n v="1248"/>
    <x v="0"/>
    <x v="31"/>
    <x v="2"/>
    <x v="0"/>
    <x v="3"/>
    <x v="1"/>
    <n v="3"/>
    <n v="12"/>
    <s v="Cash"/>
    <x v="1"/>
    <n v="36"/>
  </r>
  <r>
    <n v="1437"/>
    <x v="0"/>
    <x v="89"/>
    <x v="1"/>
    <x v="5"/>
    <x v="3"/>
    <x v="1"/>
    <n v="4"/>
    <n v="12"/>
    <s v="Card"/>
    <x v="1"/>
    <n v="48"/>
  </r>
  <r>
    <n v="525"/>
    <x v="4"/>
    <x v="41"/>
    <x v="2"/>
    <x v="4"/>
    <x v="0"/>
    <x v="2"/>
    <n v="1"/>
    <n v="20"/>
    <s v="Mobile Wallet"/>
    <x v="1"/>
    <n v="20"/>
  </r>
  <r>
    <n v="1376"/>
    <x v="1"/>
    <x v="42"/>
    <x v="0"/>
    <x v="2"/>
    <x v="3"/>
    <x v="4"/>
    <n v="2"/>
    <n v="8"/>
    <s v="Mobile Wallet"/>
    <x v="1"/>
    <n v="16"/>
  </r>
  <r>
    <n v="1039"/>
    <x v="3"/>
    <x v="2"/>
    <x v="2"/>
    <x v="2"/>
    <x v="0"/>
    <x v="1"/>
    <n v="5"/>
    <n v="12"/>
    <s v="Cash"/>
    <x v="1"/>
    <n v="60"/>
  </r>
  <r>
    <n v="24"/>
    <x v="2"/>
    <x v="40"/>
    <x v="2"/>
    <x v="2"/>
    <x v="3"/>
    <x v="1"/>
    <n v="1"/>
    <n v="12"/>
    <s v="Cash"/>
    <x v="1"/>
    <n v="12"/>
  </r>
  <r>
    <n v="1631"/>
    <x v="5"/>
    <x v="55"/>
    <x v="1"/>
    <x v="2"/>
    <x v="1"/>
    <x v="4"/>
    <n v="1"/>
    <n v="8"/>
    <s v="Cash"/>
    <x v="1"/>
    <n v="8"/>
  </r>
  <r>
    <n v="77"/>
    <x v="6"/>
    <x v="91"/>
    <x v="1"/>
    <x v="5"/>
    <x v="1"/>
    <x v="1"/>
    <n v="1"/>
    <n v="12"/>
    <s v="Card"/>
    <x v="1"/>
    <n v="12"/>
  </r>
  <r>
    <n v="813"/>
    <x v="3"/>
    <x v="21"/>
    <x v="1"/>
    <x v="6"/>
    <x v="3"/>
    <x v="4"/>
    <n v="3"/>
    <n v="8"/>
    <s v="Card"/>
    <x v="1"/>
    <n v="24"/>
  </r>
  <r>
    <n v="470"/>
    <x v="6"/>
    <x v="28"/>
    <x v="2"/>
    <x v="0"/>
    <x v="1"/>
    <x v="0"/>
    <n v="3"/>
    <n v="25"/>
    <s v="Card"/>
    <x v="1"/>
    <n v="75"/>
  </r>
  <r>
    <n v="541"/>
    <x v="5"/>
    <x v="71"/>
    <x v="1"/>
    <x v="2"/>
    <x v="3"/>
    <x v="4"/>
    <n v="1"/>
    <n v="8"/>
    <s v="Mobile Wallet"/>
    <x v="1"/>
    <n v="8"/>
  </r>
  <r>
    <n v="1993"/>
    <x v="7"/>
    <x v="57"/>
    <x v="1"/>
    <x v="4"/>
    <x v="1"/>
    <x v="4"/>
    <n v="2"/>
    <n v="8"/>
    <s v="Cash"/>
    <x v="1"/>
    <n v="16"/>
  </r>
  <r>
    <n v="999"/>
    <x v="2"/>
    <x v="3"/>
    <x v="0"/>
    <x v="3"/>
    <x v="2"/>
    <x v="1"/>
    <n v="5"/>
    <n v="12"/>
    <s v="Card"/>
    <x v="1"/>
    <n v="60"/>
  </r>
  <r>
    <n v="1643"/>
    <x v="1"/>
    <x v="18"/>
    <x v="0"/>
    <x v="0"/>
    <x v="3"/>
    <x v="1"/>
    <n v="5"/>
    <n v="12"/>
    <s v="Mobile Wallet"/>
    <x v="1"/>
    <n v="60"/>
  </r>
  <r>
    <n v="1315"/>
    <x v="0"/>
    <x v="33"/>
    <x v="0"/>
    <x v="2"/>
    <x v="0"/>
    <x v="1"/>
    <n v="4"/>
    <n v="12"/>
    <s v="Card"/>
    <x v="1"/>
    <n v="48"/>
  </r>
  <r>
    <n v="955"/>
    <x v="7"/>
    <x v="27"/>
    <x v="1"/>
    <x v="5"/>
    <x v="2"/>
    <x v="3"/>
    <n v="3"/>
    <n v="30"/>
    <s v="Card"/>
    <x v="1"/>
    <n v="90"/>
  </r>
  <r>
    <n v="232"/>
    <x v="6"/>
    <x v="30"/>
    <x v="1"/>
    <x v="2"/>
    <x v="3"/>
    <x v="1"/>
    <n v="3"/>
    <n v="12"/>
    <s v="Cash"/>
    <x v="1"/>
    <n v="36"/>
  </r>
  <r>
    <n v="1754"/>
    <x v="5"/>
    <x v="28"/>
    <x v="2"/>
    <x v="0"/>
    <x v="3"/>
    <x v="4"/>
    <n v="4"/>
    <n v="8"/>
    <s v="Mobile Wallet"/>
    <x v="1"/>
    <n v="32"/>
  </r>
  <r>
    <n v="1564"/>
    <x v="4"/>
    <x v="36"/>
    <x v="2"/>
    <x v="2"/>
    <x v="1"/>
    <x v="1"/>
    <n v="1"/>
    <n v="12"/>
    <s v="Card"/>
    <x v="1"/>
    <n v="12"/>
  </r>
  <r>
    <n v="1042"/>
    <x v="4"/>
    <x v="9"/>
    <x v="0"/>
    <x v="2"/>
    <x v="1"/>
    <x v="3"/>
    <n v="5"/>
    <n v="30"/>
    <s v="Cash"/>
    <x v="1"/>
    <n v="150"/>
  </r>
  <r>
    <n v="1217"/>
    <x v="0"/>
    <x v="45"/>
    <x v="2"/>
    <x v="3"/>
    <x v="0"/>
    <x v="1"/>
    <n v="5"/>
    <n v="12"/>
    <s v="Card"/>
    <x v="1"/>
    <n v="60"/>
  </r>
  <r>
    <n v="993"/>
    <x v="4"/>
    <x v="16"/>
    <x v="0"/>
    <x v="0"/>
    <x v="2"/>
    <x v="0"/>
    <n v="2"/>
    <n v="25"/>
    <s v="Card"/>
    <x v="1"/>
    <n v="50"/>
  </r>
  <r>
    <n v="1403"/>
    <x v="3"/>
    <x v="38"/>
    <x v="0"/>
    <x v="1"/>
    <x v="1"/>
    <x v="3"/>
    <n v="1"/>
    <n v="30"/>
    <s v="Card"/>
    <x v="1"/>
    <n v="30"/>
  </r>
  <r>
    <n v="115"/>
    <x v="5"/>
    <x v="30"/>
    <x v="1"/>
    <x v="2"/>
    <x v="3"/>
    <x v="4"/>
    <n v="1"/>
    <n v="8"/>
    <s v="Cash"/>
    <x v="1"/>
    <n v="8"/>
  </r>
  <r>
    <n v="848"/>
    <x v="4"/>
    <x v="31"/>
    <x v="2"/>
    <x v="0"/>
    <x v="1"/>
    <x v="1"/>
    <n v="2"/>
    <n v="12"/>
    <s v="Mobile Wallet"/>
    <x v="1"/>
    <n v="24"/>
  </r>
  <r>
    <n v="155"/>
    <x v="1"/>
    <x v="0"/>
    <x v="0"/>
    <x v="0"/>
    <x v="1"/>
    <x v="1"/>
    <n v="2"/>
    <n v="12"/>
    <s v="Mobile Wallet"/>
    <x v="1"/>
    <n v="24"/>
  </r>
  <r>
    <n v="231"/>
    <x v="0"/>
    <x v="52"/>
    <x v="2"/>
    <x v="5"/>
    <x v="2"/>
    <x v="4"/>
    <n v="1"/>
    <n v="8"/>
    <s v="Cash"/>
    <x v="1"/>
    <n v="8"/>
  </r>
  <r>
    <n v="309"/>
    <x v="2"/>
    <x v="1"/>
    <x v="1"/>
    <x v="1"/>
    <x v="0"/>
    <x v="1"/>
    <n v="2"/>
    <n v="12"/>
    <s v="Cash"/>
    <x v="1"/>
    <n v="24"/>
  </r>
  <r>
    <n v="245"/>
    <x v="5"/>
    <x v="11"/>
    <x v="1"/>
    <x v="4"/>
    <x v="1"/>
    <x v="2"/>
    <n v="3"/>
    <n v="20"/>
    <s v="Mobile Wallet"/>
    <x v="3"/>
    <n v="60"/>
  </r>
  <r>
    <n v="699"/>
    <x v="4"/>
    <x v="27"/>
    <x v="1"/>
    <x v="5"/>
    <x v="1"/>
    <x v="4"/>
    <n v="4"/>
    <n v="8"/>
    <s v="Cash"/>
    <x v="2"/>
    <n v="32"/>
  </r>
  <r>
    <n v="1913"/>
    <x v="4"/>
    <x v="41"/>
    <x v="2"/>
    <x v="4"/>
    <x v="3"/>
    <x v="1"/>
    <n v="4"/>
    <n v="12"/>
    <s v="Card"/>
    <x v="1"/>
    <n v="48"/>
  </r>
  <r>
    <n v="552"/>
    <x v="6"/>
    <x v="0"/>
    <x v="0"/>
    <x v="0"/>
    <x v="3"/>
    <x v="1"/>
    <n v="1"/>
    <n v="12"/>
    <s v="Mobile Wallet"/>
    <x v="3"/>
    <n v="12"/>
  </r>
  <r>
    <n v="215"/>
    <x v="7"/>
    <x v="74"/>
    <x v="2"/>
    <x v="1"/>
    <x v="2"/>
    <x v="4"/>
    <n v="3"/>
    <n v="8"/>
    <s v="Card"/>
    <x v="1"/>
    <n v="24"/>
  </r>
  <r>
    <n v="1210"/>
    <x v="1"/>
    <x v="45"/>
    <x v="2"/>
    <x v="3"/>
    <x v="3"/>
    <x v="0"/>
    <n v="2"/>
    <n v="25"/>
    <s v="Mobile Wallet"/>
    <x v="3"/>
    <n v="50"/>
  </r>
  <r>
    <n v="656"/>
    <x v="1"/>
    <x v="40"/>
    <x v="2"/>
    <x v="2"/>
    <x v="3"/>
    <x v="1"/>
    <n v="1"/>
    <n v="12"/>
    <s v="Card"/>
    <x v="0"/>
    <n v="12"/>
  </r>
  <r>
    <n v="88"/>
    <x v="3"/>
    <x v="79"/>
    <x v="1"/>
    <x v="2"/>
    <x v="3"/>
    <x v="4"/>
    <n v="2"/>
    <n v="8"/>
    <s v="Mobile Wallet"/>
    <x v="3"/>
    <n v="16"/>
  </r>
  <r>
    <n v="419"/>
    <x v="2"/>
    <x v="7"/>
    <x v="1"/>
    <x v="3"/>
    <x v="3"/>
    <x v="1"/>
    <n v="5"/>
    <n v="12"/>
    <s v="Mobile Wallet"/>
    <x v="0"/>
    <n v="60"/>
  </r>
  <r>
    <n v="697"/>
    <x v="5"/>
    <x v="21"/>
    <x v="1"/>
    <x v="6"/>
    <x v="1"/>
    <x v="4"/>
    <n v="1"/>
    <n v="8"/>
    <s v="Cash"/>
    <x v="0"/>
    <n v="8"/>
  </r>
  <r>
    <n v="1080"/>
    <x v="3"/>
    <x v="40"/>
    <x v="2"/>
    <x v="2"/>
    <x v="0"/>
    <x v="3"/>
    <n v="1"/>
    <n v="30"/>
    <s v="Card"/>
    <x v="2"/>
    <n v="30"/>
  </r>
  <r>
    <n v="440"/>
    <x v="7"/>
    <x v="13"/>
    <x v="2"/>
    <x v="3"/>
    <x v="0"/>
    <x v="1"/>
    <n v="3"/>
    <n v="12"/>
    <s v="Cash"/>
    <x v="1"/>
    <n v="36"/>
  </r>
  <r>
    <n v="1165"/>
    <x v="1"/>
    <x v="81"/>
    <x v="0"/>
    <x v="6"/>
    <x v="3"/>
    <x v="1"/>
    <n v="1"/>
    <n v="12"/>
    <s v="Cash"/>
    <x v="3"/>
    <n v="12"/>
  </r>
  <r>
    <n v="1926"/>
    <x v="1"/>
    <x v="62"/>
    <x v="1"/>
    <x v="6"/>
    <x v="1"/>
    <x v="1"/>
    <n v="1"/>
    <n v="12"/>
    <s v="Card"/>
    <x v="2"/>
    <n v="12"/>
  </r>
  <r>
    <n v="135"/>
    <x v="5"/>
    <x v="51"/>
    <x v="0"/>
    <x v="1"/>
    <x v="0"/>
    <x v="4"/>
    <n v="2"/>
    <n v="8"/>
    <s v="Card"/>
    <x v="1"/>
    <n v="16"/>
  </r>
  <r>
    <n v="1759"/>
    <x v="5"/>
    <x v="84"/>
    <x v="0"/>
    <x v="3"/>
    <x v="0"/>
    <x v="1"/>
    <n v="3"/>
    <n v="12"/>
    <s v="Cash"/>
    <x v="1"/>
    <n v="36"/>
  </r>
  <r>
    <n v="1753"/>
    <x v="4"/>
    <x v="45"/>
    <x v="2"/>
    <x v="3"/>
    <x v="3"/>
    <x v="1"/>
    <n v="2"/>
    <n v="12"/>
    <s v="Cash"/>
    <x v="3"/>
    <n v="24"/>
  </r>
  <r>
    <n v="1995"/>
    <x v="1"/>
    <x v="34"/>
    <x v="1"/>
    <x v="0"/>
    <x v="2"/>
    <x v="1"/>
    <n v="4"/>
    <n v="12"/>
    <s v="Cash"/>
    <x v="2"/>
    <n v="48"/>
  </r>
  <r>
    <n v="1414"/>
    <x v="2"/>
    <x v="87"/>
    <x v="0"/>
    <x v="4"/>
    <x v="1"/>
    <x v="1"/>
    <n v="2"/>
    <n v="12"/>
    <s v="Mobile Wallet"/>
    <x v="0"/>
    <n v="24"/>
  </r>
  <r>
    <n v="1951"/>
    <x v="6"/>
    <x v="88"/>
    <x v="0"/>
    <x v="6"/>
    <x v="3"/>
    <x v="1"/>
    <n v="5"/>
    <n v="12"/>
    <s v="Card"/>
    <x v="1"/>
    <n v="60"/>
  </r>
  <r>
    <n v="942"/>
    <x v="1"/>
    <x v="73"/>
    <x v="2"/>
    <x v="6"/>
    <x v="0"/>
    <x v="0"/>
    <n v="2"/>
    <n v="25"/>
    <s v="Mobile Wallet"/>
    <x v="1"/>
    <n v="50"/>
  </r>
  <r>
    <n v="737"/>
    <x v="6"/>
    <x v="82"/>
    <x v="0"/>
    <x v="1"/>
    <x v="0"/>
    <x v="3"/>
    <n v="5"/>
    <n v="30"/>
    <s v="Cash"/>
    <x v="1"/>
    <n v="150"/>
  </r>
  <r>
    <n v="1006"/>
    <x v="1"/>
    <x v="59"/>
    <x v="0"/>
    <x v="0"/>
    <x v="3"/>
    <x v="2"/>
    <n v="4"/>
    <n v="20"/>
    <s v="Mobile Wallet"/>
    <x v="2"/>
    <n v="80"/>
  </r>
  <r>
    <n v="1068"/>
    <x v="5"/>
    <x v="56"/>
    <x v="0"/>
    <x v="3"/>
    <x v="3"/>
    <x v="3"/>
    <n v="3"/>
    <n v="30"/>
    <s v="Mobile Wallet"/>
    <x v="0"/>
    <n v="90"/>
  </r>
  <r>
    <n v="234"/>
    <x v="6"/>
    <x v="58"/>
    <x v="1"/>
    <x v="3"/>
    <x v="0"/>
    <x v="2"/>
    <n v="3"/>
    <n v="20"/>
    <s v="Card"/>
    <x v="2"/>
    <n v="60"/>
  </r>
  <r>
    <n v="793"/>
    <x v="1"/>
    <x v="34"/>
    <x v="1"/>
    <x v="0"/>
    <x v="3"/>
    <x v="0"/>
    <n v="3"/>
    <n v="25"/>
    <s v="Cash"/>
    <x v="1"/>
    <n v="75"/>
  </r>
  <r>
    <n v="1334"/>
    <x v="2"/>
    <x v="37"/>
    <x v="0"/>
    <x v="0"/>
    <x v="1"/>
    <x v="1"/>
    <n v="2"/>
    <n v="12"/>
    <s v="Card"/>
    <x v="1"/>
    <n v="24"/>
  </r>
  <r>
    <n v="557"/>
    <x v="2"/>
    <x v="28"/>
    <x v="2"/>
    <x v="0"/>
    <x v="1"/>
    <x v="0"/>
    <n v="2"/>
    <n v="25"/>
    <s v="Card"/>
    <x v="3"/>
    <n v="50"/>
  </r>
  <r>
    <n v="207"/>
    <x v="2"/>
    <x v="89"/>
    <x v="1"/>
    <x v="5"/>
    <x v="0"/>
    <x v="1"/>
    <n v="5"/>
    <n v="12"/>
    <s v="Cash"/>
    <x v="1"/>
    <n v="60"/>
  </r>
  <r>
    <n v="640"/>
    <x v="2"/>
    <x v="39"/>
    <x v="2"/>
    <x v="4"/>
    <x v="1"/>
    <x v="4"/>
    <n v="5"/>
    <n v="8"/>
    <s v="Mobile Wallet"/>
    <x v="1"/>
    <n v="40"/>
  </r>
  <r>
    <n v="387"/>
    <x v="7"/>
    <x v="22"/>
    <x v="2"/>
    <x v="1"/>
    <x v="2"/>
    <x v="1"/>
    <n v="2"/>
    <n v="12"/>
    <s v="Card"/>
    <x v="1"/>
    <n v="24"/>
  </r>
  <r>
    <n v="1809"/>
    <x v="6"/>
    <x v="10"/>
    <x v="2"/>
    <x v="0"/>
    <x v="3"/>
    <x v="1"/>
    <n v="3"/>
    <n v="12"/>
    <s v="Cash"/>
    <x v="1"/>
    <n v="36"/>
  </r>
  <r>
    <n v="540"/>
    <x v="4"/>
    <x v="6"/>
    <x v="1"/>
    <x v="5"/>
    <x v="0"/>
    <x v="4"/>
    <n v="5"/>
    <n v="8"/>
    <s v="Cash"/>
    <x v="1"/>
    <n v="40"/>
  </r>
  <r>
    <n v="32"/>
    <x v="3"/>
    <x v="12"/>
    <x v="2"/>
    <x v="3"/>
    <x v="3"/>
    <x v="0"/>
    <n v="2"/>
    <n v="25"/>
    <s v="Card"/>
    <x v="3"/>
    <n v="50"/>
  </r>
  <r>
    <n v="936"/>
    <x v="3"/>
    <x v="8"/>
    <x v="0"/>
    <x v="2"/>
    <x v="3"/>
    <x v="1"/>
    <n v="3"/>
    <n v="12"/>
    <s v="Mobile Wallet"/>
    <x v="1"/>
    <n v="36"/>
  </r>
  <r>
    <n v="1851"/>
    <x v="7"/>
    <x v="63"/>
    <x v="1"/>
    <x v="5"/>
    <x v="1"/>
    <x v="1"/>
    <n v="5"/>
    <n v="12"/>
    <s v="Card"/>
    <x v="3"/>
    <n v="60"/>
  </r>
  <r>
    <n v="949"/>
    <x v="0"/>
    <x v="28"/>
    <x v="2"/>
    <x v="0"/>
    <x v="2"/>
    <x v="1"/>
    <n v="2"/>
    <n v="12"/>
    <s v="Cash"/>
    <x v="2"/>
    <n v="24"/>
  </r>
  <r>
    <n v="11"/>
    <x v="7"/>
    <x v="42"/>
    <x v="0"/>
    <x v="2"/>
    <x v="0"/>
    <x v="1"/>
    <n v="2"/>
    <n v="12"/>
    <s v="Card"/>
    <x v="3"/>
    <n v="24"/>
  </r>
  <r>
    <n v="257"/>
    <x v="5"/>
    <x v="87"/>
    <x v="0"/>
    <x v="4"/>
    <x v="0"/>
    <x v="0"/>
    <n v="3"/>
    <n v="25"/>
    <s v="Cash"/>
    <x v="0"/>
    <n v="75"/>
  </r>
  <r>
    <n v="1673"/>
    <x v="2"/>
    <x v="26"/>
    <x v="2"/>
    <x v="2"/>
    <x v="0"/>
    <x v="4"/>
    <n v="3"/>
    <n v="8"/>
    <s v="Card"/>
    <x v="3"/>
    <n v="24"/>
  </r>
  <r>
    <n v="1184"/>
    <x v="6"/>
    <x v="18"/>
    <x v="0"/>
    <x v="0"/>
    <x v="1"/>
    <x v="1"/>
    <n v="1"/>
    <n v="12"/>
    <s v="Card"/>
    <x v="0"/>
    <n v="12"/>
  </r>
  <r>
    <n v="1860"/>
    <x v="3"/>
    <x v="31"/>
    <x v="2"/>
    <x v="0"/>
    <x v="3"/>
    <x v="2"/>
    <n v="3"/>
    <n v="20"/>
    <s v="Card"/>
    <x v="0"/>
    <n v="60"/>
  </r>
  <r>
    <n v="5"/>
    <x v="7"/>
    <x v="18"/>
    <x v="0"/>
    <x v="0"/>
    <x v="1"/>
    <x v="1"/>
    <n v="4"/>
    <n v="12"/>
    <s v="Card"/>
    <x v="1"/>
    <n v="48"/>
  </r>
  <r>
    <n v="1963"/>
    <x v="4"/>
    <x v="41"/>
    <x v="2"/>
    <x v="4"/>
    <x v="3"/>
    <x v="1"/>
    <n v="3"/>
    <n v="12"/>
    <s v="Card"/>
    <x v="1"/>
    <n v="36"/>
  </r>
  <r>
    <n v="1559"/>
    <x v="5"/>
    <x v="18"/>
    <x v="0"/>
    <x v="0"/>
    <x v="2"/>
    <x v="1"/>
    <n v="4"/>
    <n v="12"/>
    <s v="Mobile Wallet"/>
    <x v="1"/>
    <n v="48"/>
  </r>
  <r>
    <n v="484"/>
    <x v="0"/>
    <x v="26"/>
    <x v="2"/>
    <x v="2"/>
    <x v="1"/>
    <x v="1"/>
    <n v="3"/>
    <n v="12"/>
    <s v="Mobile Wallet"/>
    <x v="1"/>
    <n v="36"/>
  </r>
  <r>
    <n v="1573"/>
    <x v="0"/>
    <x v="64"/>
    <x v="1"/>
    <x v="1"/>
    <x v="1"/>
    <x v="2"/>
    <n v="5"/>
    <n v="20"/>
    <s v="Card"/>
    <x v="2"/>
    <n v="100"/>
  </r>
  <r>
    <n v="1747"/>
    <x v="6"/>
    <x v="8"/>
    <x v="0"/>
    <x v="2"/>
    <x v="1"/>
    <x v="4"/>
    <n v="1"/>
    <n v="8"/>
    <s v="Mobile Wallet"/>
    <x v="0"/>
    <n v="8"/>
  </r>
  <r>
    <n v="608"/>
    <x v="2"/>
    <x v="34"/>
    <x v="1"/>
    <x v="0"/>
    <x v="3"/>
    <x v="1"/>
    <n v="2"/>
    <n v="12"/>
    <s v="Mobile Wallet"/>
    <x v="1"/>
    <n v="24"/>
  </r>
  <r>
    <n v="131"/>
    <x v="6"/>
    <x v="58"/>
    <x v="1"/>
    <x v="3"/>
    <x v="3"/>
    <x v="1"/>
    <n v="1"/>
    <n v="12"/>
    <s v="Mobile Wallet"/>
    <x v="1"/>
    <n v="12"/>
  </r>
  <r>
    <n v="1279"/>
    <x v="1"/>
    <x v="14"/>
    <x v="1"/>
    <x v="0"/>
    <x v="1"/>
    <x v="1"/>
    <n v="1"/>
    <n v="12"/>
    <s v="Cash"/>
    <x v="0"/>
    <n v="12"/>
  </r>
  <r>
    <n v="875"/>
    <x v="4"/>
    <x v="57"/>
    <x v="1"/>
    <x v="4"/>
    <x v="1"/>
    <x v="4"/>
    <n v="5"/>
    <n v="8"/>
    <s v="Mobile Wallet"/>
    <x v="0"/>
    <n v="40"/>
  </r>
  <r>
    <n v="768"/>
    <x v="2"/>
    <x v="30"/>
    <x v="1"/>
    <x v="2"/>
    <x v="0"/>
    <x v="1"/>
    <n v="3"/>
    <n v="12"/>
    <s v="Mobile Wallet"/>
    <x v="0"/>
    <n v="36"/>
  </r>
  <r>
    <n v="1537"/>
    <x v="3"/>
    <x v="8"/>
    <x v="0"/>
    <x v="2"/>
    <x v="3"/>
    <x v="1"/>
    <n v="3"/>
    <n v="12"/>
    <s v="Cash"/>
    <x v="1"/>
    <n v="36"/>
  </r>
  <r>
    <n v="602"/>
    <x v="2"/>
    <x v="22"/>
    <x v="2"/>
    <x v="1"/>
    <x v="3"/>
    <x v="1"/>
    <n v="1"/>
    <n v="12"/>
    <s v="Mobile Wallet"/>
    <x v="1"/>
    <n v="12"/>
  </r>
  <r>
    <n v="828"/>
    <x v="4"/>
    <x v="20"/>
    <x v="0"/>
    <x v="4"/>
    <x v="3"/>
    <x v="1"/>
    <n v="4"/>
    <n v="12"/>
    <s v="Mobile Wallet"/>
    <x v="1"/>
    <n v="48"/>
  </r>
  <r>
    <n v="1318"/>
    <x v="2"/>
    <x v="25"/>
    <x v="1"/>
    <x v="0"/>
    <x v="2"/>
    <x v="1"/>
    <n v="2"/>
    <n v="12"/>
    <s v="Cash"/>
    <x v="1"/>
    <n v="24"/>
  </r>
  <r>
    <n v="727"/>
    <x v="7"/>
    <x v="2"/>
    <x v="2"/>
    <x v="2"/>
    <x v="1"/>
    <x v="1"/>
    <n v="5"/>
    <n v="12"/>
    <s v="Cash"/>
    <x v="3"/>
    <n v="60"/>
  </r>
  <r>
    <n v="1469"/>
    <x v="6"/>
    <x v="68"/>
    <x v="2"/>
    <x v="4"/>
    <x v="0"/>
    <x v="2"/>
    <n v="2"/>
    <n v="20"/>
    <s v="Cash"/>
    <x v="1"/>
    <n v="40"/>
  </r>
  <r>
    <n v="815"/>
    <x v="6"/>
    <x v="78"/>
    <x v="2"/>
    <x v="4"/>
    <x v="1"/>
    <x v="0"/>
    <n v="3"/>
    <n v="25"/>
    <s v="Card"/>
    <x v="1"/>
    <n v="75"/>
  </r>
  <r>
    <n v="300"/>
    <x v="2"/>
    <x v="37"/>
    <x v="0"/>
    <x v="0"/>
    <x v="1"/>
    <x v="1"/>
    <n v="1"/>
    <n v="12"/>
    <s v="Card"/>
    <x v="1"/>
    <n v="12"/>
  </r>
  <r>
    <n v="755"/>
    <x v="4"/>
    <x v="59"/>
    <x v="0"/>
    <x v="0"/>
    <x v="1"/>
    <x v="3"/>
    <n v="3"/>
    <n v="30"/>
    <s v="Cash"/>
    <x v="1"/>
    <n v="90"/>
  </r>
  <r>
    <n v="1788"/>
    <x v="6"/>
    <x v="37"/>
    <x v="0"/>
    <x v="0"/>
    <x v="3"/>
    <x v="1"/>
    <n v="4"/>
    <n v="12"/>
    <s v="Mobile Wallet"/>
    <x v="1"/>
    <n v="48"/>
  </r>
  <r>
    <n v="1256"/>
    <x v="4"/>
    <x v="52"/>
    <x v="2"/>
    <x v="5"/>
    <x v="2"/>
    <x v="1"/>
    <n v="2"/>
    <n v="12"/>
    <s v="Card"/>
    <x v="1"/>
    <n v="24"/>
  </r>
  <r>
    <n v="565"/>
    <x v="6"/>
    <x v="91"/>
    <x v="1"/>
    <x v="5"/>
    <x v="2"/>
    <x v="1"/>
    <n v="2"/>
    <n v="12"/>
    <s v="Mobile Wallet"/>
    <x v="1"/>
    <n v="24"/>
  </r>
  <r>
    <n v="500"/>
    <x v="6"/>
    <x v="56"/>
    <x v="0"/>
    <x v="3"/>
    <x v="1"/>
    <x v="1"/>
    <n v="1"/>
    <n v="12"/>
    <s v="Card"/>
    <x v="1"/>
    <n v="12"/>
  </r>
  <r>
    <n v="669"/>
    <x v="1"/>
    <x v="14"/>
    <x v="1"/>
    <x v="0"/>
    <x v="3"/>
    <x v="4"/>
    <n v="1"/>
    <n v="8"/>
    <s v="Cash"/>
    <x v="1"/>
    <n v="8"/>
  </r>
  <r>
    <n v="743"/>
    <x v="4"/>
    <x v="18"/>
    <x v="0"/>
    <x v="0"/>
    <x v="0"/>
    <x v="1"/>
    <n v="4"/>
    <n v="12"/>
    <s v="Card"/>
    <x v="1"/>
    <n v="48"/>
  </r>
  <r>
    <n v="14"/>
    <x v="7"/>
    <x v="48"/>
    <x v="0"/>
    <x v="5"/>
    <x v="1"/>
    <x v="1"/>
    <n v="5"/>
    <n v="12"/>
    <s v="Cash"/>
    <x v="1"/>
    <n v="60"/>
  </r>
  <r>
    <n v="1660"/>
    <x v="2"/>
    <x v="2"/>
    <x v="2"/>
    <x v="2"/>
    <x v="0"/>
    <x v="3"/>
    <n v="5"/>
    <n v="30"/>
    <s v="Card"/>
    <x v="1"/>
    <n v="150"/>
  </r>
  <r>
    <n v="381"/>
    <x v="2"/>
    <x v="23"/>
    <x v="2"/>
    <x v="0"/>
    <x v="2"/>
    <x v="2"/>
    <n v="3"/>
    <n v="20"/>
    <s v="Cash"/>
    <x v="0"/>
    <n v="60"/>
  </r>
  <r>
    <n v="375"/>
    <x v="3"/>
    <x v="55"/>
    <x v="1"/>
    <x v="2"/>
    <x v="2"/>
    <x v="4"/>
    <n v="3"/>
    <n v="8"/>
    <s v="Cash"/>
    <x v="0"/>
    <n v="24"/>
  </r>
  <r>
    <n v="1194"/>
    <x v="2"/>
    <x v="3"/>
    <x v="0"/>
    <x v="3"/>
    <x v="3"/>
    <x v="1"/>
    <n v="2"/>
    <n v="12"/>
    <s v="Cash"/>
    <x v="0"/>
    <n v="24"/>
  </r>
  <r>
    <n v="438"/>
    <x v="2"/>
    <x v="37"/>
    <x v="0"/>
    <x v="0"/>
    <x v="0"/>
    <x v="1"/>
    <n v="3"/>
    <n v="12"/>
    <s v="Mobile Wallet"/>
    <x v="1"/>
    <n v="36"/>
  </r>
  <r>
    <n v="304"/>
    <x v="0"/>
    <x v="14"/>
    <x v="1"/>
    <x v="0"/>
    <x v="3"/>
    <x v="1"/>
    <n v="1"/>
    <n v="12"/>
    <s v="Cash"/>
    <x v="1"/>
    <n v="12"/>
  </r>
  <r>
    <n v="1261"/>
    <x v="5"/>
    <x v="59"/>
    <x v="0"/>
    <x v="0"/>
    <x v="1"/>
    <x v="1"/>
    <n v="3"/>
    <n v="12"/>
    <s v="Card"/>
    <x v="0"/>
    <n v="36"/>
  </r>
  <r>
    <n v="1817"/>
    <x v="4"/>
    <x v="8"/>
    <x v="0"/>
    <x v="2"/>
    <x v="0"/>
    <x v="1"/>
    <n v="4"/>
    <n v="12"/>
    <s v="Mobile Wallet"/>
    <x v="0"/>
    <n v="48"/>
  </r>
  <r>
    <n v="1019"/>
    <x v="2"/>
    <x v="74"/>
    <x v="2"/>
    <x v="1"/>
    <x v="1"/>
    <x v="1"/>
    <n v="5"/>
    <n v="12"/>
    <s v="Card"/>
    <x v="3"/>
    <n v="60"/>
  </r>
  <r>
    <n v="870"/>
    <x v="0"/>
    <x v="79"/>
    <x v="1"/>
    <x v="2"/>
    <x v="0"/>
    <x v="1"/>
    <n v="1"/>
    <n v="12"/>
    <s v="Cash"/>
    <x v="3"/>
    <n v="12"/>
  </r>
  <r>
    <n v="1481"/>
    <x v="7"/>
    <x v="36"/>
    <x v="2"/>
    <x v="2"/>
    <x v="2"/>
    <x v="1"/>
    <n v="2"/>
    <n v="12"/>
    <s v="Card"/>
    <x v="0"/>
    <n v="24"/>
  </r>
  <r>
    <n v="1254"/>
    <x v="4"/>
    <x v="83"/>
    <x v="0"/>
    <x v="5"/>
    <x v="0"/>
    <x v="1"/>
    <n v="3"/>
    <n v="12"/>
    <s v="Mobile Wallet"/>
    <x v="2"/>
    <n v="36"/>
  </r>
  <r>
    <n v="1866"/>
    <x v="4"/>
    <x v="10"/>
    <x v="2"/>
    <x v="0"/>
    <x v="1"/>
    <x v="1"/>
    <n v="4"/>
    <n v="12"/>
    <s v="Mobile Wallet"/>
    <x v="0"/>
    <n v="48"/>
  </r>
  <r>
    <n v="1384"/>
    <x v="6"/>
    <x v="71"/>
    <x v="1"/>
    <x v="2"/>
    <x v="0"/>
    <x v="1"/>
    <n v="2"/>
    <n v="12"/>
    <s v="Mobile Wallet"/>
    <x v="2"/>
    <n v="24"/>
  </r>
  <r>
    <n v="280"/>
    <x v="4"/>
    <x v="66"/>
    <x v="0"/>
    <x v="1"/>
    <x v="0"/>
    <x v="1"/>
    <n v="4"/>
    <n v="12"/>
    <s v="Card"/>
    <x v="0"/>
    <n v="48"/>
  </r>
  <r>
    <n v="1503"/>
    <x v="0"/>
    <x v="50"/>
    <x v="0"/>
    <x v="6"/>
    <x v="3"/>
    <x v="3"/>
    <n v="4"/>
    <n v="30"/>
    <s v="Mobile Wallet"/>
    <x v="0"/>
    <n v="120"/>
  </r>
  <r>
    <n v="877"/>
    <x v="4"/>
    <x v="39"/>
    <x v="2"/>
    <x v="4"/>
    <x v="2"/>
    <x v="1"/>
    <n v="5"/>
    <n v="12"/>
    <s v="Cash"/>
    <x v="0"/>
    <n v="60"/>
  </r>
  <r>
    <n v="1159"/>
    <x v="6"/>
    <x v="45"/>
    <x v="2"/>
    <x v="3"/>
    <x v="1"/>
    <x v="2"/>
    <n v="4"/>
    <n v="20"/>
    <s v="Mobile Wallet"/>
    <x v="0"/>
    <n v="80"/>
  </r>
  <r>
    <n v="238"/>
    <x v="0"/>
    <x v="25"/>
    <x v="1"/>
    <x v="0"/>
    <x v="0"/>
    <x v="1"/>
    <n v="4"/>
    <n v="12"/>
    <s v="Mobile Wallet"/>
    <x v="3"/>
    <n v="48"/>
  </r>
  <r>
    <n v="179"/>
    <x v="3"/>
    <x v="8"/>
    <x v="0"/>
    <x v="2"/>
    <x v="0"/>
    <x v="4"/>
    <n v="5"/>
    <n v="8"/>
    <s v="Mobile Wallet"/>
    <x v="3"/>
    <n v="40"/>
  </r>
  <r>
    <n v="1789"/>
    <x v="1"/>
    <x v="49"/>
    <x v="2"/>
    <x v="1"/>
    <x v="2"/>
    <x v="1"/>
    <n v="2"/>
    <n v="12"/>
    <s v="Card"/>
    <x v="0"/>
    <n v="24"/>
  </r>
  <r>
    <n v="1750"/>
    <x v="5"/>
    <x v="76"/>
    <x v="2"/>
    <x v="3"/>
    <x v="2"/>
    <x v="2"/>
    <n v="4"/>
    <n v="20"/>
    <s v="Cash"/>
    <x v="1"/>
    <n v="80"/>
  </r>
  <r>
    <n v="1919"/>
    <x v="7"/>
    <x v="61"/>
    <x v="1"/>
    <x v="6"/>
    <x v="1"/>
    <x v="4"/>
    <n v="5"/>
    <n v="8"/>
    <s v="Cash"/>
    <x v="3"/>
    <n v="40"/>
  </r>
  <r>
    <n v="1046"/>
    <x v="7"/>
    <x v="11"/>
    <x v="1"/>
    <x v="4"/>
    <x v="0"/>
    <x v="4"/>
    <n v="1"/>
    <n v="8"/>
    <s v="Mobile Wallet"/>
    <x v="2"/>
    <n v="8"/>
  </r>
  <r>
    <n v="1968"/>
    <x v="2"/>
    <x v="28"/>
    <x v="2"/>
    <x v="0"/>
    <x v="1"/>
    <x v="1"/>
    <n v="1"/>
    <n v="12"/>
    <s v="Mobile Wallet"/>
    <x v="3"/>
    <n v="12"/>
  </r>
  <r>
    <n v="1873"/>
    <x v="7"/>
    <x v="28"/>
    <x v="2"/>
    <x v="0"/>
    <x v="0"/>
    <x v="1"/>
    <n v="5"/>
    <n v="12"/>
    <s v="Card"/>
    <x v="0"/>
    <n v="60"/>
  </r>
  <r>
    <n v="689"/>
    <x v="5"/>
    <x v="80"/>
    <x v="1"/>
    <x v="3"/>
    <x v="3"/>
    <x v="1"/>
    <n v="2"/>
    <n v="12"/>
    <s v="Card"/>
    <x v="3"/>
    <n v="24"/>
  </r>
  <r>
    <n v="1415"/>
    <x v="4"/>
    <x v="1"/>
    <x v="1"/>
    <x v="1"/>
    <x v="3"/>
    <x v="4"/>
    <n v="2"/>
    <n v="8"/>
    <s v="Mobile Wallet"/>
    <x v="3"/>
    <n v="16"/>
  </r>
  <r>
    <n v="371"/>
    <x v="6"/>
    <x v="69"/>
    <x v="1"/>
    <x v="1"/>
    <x v="1"/>
    <x v="4"/>
    <n v="2"/>
    <n v="8"/>
    <s v="Mobile Wallet"/>
    <x v="0"/>
    <n v="16"/>
  </r>
  <r>
    <n v="1069"/>
    <x v="1"/>
    <x v="70"/>
    <x v="0"/>
    <x v="6"/>
    <x v="1"/>
    <x v="1"/>
    <n v="1"/>
    <n v="12"/>
    <s v="Card"/>
    <x v="0"/>
    <n v="12"/>
  </r>
  <r>
    <n v="530"/>
    <x v="4"/>
    <x v="19"/>
    <x v="2"/>
    <x v="6"/>
    <x v="3"/>
    <x v="3"/>
    <n v="4"/>
    <n v="30"/>
    <s v="Cash"/>
    <x v="0"/>
    <n v="120"/>
  </r>
  <r>
    <n v="1361"/>
    <x v="0"/>
    <x v="40"/>
    <x v="2"/>
    <x v="2"/>
    <x v="2"/>
    <x v="4"/>
    <n v="1"/>
    <n v="8"/>
    <s v="Mobile Wallet"/>
    <x v="0"/>
    <n v="8"/>
  </r>
  <r>
    <n v="1096"/>
    <x v="4"/>
    <x v="79"/>
    <x v="1"/>
    <x v="2"/>
    <x v="1"/>
    <x v="4"/>
    <n v="5"/>
    <n v="8"/>
    <s v="Cash"/>
    <x v="3"/>
    <n v="40"/>
  </r>
  <r>
    <n v="423"/>
    <x v="0"/>
    <x v="28"/>
    <x v="2"/>
    <x v="0"/>
    <x v="3"/>
    <x v="4"/>
    <n v="2"/>
    <n v="8"/>
    <s v="Cash"/>
    <x v="2"/>
    <n v="16"/>
  </r>
  <r>
    <n v="227"/>
    <x v="1"/>
    <x v="77"/>
    <x v="2"/>
    <x v="4"/>
    <x v="0"/>
    <x v="1"/>
    <n v="5"/>
    <n v="12"/>
    <s v="Mobile Wallet"/>
    <x v="3"/>
    <n v="60"/>
  </r>
  <r>
    <n v="920"/>
    <x v="2"/>
    <x v="71"/>
    <x v="1"/>
    <x v="2"/>
    <x v="2"/>
    <x v="1"/>
    <n v="3"/>
    <n v="12"/>
    <s v="Cash"/>
    <x v="1"/>
    <n v="36"/>
  </r>
  <r>
    <n v="1623"/>
    <x v="0"/>
    <x v="87"/>
    <x v="0"/>
    <x v="4"/>
    <x v="1"/>
    <x v="1"/>
    <n v="4"/>
    <n v="12"/>
    <s v="Cash"/>
    <x v="1"/>
    <n v="48"/>
  </r>
  <r>
    <n v="554"/>
    <x v="6"/>
    <x v="0"/>
    <x v="0"/>
    <x v="0"/>
    <x v="1"/>
    <x v="3"/>
    <n v="3"/>
    <n v="30"/>
    <s v="Card"/>
    <x v="0"/>
    <n v="90"/>
  </r>
  <r>
    <n v="610"/>
    <x v="2"/>
    <x v="60"/>
    <x v="1"/>
    <x v="0"/>
    <x v="1"/>
    <x v="1"/>
    <n v="3"/>
    <n v="12"/>
    <s v="Mobile Wallet"/>
    <x v="3"/>
    <n v="36"/>
  </r>
  <r>
    <n v="1920"/>
    <x v="3"/>
    <x v="15"/>
    <x v="0"/>
    <x v="4"/>
    <x v="0"/>
    <x v="2"/>
    <n v="3"/>
    <n v="20"/>
    <s v="Mobile Wallet"/>
    <x v="3"/>
    <n v="60"/>
  </r>
  <r>
    <n v="1266"/>
    <x v="7"/>
    <x v="13"/>
    <x v="2"/>
    <x v="3"/>
    <x v="1"/>
    <x v="1"/>
    <n v="5"/>
    <n v="12"/>
    <s v="Cash"/>
    <x v="1"/>
    <n v="60"/>
  </r>
  <r>
    <n v="99"/>
    <x v="0"/>
    <x v="66"/>
    <x v="0"/>
    <x v="1"/>
    <x v="2"/>
    <x v="4"/>
    <n v="1"/>
    <n v="8"/>
    <s v="Card"/>
    <x v="3"/>
    <n v="8"/>
  </r>
  <r>
    <n v="1768"/>
    <x v="3"/>
    <x v="37"/>
    <x v="0"/>
    <x v="0"/>
    <x v="3"/>
    <x v="1"/>
    <n v="4"/>
    <n v="12"/>
    <s v="Cash"/>
    <x v="0"/>
    <n v="48"/>
  </r>
  <r>
    <n v="1458"/>
    <x v="6"/>
    <x v="35"/>
    <x v="0"/>
    <x v="5"/>
    <x v="3"/>
    <x v="4"/>
    <n v="1"/>
    <n v="8"/>
    <s v="Cash"/>
    <x v="1"/>
    <n v="8"/>
  </r>
  <r>
    <n v="798"/>
    <x v="5"/>
    <x v="52"/>
    <x v="2"/>
    <x v="5"/>
    <x v="1"/>
    <x v="0"/>
    <n v="3"/>
    <n v="25"/>
    <s v="Cash"/>
    <x v="3"/>
    <n v="75"/>
  </r>
  <r>
    <n v="991"/>
    <x v="4"/>
    <x v="68"/>
    <x v="2"/>
    <x v="4"/>
    <x v="2"/>
    <x v="1"/>
    <n v="2"/>
    <n v="12"/>
    <s v="Mobile Wallet"/>
    <x v="0"/>
    <n v="24"/>
  </r>
  <r>
    <n v="1777"/>
    <x v="4"/>
    <x v="15"/>
    <x v="0"/>
    <x v="4"/>
    <x v="3"/>
    <x v="2"/>
    <n v="4"/>
    <n v="20"/>
    <s v="Mobile Wallet"/>
    <x v="2"/>
    <n v="80"/>
  </r>
  <r>
    <n v="1672"/>
    <x v="1"/>
    <x v="0"/>
    <x v="0"/>
    <x v="0"/>
    <x v="2"/>
    <x v="1"/>
    <n v="5"/>
    <n v="12"/>
    <s v="Card"/>
    <x v="0"/>
    <n v="60"/>
  </r>
  <r>
    <n v="726"/>
    <x v="1"/>
    <x v="16"/>
    <x v="0"/>
    <x v="0"/>
    <x v="2"/>
    <x v="1"/>
    <n v="4"/>
    <n v="12"/>
    <s v="Cash"/>
    <x v="1"/>
    <n v="48"/>
  </r>
  <r>
    <n v="1455"/>
    <x v="3"/>
    <x v="11"/>
    <x v="1"/>
    <x v="4"/>
    <x v="0"/>
    <x v="3"/>
    <n v="5"/>
    <n v="30"/>
    <s v="Cash"/>
    <x v="1"/>
    <n v="150"/>
  </r>
  <r>
    <n v="398"/>
    <x v="0"/>
    <x v="32"/>
    <x v="2"/>
    <x v="5"/>
    <x v="0"/>
    <x v="1"/>
    <n v="5"/>
    <n v="12"/>
    <s v="Card"/>
    <x v="3"/>
    <n v="60"/>
  </r>
  <r>
    <n v="849"/>
    <x v="5"/>
    <x v="46"/>
    <x v="1"/>
    <x v="3"/>
    <x v="3"/>
    <x v="0"/>
    <n v="4"/>
    <n v="25"/>
    <s v="Cash"/>
    <x v="2"/>
    <n v="100"/>
  </r>
  <r>
    <n v="1363"/>
    <x v="3"/>
    <x v="24"/>
    <x v="0"/>
    <x v="2"/>
    <x v="1"/>
    <x v="4"/>
    <n v="5"/>
    <n v="8"/>
    <s v="Cash"/>
    <x v="3"/>
    <n v="40"/>
  </r>
  <r>
    <n v="937"/>
    <x v="0"/>
    <x v="36"/>
    <x v="2"/>
    <x v="2"/>
    <x v="1"/>
    <x v="4"/>
    <n v="5"/>
    <n v="8"/>
    <s v="Card"/>
    <x v="0"/>
    <n v="40"/>
  </r>
  <r>
    <n v="166"/>
    <x v="3"/>
    <x v="45"/>
    <x v="2"/>
    <x v="3"/>
    <x v="0"/>
    <x v="3"/>
    <n v="4"/>
    <n v="30"/>
    <s v="Cash"/>
    <x v="3"/>
    <n v="120"/>
  </r>
  <r>
    <n v="348"/>
    <x v="6"/>
    <x v="3"/>
    <x v="0"/>
    <x v="3"/>
    <x v="2"/>
    <x v="1"/>
    <n v="2"/>
    <n v="12"/>
    <s v="Mobile Wallet"/>
    <x v="0"/>
    <n v="24"/>
  </r>
  <r>
    <n v="1829"/>
    <x v="0"/>
    <x v="12"/>
    <x v="2"/>
    <x v="3"/>
    <x v="3"/>
    <x v="2"/>
    <n v="4"/>
    <n v="20"/>
    <s v="Cash"/>
    <x v="2"/>
    <n v="80"/>
  </r>
  <r>
    <n v="900"/>
    <x v="7"/>
    <x v="60"/>
    <x v="1"/>
    <x v="0"/>
    <x v="2"/>
    <x v="1"/>
    <n v="2"/>
    <n v="12"/>
    <s v="Card"/>
    <x v="3"/>
    <n v="24"/>
  </r>
  <r>
    <n v="213"/>
    <x v="1"/>
    <x v="30"/>
    <x v="1"/>
    <x v="2"/>
    <x v="2"/>
    <x v="1"/>
    <n v="4"/>
    <n v="12"/>
    <s v="Cash"/>
    <x v="0"/>
    <n v="48"/>
  </r>
  <r>
    <n v="421"/>
    <x v="4"/>
    <x v="27"/>
    <x v="1"/>
    <x v="5"/>
    <x v="3"/>
    <x v="1"/>
    <n v="3"/>
    <n v="12"/>
    <s v="Cash"/>
    <x v="3"/>
    <n v="36"/>
  </r>
  <r>
    <n v="134"/>
    <x v="1"/>
    <x v="69"/>
    <x v="1"/>
    <x v="1"/>
    <x v="3"/>
    <x v="0"/>
    <n v="4"/>
    <n v="25"/>
    <s v="Cash"/>
    <x v="1"/>
    <n v="100"/>
  </r>
  <r>
    <n v="592"/>
    <x v="2"/>
    <x v="8"/>
    <x v="0"/>
    <x v="2"/>
    <x v="2"/>
    <x v="2"/>
    <n v="5"/>
    <n v="20"/>
    <s v="Card"/>
    <x v="1"/>
    <n v="100"/>
  </r>
  <r>
    <n v="948"/>
    <x v="2"/>
    <x v="14"/>
    <x v="1"/>
    <x v="0"/>
    <x v="2"/>
    <x v="0"/>
    <n v="2"/>
    <n v="25"/>
    <s v="Cash"/>
    <x v="0"/>
    <n v="50"/>
  </r>
  <r>
    <n v="1048"/>
    <x v="3"/>
    <x v="18"/>
    <x v="0"/>
    <x v="0"/>
    <x v="2"/>
    <x v="1"/>
    <n v="5"/>
    <n v="12"/>
    <s v="Card"/>
    <x v="3"/>
    <n v="60"/>
  </r>
  <r>
    <n v="857"/>
    <x v="7"/>
    <x v="59"/>
    <x v="0"/>
    <x v="0"/>
    <x v="2"/>
    <x v="1"/>
    <n v="5"/>
    <n v="12"/>
    <s v="Card"/>
    <x v="0"/>
    <n v="60"/>
  </r>
  <r>
    <n v="571"/>
    <x v="0"/>
    <x v="41"/>
    <x v="2"/>
    <x v="4"/>
    <x v="2"/>
    <x v="1"/>
    <n v="1"/>
    <n v="12"/>
    <s v="Mobile Wallet"/>
    <x v="2"/>
    <n v="12"/>
  </r>
  <r>
    <n v="157"/>
    <x v="5"/>
    <x v="34"/>
    <x v="1"/>
    <x v="0"/>
    <x v="1"/>
    <x v="1"/>
    <n v="4"/>
    <n v="12"/>
    <s v="Card"/>
    <x v="0"/>
    <n v="48"/>
  </r>
  <r>
    <n v="1562"/>
    <x v="6"/>
    <x v="31"/>
    <x v="2"/>
    <x v="0"/>
    <x v="1"/>
    <x v="2"/>
    <n v="1"/>
    <n v="20"/>
    <s v="Card"/>
    <x v="2"/>
    <n v="20"/>
  </r>
  <r>
    <n v="1838"/>
    <x v="6"/>
    <x v="47"/>
    <x v="0"/>
    <x v="4"/>
    <x v="2"/>
    <x v="1"/>
    <n v="1"/>
    <n v="12"/>
    <s v="Mobile Wallet"/>
    <x v="0"/>
    <n v="12"/>
  </r>
  <r>
    <n v="1689"/>
    <x v="3"/>
    <x v="59"/>
    <x v="0"/>
    <x v="0"/>
    <x v="2"/>
    <x v="1"/>
    <n v="3"/>
    <n v="12"/>
    <s v="Card"/>
    <x v="3"/>
    <n v="36"/>
  </r>
  <r>
    <n v="1542"/>
    <x v="5"/>
    <x v="41"/>
    <x v="2"/>
    <x v="4"/>
    <x v="2"/>
    <x v="2"/>
    <n v="4"/>
    <n v="20"/>
    <s v="Card"/>
    <x v="2"/>
    <n v="80"/>
  </r>
  <r>
    <n v="1517"/>
    <x v="5"/>
    <x v="67"/>
    <x v="2"/>
    <x v="6"/>
    <x v="0"/>
    <x v="1"/>
    <n v="3"/>
    <n v="12"/>
    <s v="Cash"/>
    <x v="1"/>
    <n v="36"/>
  </r>
  <r>
    <n v="1420"/>
    <x v="3"/>
    <x v="9"/>
    <x v="0"/>
    <x v="2"/>
    <x v="0"/>
    <x v="1"/>
    <n v="4"/>
    <n v="12"/>
    <s v="Cash"/>
    <x v="3"/>
    <n v="48"/>
  </r>
  <r>
    <n v="780"/>
    <x v="7"/>
    <x v="53"/>
    <x v="1"/>
    <x v="6"/>
    <x v="0"/>
    <x v="1"/>
    <n v="2"/>
    <n v="12"/>
    <s v="Cash"/>
    <x v="1"/>
    <n v="24"/>
  </r>
  <r>
    <n v="1105"/>
    <x v="0"/>
    <x v="20"/>
    <x v="0"/>
    <x v="4"/>
    <x v="2"/>
    <x v="1"/>
    <n v="3"/>
    <n v="12"/>
    <s v="Cash"/>
    <x v="3"/>
    <n v="36"/>
  </r>
  <r>
    <n v="1451"/>
    <x v="2"/>
    <x v="53"/>
    <x v="1"/>
    <x v="6"/>
    <x v="1"/>
    <x v="1"/>
    <n v="2"/>
    <n v="12"/>
    <s v="Card"/>
    <x v="0"/>
    <n v="24"/>
  </r>
  <r>
    <n v="1140"/>
    <x v="3"/>
    <x v="23"/>
    <x v="2"/>
    <x v="0"/>
    <x v="0"/>
    <x v="1"/>
    <n v="5"/>
    <n v="12"/>
    <s v="Card"/>
    <x v="0"/>
    <n v="60"/>
  </r>
  <r>
    <n v="1896"/>
    <x v="5"/>
    <x v="87"/>
    <x v="0"/>
    <x v="4"/>
    <x v="2"/>
    <x v="2"/>
    <n v="2"/>
    <n v="20"/>
    <s v="Cash"/>
    <x v="3"/>
    <n v="40"/>
  </r>
  <r>
    <n v="1296"/>
    <x v="4"/>
    <x v="46"/>
    <x v="1"/>
    <x v="3"/>
    <x v="1"/>
    <x v="1"/>
    <n v="2"/>
    <n v="12"/>
    <s v="Mobile Wallet"/>
    <x v="3"/>
    <n v="24"/>
  </r>
  <r>
    <n v="821"/>
    <x v="5"/>
    <x v="42"/>
    <x v="0"/>
    <x v="2"/>
    <x v="1"/>
    <x v="3"/>
    <n v="1"/>
    <n v="30"/>
    <s v="Mobile Wallet"/>
    <x v="3"/>
    <n v="30"/>
  </r>
  <r>
    <n v="418"/>
    <x v="4"/>
    <x v="78"/>
    <x v="2"/>
    <x v="4"/>
    <x v="2"/>
    <x v="1"/>
    <n v="4"/>
    <n v="12"/>
    <s v="Cash"/>
    <x v="3"/>
    <n v="48"/>
  </r>
  <r>
    <n v="1898"/>
    <x v="7"/>
    <x v="3"/>
    <x v="0"/>
    <x v="3"/>
    <x v="3"/>
    <x v="2"/>
    <n v="1"/>
    <n v="20"/>
    <s v="Cash"/>
    <x v="2"/>
    <n v="20"/>
  </r>
  <r>
    <n v="1327"/>
    <x v="3"/>
    <x v="33"/>
    <x v="0"/>
    <x v="2"/>
    <x v="0"/>
    <x v="2"/>
    <n v="1"/>
    <n v="20"/>
    <s v="Mobile Wallet"/>
    <x v="3"/>
    <n v="20"/>
  </r>
  <r>
    <n v="108"/>
    <x v="6"/>
    <x v="50"/>
    <x v="0"/>
    <x v="6"/>
    <x v="0"/>
    <x v="3"/>
    <n v="2"/>
    <n v="30"/>
    <s v="Card"/>
    <x v="2"/>
    <n v="60"/>
  </r>
  <r>
    <n v="559"/>
    <x v="2"/>
    <x v="0"/>
    <x v="0"/>
    <x v="0"/>
    <x v="1"/>
    <x v="1"/>
    <n v="4"/>
    <n v="12"/>
    <s v="Mobile Wallet"/>
    <x v="0"/>
    <n v="48"/>
  </r>
  <r>
    <n v="368"/>
    <x v="4"/>
    <x v="39"/>
    <x v="2"/>
    <x v="4"/>
    <x v="3"/>
    <x v="0"/>
    <n v="5"/>
    <n v="25"/>
    <s v="Mobile Wallet"/>
    <x v="0"/>
    <n v="125"/>
  </r>
  <r>
    <n v="1055"/>
    <x v="3"/>
    <x v="75"/>
    <x v="2"/>
    <x v="3"/>
    <x v="0"/>
    <x v="4"/>
    <n v="1"/>
    <n v="8"/>
    <s v="Mobile Wallet"/>
    <x v="1"/>
    <n v="8"/>
  </r>
  <r>
    <n v="417"/>
    <x v="1"/>
    <x v="75"/>
    <x v="2"/>
    <x v="3"/>
    <x v="2"/>
    <x v="1"/>
    <n v="5"/>
    <n v="12"/>
    <s v="Card"/>
    <x v="0"/>
    <n v="60"/>
  </r>
  <r>
    <n v="373"/>
    <x v="4"/>
    <x v="26"/>
    <x v="2"/>
    <x v="2"/>
    <x v="1"/>
    <x v="4"/>
    <n v="3"/>
    <n v="8"/>
    <s v="Cash"/>
    <x v="3"/>
    <n v="24"/>
  </r>
  <r>
    <n v="1944"/>
    <x v="0"/>
    <x v="79"/>
    <x v="1"/>
    <x v="2"/>
    <x v="2"/>
    <x v="1"/>
    <n v="2"/>
    <n v="12"/>
    <s v="Cash"/>
    <x v="3"/>
    <n v="24"/>
  </r>
  <r>
    <n v="247"/>
    <x v="3"/>
    <x v="79"/>
    <x v="1"/>
    <x v="2"/>
    <x v="3"/>
    <x v="1"/>
    <n v="5"/>
    <n v="12"/>
    <s v="Mobile Wallet"/>
    <x v="3"/>
    <n v="60"/>
  </r>
  <r>
    <n v="1511"/>
    <x v="5"/>
    <x v="33"/>
    <x v="0"/>
    <x v="2"/>
    <x v="2"/>
    <x v="1"/>
    <n v="3"/>
    <n v="12"/>
    <s v="Cash"/>
    <x v="2"/>
    <n v="36"/>
  </r>
  <r>
    <n v="731"/>
    <x v="7"/>
    <x v="79"/>
    <x v="1"/>
    <x v="2"/>
    <x v="0"/>
    <x v="4"/>
    <n v="4"/>
    <n v="8"/>
    <s v="Mobile Wallet"/>
    <x v="1"/>
    <n v="32"/>
  </r>
  <r>
    <n v="1423"/>
    <x v="7"/>
    <x v="44"/>
    <x v="2"/>
    <x v="1"/>
    <x v="0"/>
    <x v="4"/>
    <n v="5"/>
    <n v="8"/>
    <s v="Card"/>
    <x v="3"/>
    <n v="40"/>
  </r>
  <r>
    <n v="619"/>
    <x v="5"/>
    <x v="60"/>
    <x v="1"/>
    <x v="0"/>
    <x v="0"/>
    <x v="2"/>
    <n v="1"/>
    <n v="20"/>
    <s v="Cash"/>
    <x v="0"/>
    <n v="20"/>
  </r>
  <r>
    <n v="218"/>
    <x v="1"/>
    <x v="67"/>
    <x v="2"/>
    <x v="6"/>
    <x v="3"/>
    <x v="1"/>
    <n v="3"/>
    <n v="12"/>
    <s v="Mobile Wallet"/>
    <x v="2"/>
    <n v="36"/>
  </r>
  <r>
    <n v="57"/>
    <x v="2"/>
    <x v="87"/>
    <x v="0"/>
    <x v="4"/>
    <x v="2"/>
    <x v="1"/>
    <n v="3"/>
    <n v="12"/>
    <s v="Cash"/>
    <x v="3"/>
    <n v="36"/>
  </r>
  <r>
    <n v="1534"/>
    <x v="1"/>
    <x v="4"/>
    <x v="0"/>
    <x v="1"/>
    <x v="2"/>
    <x v="1"/>
    <n v="2"/>
    <n v="12"/>
    <s v="Mobile Wallet"/>
    <x v="1"/>
    <n v="24"/>
  </r>
  <r>
    <n v="1746"/>
    <x v="4"/>
    <x v="82"/>
    <x v="0"/>
    <x v="1"/>
    <x v="0"/>
    <x v="1"/>
    <n v="3"/>
    <n v="12"/>
    <s v="Cash"/>
    <x v="2"/>
    <n v="36"/>
  </r>
  <r>
    <n v="459"/>
    <x v="7"/>
    <x v="6"/>
    <x v="1"/>
    <x v="5"/>
    <x v="3"/>
    <x v="1"/>
    <n v="5"/>
    <n v="12"/>
    <s v="Card"/>
    <x v="1"/>
    <n v="60"/>
  </r>
  <r>
    <n v="1386"/>
    <x v="6"/>
    <x v="6"/>
    <x v="1"/>
    <x v="5"/>
    <x v="2"/>
    <x v="2"/>
    <n v="2"/>
    <n v="20"/>
    <s v="Card"/>
    <x v="0"/>
    <n v="40"/>
  </r>
  <r>
    <n v="584"/>
    <x v="4"/>
    <x v="85"/>
    <x v="2"/>
    <x v="6"/>
    <x v="2"/>
    <x v="1"/>
    <n v="4"/>
    <n v="12"/>
    <s v="Mobile Wallet"/>
    <x v="2"/>
    <n v="48"/>
  </r>
  <r>
    <n v="1284"/>
    <x v="3"/>
    <x v="10"/>
    <x v="2"/>
    <x v="0"/>
    <x v="2"/>
    <x v="2"/>
    <n v="4"/>
    <n v="20"/>
    <s v="Card"/>
    <x v="1"/>
    <n v="80"/>
  </r>
  <r>
    <n v="511"/>
    <x v="3"/>
    <x v="11"/>
    <x v="1"/>
    <x v="4"/>
    <x v="1"/>
    <x v="1"/>
    <n v="1"/>
    <n v="12"/>
    <s v="Mobile Wallet"/>
    <x v="1"/>
    <n v="12"/>
  </r>
  <r>
    <n v="701"/>
    <x v="4"/>
    <x v="24"/>
    <x v="0"/>
    <x v="2"/>
    <x v="3"/>
    <x v="0"/>
    <n v="3"/>
    <n v="25"/>
    <s v="Mobile Wallet"/>
    <x v="0"/>
    <n v="75"/>
  </r>
  <r>
    <n v="170"/>
    <x v="0"/>
    <x v="53"/>
    <x v="1"/>
    <x v="6"/>
    <x v="1"/>
    <x v="1"/>
    <n v="3"/>
    <n v="12"/>
    <s v="Card"/>
    <x v="3"/>
    <n v="36"/>
  </r>
  <r>
    <n v="581"/>
    <x v="0"/>
    <x v="14"/>
    <x v="1"/>
    <x v="0"/>
    <x v="2"/>
    <x v="1"/>
    <n v="2"/>
    <n v="12"/>
    <s v="Cash"/>
    <x v="3"/>
    <n v="24"/>
  </r>
  <r>
    <n v="1935"/>
    <x v="5"/>
    <x v="30"/>
    <x v="1"/>
    <x v="2"/>
    <x v="3"/>
    <x v="1"/>
    <n v="4"/>
    <n v="12"/>
    <s v="Card"/>
    <x v="3"/>
    <n v="48"/>
  </r>
  <r>
    <n v="1278"/>
    <x v="5"/>
    <x v="85"/>
    <x v="2"/>
    <x v="6"/>
    <x v="1"/>
    <x v="1"/>
    <n v="2"/>
    <n v="12"/>
    <s v="Mobile Wallet"/>
    <x v="1"/>
    <n v="24"/>
  </r>
  <r>
    <n v="574"/>
    <x v="4"/>
    <x v="41"/>
    <x v="2"/>
    <x v="4"/>
    <x v="3"/>
    <x v="1"/>
    <n v="3"/>
    <n v="12"/>
    <s v="Cash"/>
    <x v="1"/>
    <n v="36"/>
  </r>
  <r>
    <n v="40"/>
    <x v="7"/>
    <x v="58"/>
    <x v="1"/>
    <x v="3"/>
    <x v="0"/>
    <x v="1"/>
    <n v="5"/>
    <n v="12"/>
    <s v="Card"/>
    <x v="0"/>
    <n v="60"/>
  </r>
  <r>
    <n v="664"/>
    <x v="0"/>
    <x v="71"/>
    <x v="1"/>
    <x v="2"/>
    <x v="0"/>
    <x v="4"/>
    <n v="5"/>
    <n v="8"/>
    <s v="Card"/>
    <x v="2"/>
    <n v="40"/>
  </r>
  <r>
    <n v="339"/>
    <x v="6"/>
    <x v="34"/>
    <x v="1"/>
    <x v="0"/>
    <x v="1"/>
    <x v="1"/>
    <n v="2"/>
    <n v="12"/>
    <s v="Mobile Wallet"/>
    <x v="0"/>
    <n v="24"/>
  </r>
  <r>
    <n v="1118"/>
    <x v="1"/>
    <x v="73"/>
    <x v="2"/>
    <x v="6"/>
    <x v="2"/>
    <x v="1"/>
    <n v="1"/>
    <n v="12"/>
    <s v="Mobile Wallet"/>
    <x v="3"/>
    <n v="12"/>
  </r>
  <r>
    <n v="933"/>
    <x v="3"/>
    <x v="44"/>
    <x v="2"/>
    <x v="1"/>
    <x v="3"/>
    <x v="1"/>
    <n v="5"/>
    <n v="12"/>
    <s v="Mobile Wallet"/>
    <x v="3"/>
    <n v="60"/>
  </r>
  <r>
    <n v="521"/>
    <x v="2"/>
    <x v="19"/>
    <x v="2"/>
    <x v="6"/>
    <x v="3"/>
    <x v="4"/>
    <n v="4"/>
    <n v="8"/>
    <s v="Cash"/>
    <x v="0"/>
    <n v="32"/>
  </r>
  <r>
    <n v="72"/>
    <x v="4"/>
    <x v="67"/>
    <x v="2"/>
    <x v="6"/>
    <x v="0"/>
    <x v="0"/>
    <n v="4"/>
    <n v="25"/>
    <s v="Cash"/>
    <x v="0"/>
    <n v="100"/>
  </r>
  <r>
    <n v="1932"/>
    <x v="6"/>
    <x v="9"/>
    <x v="0"/>
    <x v="2"/>
    <x v="3"/>
    <x v="1"/>
    <n v="1"/>
    <n v="12"/>
    <s v="Cash"/>
    <x v="2"/>
    <n v="12"/>
  </r>
  <r>
    <n v="382"/>
    <x v="0"/>
    <x v="60"/>
    <x v="1"/>
    <x v="0"/>
    <x v="3"/>
    <x v="2"/>
    <n v="3"/>
    <n v="20"/>
    <s v="Card"/>
    <x v="1"/>
    <n v="60"/>
  </r>
  <r>
    <n v="1886"/>
    <x v="0"/>
    <x v="86"/>
    <x v="1"/>
    <x v="4"/>
    <x v="2"/>
    <x v="3"/>
    <n v="4"/>
    <n v="30"/>
    <s v="Card"/>
    <x v="2"/>
    <n v="120"/>
  </r>
  <r>
    <n v="347"/>
    <x v="7"/>
    <x v="71"/>
    <x v="1"/>
    <x v="2"/>
    <x v="0"/>
    <x v="4"/>
    <n v="5"/>
    <n v="8"/>
    <s v="Cash"/>
    <x v="1"/>
    <n v="40"/>
  </r>
  <r>
    <n v="575"/>
    <x v="5"/>
    <x v="8"/>
    <x v="0"/>
    <x v="2"/>
    <x v="3"/>
    <x v="1"/>
    <n v="4"/>
    <n v="12"/>
    <s v="Cash"/>
    <x v="0"/>
    <n v="48"/>
  </r>
  <r>
    <n v="1474"/>
    <x v="4"/>
    <x v="15"/>
    <x v="0"/>
    <x v="4"/>
    <x v="1"/>
    <x v="4"/>
    <n v="4"/>
    <n v="8"/>
    <s v="Card"/>
    <x v="1"/>
    <n v="32"/>
  </r>
  <r>
    <n v="475"/>
    <x v="7"/>
    <x v="64"/>
    <x v="1"/>
    <x v="1"/>
    <x v="1"/>
    <x v="0"/>
    <n v="3"/>
    <n v="25"/>
    <s v="Card"/>
    <x v="2"/>
    <n v="75"/>
  </r>
  <r>
    <n v="601"/>
    <x v="1"/>
    <x v="16"/>
    <x v="0"/>
    <x v="0"/>
    <x v="2"/>
    <x v="0"/>
    <n v="2"/>
    <n v="25"/>
    <s v="Card"/>
    <x v="0"/>
    <n v="50"/>
  </r>
  <r>
    <n v="311"/>
    <x v="2"/>
    <x v="86"/>
    <x v="1"/>
    <x v="4"/>
    <x v="2"/>
    <x v="0"/>
    <n v="4"/>
    <n v="25"/>
    <s v="Card"/>
    <x v="2"/>
    <n v="100"/>
  </r>
  <r>
    <n v="1486"/>
    <x v="5"/>
    <x v="59"/>
    <x v="0"/>
    <x v="0"/>
    <x v="3"/>
    <x v="0"/>
    <n v="3"/>
    <n v="25"/>
    <s v="Mobile Wallet"/>
    <x v="0"/>
    <n v="75"/>
  </r>
  <r>
    <n v="1521"/>
    <x v="0"/>
    <x v="48"/>
    <x v="0"/>
    <x v="5"/>
    <x v="0"/>
    <x v="1"/>
    <n v="4"/>
    <n v="12"/>
    <s v="Mobile Wallet"/>
    <x v="2"/>
    <n v="48"/>
  </r>
  <r>
    <n v="323"/>
    <x v="6"/>
    <x v="40"/>
    <x v="2"/>
    <x v="2"/>
    <x v="2"/>
    <x v="0"/>
    <n v="4"/>
    <n v="25"/>
    <s v="Card"/>
    <x v="3"/>
    <n v="100"/>
  </r>
  <r>
    <n v="146"/>
    <x v="5"/>
    <x v="36"/>
    <x v="2"/>
    <x v="2"/>
    <x v="1"/>
    <x v="2"/>
    <n v="5"/>
    <n v="20"/>
    <s v="Cash"/>
    <x v="1"/>
    <n v="100"/>
  </r>
  <r>
    <n v="653"/>
    <x v="5"/>
    <x v="85"/>
    <x v="2"/>
    <x v="6"/>
    <x v="1"/>
    <x v="1"/>
    <n v="3"/>
    <n v="12"/>
    <s v="Cash"/>
    <x v="2"/>
    <n v="36"/>
  </r>
  <r>
    <n v="682"/>
    <x v="1"/>
    <x v="16"/>
    <x v="0"/>
    <x v="0"/>
    <x v="0"/>
    <x v="2"/>
    <n v="2"/>
    <n v="20"/>
    <s v="Mobile Wallet"/>
    <x v="2"/>
    <n v="40"/>
  </r>
  <r>
    <n v="343"/>
    <x v="7"/>
    <x v="57"/>
    <x v="1"/>
    <x v="4"/>
    <x v="3"/>
    <x v="1"/>
    <n v="1"/>
    <n v="12"/>
    <s v="Cash"/>
    <x v="2"/>
    <n v="12"/>
  </r>
  <r>
    <n v="707"/>
    <x v="6"/>
    <x v="80"/>
    <x v="1"/>
    <x v="3"/>
    <x v="3"/>
    <x v="1"/>
    <n v="2"/>
    <n v="12"/>
    <s v="Mobile Wallet"/>
    <x v="0"/>
    <n v="24"/>
  </r>
  <r>
    <n v="415"/>
    <x v="7"/>
    <x v="75"/>
    <x v="2"/>
    <x v="3"/>
    <x v="2"/>
    <x v="0"/>
    <n v="3"/>
    <n v="25"/>
    <s v="Mobile Wallet"/>
    <x v="2"/>
    <n v="75"/>
  </r>
  <r>
    <n v="1767"/>
    <x v="0"/>
    <x v="16"/>
    <x v="0"/>
    <x v="0"/>
    <x v="1"/>
    <x v="0"/>
    <n v="4"/>
    <n v="25"/>
    <s v="Mobile Wallet"/>
    <x v="0"/>
    <n v="100"/>
  </r>
  <r>
    <n v="662"/>
    <x v="7"/>
    <x v="37"/>
    <x v="0"/>
    <x v="0"/>
    <x v="2"/>
    <x v="2"/>
    <n v="1"/>
    <n v="20"/>
    <s v="Cash"/>
    <x v="2"/>
    <n v="20"/>
  </r>
  <r>
    <n v="1281"/>
    <x v="4"/>
    <x v="3"/>
    <x v="0"/>
    <x v="3"/>
    <x v="1"/>
    <x v="1"/>
    <n v="3"/>
    <n v="12"/>
    <s v="Mobile Wallet"/>
    <x v="0"/>
    <n v="36"/>
  </r>
  <r>
    <n v="972"/>
    <x v="5"/>
    <x v="36"/>
    <x v="2"/>
    <x v="2"/>
    <x v="2"/>
    <x v="1"/>
    <n v="4"/>
    <n v="12"/>
    <s v="Card"/>
    <x v="0"/>
    <n v="48"/>
  </r>
  <r>
    <n v="1029"/>
    <x v="1"/>
    <x v="50"/>
    <x v="0"/>
    <x v="6"/>
    <x v="0"/>
    <x v="4"/>
    <n v="1"/>
    <n v="8"/>
    <s v="Mobile Wallet"/>
    <x v="3"/>
    <n v="8"/>
  </r>
  <r>
    <n v="1844"/>
    <x v="7"/>
    <x v="79"/>
    <x v="1"/>
    <x v="2"/>
    <x v="2"/>
    <x v="1"/>
    <n v="4"/>
    <n v="12"/>
    <s v="Cash"/>
    <x v="0"/>
    <n v="48"/>
  </r>
  <r>
    <n v="1904"/>
    <x v="1"/>
    <x v="56"/>
    <x v="0"/>
    <x v="3"/>
    <x v="3"/>
    <x v="1"/>
    <n v="3"/>
    <n v="12"/>
    <s v="Cash"/>
    <x v="0"/>
    <n v="36"/>
  </r>
  <r>
    <n v="137"/>
    <x v="3"/>
    <x v="60"/>
    <x v="1"/>
    <x v="0"/>
    <x v="2"/>
    <x v="1"/>
    <n v="3"/>
    <n v="12"/>
    <s v="Mobile Wallet"/>
    <x v="0"/>
    <n v="36"/>
  </r>
  <r>
    <n v="1202"/>
    <x v="4"/>
    <x v="60"/>
    <x v="1"/>
    <x v="0"/>
    <x v="3"/>
    <x v="0"/>
    <n v="4"/>
    <n v="25"/>
    <s v="Mobile Wallet"/>
    <x v="3"/>
    <n v="100"/>
  </r>
  <r>
    <n v="680"/>
    <x v="4"/>
    <x v="34"/>
    <x v="1"/>
    <x v="0"/>
    <x v="0"/>
    <x v="0"/>
    <n v="5"/>
    <n v="25"/>
    <s v="Mobile Wallet"/>
    <x v="1"/>
    <n v="125"/>
  </r>
  <r>
    <n v="867"/>
    <x v="1"/>
    <x v="23"/>
    <x v="2"/>
    <x v="0"/>
    <x v="1"/>
    <x v="0"/>
    <n v="1"/>
    <n v="25"/>
    <s v="Card"/>
    <x v="0"/>
    <n v="25"/>
  </r>
  <r>
    <n v="140"/>
    <x v="3"/>
    <x v="10"/>
    <x v="2"/>
    <x v="0"/>
    <x v="2"/>
    <x v="2"/>
    <n v="3"/>
    <n v="20"/>
    <s v="Mobile Wallet"/>
    <x v="2"/>
    <n v="60"/>
  </r>
  <r>
    <n v="37"/>
    <x v="6"/>
    <x v="37"/>
    <x v="0"/>
    <x v="0"/>
    <x v="2"/>
    <x v="1"/>
    <n v="5"/>
    <n v="12"/>
    <s v="Card"/>
    <x v="3"/>
    <n v="60"/>
  </r>
  <r>
    <n v="1444"/>
    <x v="7"/>
    <x v="80"/>
    <x v="1"/>
    <x v="3"/>
    <x v="1"/>
    <x v="3"/>
    <n v="3"/>
    <n v="30"/>
    <s v="Mobile Wallet"/>
    <x v="0"/>
    <n v="90"/>
  </r>
  <r>
    <n v="92"/>
    <x v="6"/>
    <x v="48"/>
    <x v="0"/>
    <x v="5"/>
    <x v="1"/>
    <x v="3"/>
    <n v="3"/>
    <n v="30"/>
    <s v="Cash"/>
    <x v="3"/>
    <n v="90"/>
  </r>
  <r>
    <n v="1945"/>
    <x v="1"/>
    <x v="74"/>
    <x v="2"/>
    <x v="1"/>
    <x v="3"/>
    <x v="1"/>
    <n v="2"/>
    <n v="12"/>
    <s v="Cash"/>
    <x v="1"/>
    <n v="24"/>
  </r>
  <r>
    <n v="1109"/>
    <x v="0"/>
    <x v="30"/>
    <x v="1"/>
    <x v="2"/>
    <x v="3"/>
    <x v="0"/>
    <n v="1"/>
    <n v="25"/>
    <s v="Cash"/>
    <x v="1"/>
    <n v="25"/>
  </r>
  <r>
    <n v="1903"/>
    <x v="3"/>
    <x v="87"/>
    <x v="0"/>
    <x v="4"/>
    <x v="1"/>
    <x v="3"/>
    <n v="5"/>
    <n v="30"/>
    <s v="Card"/>
    <x v="2"/>
    <n v="150"/>
  </r>
  <r>
    <n v="1954"/>
    <x v="6"/>
    <x v="26"/>
    <x v="2"/>
    <x v="2"/>
    <x v="0"/>
    <x v="1"/>
    <n v="1"/>
    <n v="12"/>
    <s v="Cash"/>
    <x v="0"/>
    <n v="12"/>
  </r>
  <r>
    <n v="1834"/>
    <x v="7"/>
    <x v="3"/>
    <x v="0"/>
    <x v="3"/>
    <x v="2"/>
    <x v="1"/>
    <n v="1"/>
    <n v="12"/>
    <s v="Cash"/>
    <x v="2"/>
    <n v="12"/>
  </r>
  <r>
    <n v="1988"/>
    <x v="6"/>
    <x v="84"/>
    <x v="0"/>
    <x v="3"/>
    <x v="3"/>
    <x v="1"/>
    <n v="4"/>
    <n v="12"/>
    <s v="Card"/>
    <x v="3"/>
    <n v="48"/>
  </r>
  <r>
    <n v="626"/>
    <x v="4"/>
    <x v="67"/>
    <x v="2"/>
    <x v="6"/>
    <x v="2"/>
    <x v="3"/>
    <n v="5"/>
    <n v="30"/>
    <s v="Mobile Wallet"/>
    <x v="3"/>
    <n v="150"/>
  </r>
  <r>
    <n v="1590"/>
    <x v="2"/>
    <x v="0"/>
    <x v="0"/>
    <x v="0"/>
    <x v="1"/>
    <x v="1"/>
    <n v="5"/>
    <n v="12"/>
    <s v="Card"/>
    <x v="0"/>
    <n v="60"/>
  </r>
  <r>
    <n v="1043"/>
    <x v="5"/>
    <x v="7"/>
    <x v="1"/>
    <x v="3"/>
    <x v="3"/>
    <x v="1"/>
    <n v="4"/>
    <n v="12"/>
    <s v="Cash"/>
    <x v="3"/>
    <n v="48"/>
  </r>
  <r>
    <n v="1687"/>
    <x v="6"/>
    <x v="22"/>
    <x v="2"/>
    <x v="1"/>
    <x v="3"/>
    <x v="3"/>
    <n v="1"/>
    <n v="30"/>
    <s v="Cash"/>
    <x v="1"/>
    <n v="30"/>
  </r>
  <r>
    <n v="984"/>
    <x v="1"/>
    <x v="59"/>
    <x v="0"/>
    <x v="0"/>
    <x v="0"/>
    <x v="2"/>
    <n v="2"/>
    <n v="20"/>
    <s v="Mobile Wallet"/>
    <x v="2"/>
    <n v="40"/>
  </r>
  <r>
    <n v="941"/>
    <x v="6"/>
    <x v="14"/>
    <x v="1"/>
    <x v="0"/>
    <x v="3"/>
    <x v="1"/>
    <n v="3"/>
    <n v="12"/>
    <s v="Card"/>
    <x v="3"/>
    <n v="36"/>
  </r>
  <r>
    <n v="930"/>
    <x v="3"/>
    <x v="43"/>
    <x v="2"/>
    <x v="5"/>
    <x v="1"/>
    <x v="1"/>
    <n v="1"/>
    <n v="12"/>
    <s v="Cash"/>
    <x v="1"/>
    <n v="12"/>
  </r>
  <r>
    <n v="353"/>
    <x v="3"/>
    <x v="59"/>
    <x v="0"/>
    <x v="0"/>
    <x v="0"/>
    <x v="0"/>
    <n v="4"/>
    <n v="25"/>
    <s v="Card"/>
    <x v="3"/>
    <n v="100"/>
  </r>
  <r>
    <n v="649"/>
    <x v="2"/>
    <x v="88"/>
    <x v="0"/>
    <x v="6"/>
    <x v="0"/>
    <x v="1"/>
    <n v="1"/>
    <n v="12"/>
    <s v="Cash"/>
    <x v="2"/>
    <n v="12"/>
  </r>
  <r>
    <n v="785"/>
    <x v="4"/>
    <x v="64"/>
    <x v="1"/>
    <x v="1"/>
    <x v="2"/>
    <x v="2"/>
    <n v="2"/>
    <n v="20"/>
    <s v="Card"/>
    <x v="2"/>
    <n v="40"/>
  </r>
  <r>
    <n v="1900"/>
    <x v="4"/>
    <x v="62"/>
    <x v="1"/>
    <x v="6"/>
    <x v="3"/>
    <x v="2"/>
    <n v="1"/>
    <n v="20"/>
    <s v="Card"/>
    <x v="1"/>
    <n v="20"/>
  </r>
  <r>
    <n v="1618"/>
    <x v="3"/>
    <x v="33"/>
    <x v="0"/>
    <x v="2"/>
    <x v="2"/>
    <x v="2"/>
    <n v="1"/>
    <n v="20"/>
    <s v="Card"/>
    <x v="3"/>
    <n v="20"/>
  </r>
  <r>
    <n v="330"/>
    <x v="2"/>
    <x v="36"/>
    <x v="2"/>
    <x v="2"/>
    <x v="2"/>
    <x v="1"/>
    <n v="5"/>
    <n v="12"/>
    <s v="Cash"/>
    <x v="0"/>
    <n v="60"/>
  </r>
  <r>
    <n v="688"/>
    <x v="1"/>
    <x v="16"/>
    <x v="0"/>
    <x v="0"/>
    <x v="2"/>
    <x v="1"/>
    <n v="4"/>
    <n v="12"/>
    <s v="Cash"/>
    <x v="3"/>
    <n v="48"/>
  </r>
  <r>
    <n v="868"/>
    <x v="0"/>
    <x v="8"/>
    <x v="0"/>
    <x v="2"/>
    <x v="2"/>
    <x v="4"/>
    <n v="3"/>
    <n v="8"/>
    <s v="Mobile Wallet"/>
    <x v="2"/>
    <n v="24"/>
  </r>
  <r>
    <n v="841"/>
    <x v="5"/>
    <x v="42"/>
    <x v="0"/>
    <x v="2"/>
    <x v="3"/>
    <x v="1"/>
    <n v="1"/>
    <n v="12"/>
    <s v="Card"/>
    <x v="1"/>
    <n v="12"/>
  </r>
  <r>
    <n v="1529"/>
    <x v="0"/>
    <x v="12"/>
    <x v="2"/>
    <x v="3"/>
    <x v="1"/>
    <x v="3"/>
    <n v="4"/>
    <n v="30"/>
    <s v="Mobile Wallet"/>
    <x v="0"/>
    <n v="120"/>
  </r>
  <r>
    <n v="1785"/>
    <x v="7"/>
    <x v="83"/>
    <x v="0"/>
    <x v="5"/>
    <x v="2"/>
    <x v="2"/>
    <n v="2"/>
    <n v="20"/>
    <s v="Card"/>
    <x v="0"/>
    <n v="40"/>
  </r>
  <r>
    <n v="1053"/>
    <x v="7"/>
    <x v="75"/>
    <x v="2"/>
    <x v="3"/>
    <x v="1"/>
    <x v="1"/>
    <n v="2"/>
    <n v="12"/>
    <s v="Cash"/>
    <x v="3"/>
    <n v="24"/>
  </r>
  <r>
    <n v="1358"/>
    <x v="7"/>
    <x v="17"/>
    <x v="2"/>
    <x v="5"/>
    <x v="0"/>
    <x v="1"/>
    <n v="1"/>
    <n v="12"/>
    <s v="Card"/>
    <x v="0"/>
    <n v="12"/>
  </r>
  <r>
    <n v="1206"/>
    <x v="0"/>
    <x v="33"/>
    <x v="0"/>
    <x v="2"/>
    <x v="2"/>
    <x v="2"/>
    <n v="2"/>
    <n v="20"/>
    <s v="Mobile Wallet"/>
    <x v="1"/>
    <n v="40"/>
  </r>
  <r>
    <n v="1351"/>
    <x v="6"/>
    <x v="59"/>
    <x v="0"/>
    <x v="0"/>
    <x v="1"/>
    <x v="1"/>
    <n v="3"/>
    <n v="12"/>
    <s v="Card"/>
    <x v="2"/>
    <n v="36"/>
  </r>
  <r>
    <n v="1257"/>
    <x v="0"/>
    <x v="71"/>
    <x v="1"/>
    <x v="2"/>
    <x v="2"/>
    <x v="4"/>
    <n v="5"/>
    <n v="8"/>
    <s v="Mobile Wallet"/>
    <x v="0"/>
    <n v="40"/>
  </r>
  <r>
    <n v="1328"/>
    <x v="1"/>
    <x v="64"/>
    <x v="1"/>
    <x v="1"/>
    <x v="0"/>
    <x v="0"/>
    <n v="1"/>
    <n v="25"/>
    <s v="Cash"/>
    <x v="1"/>
    <n v="25"/>
  </r>
  <r>
    <n v="1381"/>
    <x v="0"/>
    <x v="90"/>
    <x v="1"/>
    <x v="6"/>
    <x v="3"/>
    <x v="1"/>
    <n v="4"/>
    <n v="12"/>
    <s v="Mobile Wallet"/>
    <x v="1"/>
    <n v="48"/>
  </r>
  <r>
    <n v="1965"/>
    <x v="1"/>
    <x v="89"/>
    <x v="1"/>
    <x v="5"/>
    <x v="2"/>
    <x v="1"/>
    <n v="2"/>
    <n v="12"/>
    <s v="Mobile Wallet"/>
    <x v="1"/>
    <n v="24"/>
  </r>
  <r>
    <n v="460"/>
    <x v="7"/>
    <x v="12"/>
    <x v="2"/>
    <x v="3"/>
    <x v="2"/>
    <x v="1"/>
    <n v="5"/>
    <n v="12"/>
    <s v="Card"/>
    <x v="1"/>
    <n v="60"/>
  </r>
  <r>
    <n v="1633"/>
    <x v="2"/>
    <x v="46"/>
    <x v="1"/>
    <x v="3"/>
    <x v="0"/>
    <x v="1"/>
    <n v="3"/>
    <n v="12"/>
    <s v="Card"/>
    <x v="0"/>
    <n v="36"/>
  </r>
  <r>
    <n v="586"/>
    <x v="5"/>
    <x v="86"/>
    <x v="1"/>
    <x v="4"/>
    <x v="2"/>
    <x v="0"/>
    <n v="3"/>
    <n v="25"/>
    <s v="Mobile Wallet"/>
    <x v="3"/>
    <n v="75"/>
  </r>
  <r>
    <n v="447"/>
    <x v="7"/>
    <x v="23"/>
    <x v="2"/>
    <x v="0"/>
    <x v="3"/>
    <x v="1"/>
    <n v="4"/>
    <n v="12"/>
    <s v="Cash"/>
    <x v="1"/>
    <n v="48"/>
  </r>
  <r>
    <n v="211"/>
    <x v="5"/>
    <x v="43"/>
    <x v="2"/>
    <x v="5"/>
    <x v="3"/>
    <x v="4"/>
    <n v="1"/>
    <n v="8"/>
    <s v="Card"/>
    <x v="0"/>
    <n v="8"/>
  </r>
  <r>
    <n v="620"/>
    <x v="7"/>
    <x v="16"/>
    <x v="0"/>
    <x v="0"/>
    <x v="0"/>
    <x v="1"/>
    <n v="5"/>
    <n v="12"/>
    <s v="Cash"/>
    <x v="3"/>
    <n v="60"/>
  </r>
  <r>
    <n v="176"/>
    <x v="0"/>
    <x v="0"/>
    <x v="0"/>
    <x v="0"/>
    <x v="0"/>
    <x v="2"/>
    <n v="4"/>
    <n v="20"/>
    <s v="Mobile Wallet"/>
    <x v="1"/>
    <n v="80"/>
  </r>
  <r>
    <n v="652"/>
    <x v="2"/>
    <x v="49"/>
    <x v="2"/>
    <x v="1"/>
    <x v="3"/>
    <x v="1"/>
    <n v="5"/>
    <n v="12"/>
    <s v="Mobile Wallet"/>
    <x v="0"/>
    <n v="60"/>
  </r>
  <r>
    <n v="159"/>
    <x v="3"/>
    <x v="55"/>
    <x v="1"/>
    <x v="2"/>
    <x v="2"/>
    <x v="1"/>
    <n v="4"/>
    <n v="12"/>
    <s v="Cash"/>
    <x v="0"/>
    <n v="48"/>
  </r>
  <r>
    <n v="638"/>
    <x v="5"/>
    <x v="28"/>
    <x v="2"/>
    <x v="0"/>
    <x v="2"/>
    <x v="4"/>
    <n v="1"/>
    <n v="8"/>
    <s v="Cash"/>
    <x v="1"/>
    <n v="8"/>
  </r>
  <r>
    <n v="568"/>
    <x v="2"/>
    <x v="31"/>
    <x v="2"/>
    <x v="0"/>
    <x v="2"/>
    <x v="1"/>
    <n v="4"/>
    <n v="12"/>
    <s v="Card"/>
    <x v="1"/>
    <n v="48"/>
  </r>
  <r>
    <n v="1625"/>
    <x v="0"/>
    <x v="49"/>
    <x v="2"/>
    <x v="1"/>
    <x v="1"/>
    <x v="1"/>
    <n v="3"/>
    <n v="12"/>
    <s v="Cash"/>
    <x v="1"/>
    <n v="36"/>
  </r>
  <r>
    <n v="1152"/>
    <x v="1"/>
    <x v="86"/>
    <x v="1"/>
    <x v="4"/>
    <x v="2"/>
    <x v="1"/>
    <n v="3"/>
    <n v="12"/>
    <s v="Mobile Wallet"/>
    <x v="1"/>
    <n v="36"/>
  </r>
  <r>
    <n v="520"/>
    <x v="4"/>
    <x v="43"/>
    <x v="2"/>
    <x v="5"/>
    <x v="3"/>
    <x v="4"/>
    <n v="3"/>
    <n v="8"/>
    <s v="Mobile Wallet"/>
    <x v="2"/>
    <n v="24"/>
  </r>
  <r>
    <n v="1816"/>
    <x v="7"/>
    <x v="19"/>
    <x v="2"/>
    <x v="6"/>
    <x v="1"/>
    <x v="0"/>
    <n v="2"/>
    <n v="25"/>
    <s v="Card"/>
    <x v="0"/>
    <n v="50"/>
  </r>
  <r>
    <n v="1811"/>
    <x v="4"/>
    <x v="58"/>
    <x v="1"/>
    <x v="3"/>
    <x v="2"/>
    <x v="4"/>
    <n v="5"/>
    <n v="8"/>
    <s v="Mobile Wallet"/>
    <x v="2"/>
    <n v="40"/>
  </r>
  <r>
    <n v="1815"/>
    <x v="6"/>
    <x v="83"/>
    <x v="0"/>
    <x v="5"/>
    <x v="3"/>
    <x v="1"/>
    <n v="5"/>
    <n v="12"/>
    <s v="Cash"/>
    <x v="1"/>
    <n v="60"/>
  </r>
  <r>
    <n v="960"/>
    <x v="5"/>
    <x v="67"/>
    <x v="2"/>
    <x v="6"/>
    <x v="3"/>
    <x v="2"/>
    <n v="3"/>
    <n v="20"/>
    <s v="Cash"/>
    <x v="2"/>
    <n v="60"/>
  </r>
  <r>
    <n v="244"/>
    <x v="3"/>
    <x v="72"/>
    <x v="0"/>
    <x v="3"/>
    <x v="2"/>
    <x v="3"/>
    <n v="3"/>
    <n v="30"/>
    <s v="Card"/>
    <x v="1"/>
    <n v="90"/>
  </r>
  <r>
    <n v="890"/>
    <x v="3"/>
    <x v="17"/>
    <x v="2"/>
    <x v="5"/>
    <x v="0"/>
    <x v="2"/>
    <n v="1"/>
    <n v="20"/>
    <s v="Card"/>
    <x v="0"/>
    <n v="20"/>
  </r>
  <r>
    <n v="803"/>
    <x v="3"/>
    <x v="41"/>
    <x v="2"/>
    <x v="4"/>
    <x v="1"/>
    <x v="3"/>
    <n v="5"/>
    <n v="30"/>
    <s v="Mobile Wallet"/>
    <x v="2"/>
    <n v="150"/>
  </r>
  <r>
    <n v="485"/>
    <x v="1"/>
    <x v="71"/>
    <x v="1"/>
    <x v="2"/>
    <x v="0"/>
    <x v="1"/>
    <n v="5"/>
    <n v="12"/>
    <s v="Mobile Wallet"/>
    <x v="1"/>
    <n v="60"/>
  </r>
  <r>
    <n v="293"/>
    <x v="3"/>
    <x v="47"/>
    <x v="0"/>
    <x v="4"/>
    <x v="0"/>
    <x v="1"/>
    <n v="2"/>
    <n v="12"/>
    <s v="Card"/>
    <x v="0"/>
    <n v="24"/>
  </r>
  <r>
    <n v="1875"/>
    <x v="4"/>
    <x v="47"/>
    <x v="0"/>
    <x v="4"/>
    <x v="1"/>
    <x v="1"/>
    <n v="1"/>
    <n v="12"/>
    <s v="Card"/>
    <x v="2"/>
    <n v="12"/>
  </r>
  <r>
    <n v="1760"/>
    <x v="7"/>
    <x v="2"/>
    <x v="2"/>
    <x v="2"/>
    <x v="0"/>
    <x v="2"/>
    <n v="3"/>
    <n v="20"/>
    <s v="Card"/>
    <x v="1"/>
    <n v="60"/>
  </r>
  <r>
    <n v="399"/>
    <x v="2"/>
    <x v="65"/>
    <x v="0"/>
    <x v="5"/>
    <x v="0"/>
    <x v="0"/>
    <n v="1"/>
    <n v="25"/>
    <s v="Card"/>
    <x v="2"/>
    <n v="25"/>
  </r>
  <r>
    <n v="566"/>
    <x v="4"/>
    <x v="31"/>
    <x v="2"/>
    <x v="0"/>
    <x v="1"/>
    <x v="1"/>
    <n v="4"/>
    <n v="12"/>
    <s v="Card"/>
    <x v="0"/>
    <n v="48"/>
  </r>
  <r>
    <n v="1549"/>
    <x v="1"/>
    <x v="34"/>
    <x v="1"/>
    <x v="0"/>
    <x v="3"/>
    <x v="1"/>
    <n v="3"/>
    <n v="12"/>
    <s v="Cash"/>
    <x v="3"/>
    <n v="36"/>
  </r>
  <r>
    <n v="909"/>
    <x v="5"/>
    <x v="56"/>
    <x v="0"/>
    <x v="3"/>
    <x v="1"/>
    <x v="1"/>
    <n v="1"/>
    <n v="12"/>
    <s v="Mobile Wallet"/>
    <x v="2"/>
    <n v="12"/>
  </r>
  <r>
    <n v="1346"/>
    <x v="7"/>
    <x v="88"/>
    <x v="0"/>
    <x v="6"/>
    <x v="2"/>
    <x v="4"/>
    <n v="4"/>
    <n v="8"/>
    <s v="Card"/>
    <x v="3"/>
    <n v="32"/>
  </r>
  <r>
    <n v="1208"/>
    <x v="0"/>
    <x v="10"/>
    <x v="2"/>
    <x v="0"/>
    <x v="0"/>
    <x v="4"/>
    <n v="1"/>
    <n v="8"/>
    <s v="Mobile Wallet"/>
    <x v="0"/>
    <n v="8"/>
  </r>
  <r>
    <n v="593"/>
    <x v="1"/>
    <x v="26"/>
    <x v="2"/>
    <x v="2"/>
    <x v="0"/>
    <x v="0"/>
    <n v="1"/>
    <n v="25"/>
    <s v="Cash"/>
    <x v="2"/>
    <n v="25"/>
  </r>
  <r>
    <n v="1251"/>
    <x v="5"/>
    <x v="69"/>
    <x v="1"/>
    <x v="1"/>
    <x v="0"/>
    <x v="0"/>
    <n v="5"/>
    <n v="25"/>
    <s v="Cash"/>
    <x v="0"/>
    <n v="125"/>
  </r>
  <r>
    <n v="786"/>
    <x v="3"/>
    <x v="19"/>
    <x v="2"/>
    <x v="6"/>
    <x v="1"/>
    <x v="1"/>
    <n v="2"/>
    <n v="12"/>
    <s v="Mobile Wallet"/>
    <x v="0"/>
    <n v="24"/>
  </r>
  <r>
    <n v="1110"/>
    <x v="7"/>
    <x v="6"/>
    <x v="1"/>
    <x v="5"/>
    <x v="2"/>
    <x v="0"/>
    <n v="1"/>
    <n v="25"/>
    <s v="Cash"/>
    <x v="0"/>
    <n v="25"/>
  </r>
  <r>
    <n v="388"/>
    <x v="5"/>
    <x v="7"/>
    <x v="1"/>
    <x v="3"/>
    <x v="1"/>
    <x v="0"/>
    <n v="1"/>
    <n v="25"/>
    <s v="Cash"/>
    <x v="0"/>
    <n v="25"/>
  </r>
  <r>
    <n v="1093"/>
    <x v="2"/>
    <x v="0"/>
    <x v="0"/>
    <x v="0"/>
    <x v="0"/>
    <x v="1"/>
    <n v="2"/>
    <n v="12"/>
    <s v="Card"/>
    <x v="1"/>
    <n v="24"/>
  </r>
  <r>
    <n v="1022"/>
    <x v="3"/>
    <x v="71"/>
    <x v="1"/>
    <x v="2"/>
    <x v="2"/>
    <x v="1"/>
    <n v="5"/>
    <n v="12"/>
    <s v="Mobile Wallet"/>
    <x v="3"/>
    <n v="60"/>
  </r>
  <r>
    <n v="1583"/>
    <x v="1"/>
    <x v="77"/>
    <x v="2"/>
    <x v="4"/>
    <x v="1"/>
    <x v="1"/>
    <n v="5"/>
    <n v="12"/>
    <s v="Card"/>
    <x v="0"/>
    <n v="60"/>
  </r>
  <r>
    <n v="1333"/>
    <x v="5"/>
    <x v="79"/>
    <x v="1"/>
    <x v="2"/>
    <x v="2"/>
    <x v="1"/>
    <n v="2"/>
    <n v="12"/>
    <s v="Card"/>
    <x v="3"/>
    <n v="24"/>
  </r>
  <r>
    <n v="800"/>
    <x v="7"/>
    <x v="27"/>
    <x v="1"/>
    <x v="5"/>
    <x v="3"/>
    <x v="1"/>
    <n v="5"/>
    <n v="12"/>
    <s v="Card"/>
    <x v="3"/>
    <n v="60"/>
  </r>
  <r>
    <n v="864"/>
    <x v="4"/>
    <x v="41"/>
    <x v="2"/>
    <x v="4"/>
    <x v="0"/>
    <x v="0"/>
    <n v="2"/>
    <n v="25"/>
    <s v="Mobile Wallet"/>
    <x v="2"/>
    <n v="50"/>
  </r>
  <r>
    <n v="766"/>
    <x v="7"/>
    <x v="23"/>
    <x v="2"/>
    <x v="0"/>
    <x v="1"/>
    <x v="3"/>
    <n v="1"/>
    <n v="30"/>
    <s v="Cash"/>
    <x v="2"/>
    <n v="30"/>
  </r>
  <r>
    <n v="256"/>
    <x v="7"/>
    <x v="5"/>
    <x v="1"/>
    <x v="4"/>
    <x v="1"/>
    <x v="0"/>
    <n v="5"/>
    <n v="25"/>
    <s v="Cash"/>
    <x v="0"/>
    <n v="125"/>
  </r>
  <r>
    <n v="605"/>
    <x v="5"/>
    <x v="55"/>
    <x v="1"/>
    <x v="2"/>
    <x v="0"/>
    <x v="1"/>
    <n v="3"/>
    <n v="12"/>
    <s v="Card"/>
    <x v="2"/>
    <n v="36"/>
  </r>
  <r>
    <n v="765"/>
    <x v="1"/>
    <x v="38"/>
    <x v="0"/>
    <x v="1"/>
    <x v="3"/>
    <x v="1"/>
    <n v="4"/>
    <n v="12"/>
    <s v="Cash"/>
    <x v="0"/>
    <n v="48"/>
  </r>
  <r>
    <n v="121"/>
    <x v="2"/>
    <x v="55"/>
    <x v="1"/>
    <x v="2"/>
    <x v="1"/>
    <x v="2"/>
    <n v="2"/>
    <n v="20"/>
    <s v="Card"/>
    <x v="2"/>
    <n v="40"/>
  </r>
  <r>
    <n v="583"/>
    <x v="6"/>
    <x v="28"/>
    <x v="2"/>
    <x v="0"/>
    <x v="2"/>
    <x v="0"/>
    <n v="5"/>
    <n v="25"/>
    <s v="Mobile Wallet"/>
    <x v="0"/>
    <n v="125"/>
  </r>
  <r>
    <n v="149"/>
    <x v="3"/>
    <x v="8"/>
    <x v="0"/>
    <x v="2"/>
    <x v="2"/>
    <x v="1"/>
    <n v="5"/>
    <n v="12"/>
    <s v="Mobile Wallet"/>
    <x v="2"/>
    <n v="60"/>
  </r>
  <r>
    <n v="1758"/>
    <x v="3"/>
    <x v="83"/>
    <x v="0"/>
    <x v="5"/>
    <x v="2"/>
    <x v="1"/>
    <n v="1"/>
    <n v="12"/>
    <s v="Cash"/>
    <x v="3"/>
    <n v="12"/>
  </r>
  <r>
    <n v="719"/>
    <x v="2"/>
    <x v="7"/>
    <x v="1"/>
    <x v="3"/>
    <x v="0"/>
    <x v="2"/>
    <n v="5"/>
    <n v="20"/>
    <s v="Card"/>
    <x v="2"/>
    <n v="100"/>
  </r>
  <r>
    <n v="1604"/>
    <x v="3"/>
    <x v="24"/>
    <x v="0"/>
    <x v="2"/>
    <x v="1"/>
    <x v="1"/>
    <n v="5"/>
    <n v="12"/>
    <s v="Mobile Wallet"/>
    <x v="3"/>
    <n v="60"/>
  </r>
  <r>
    <n v="390"/>
    <x v="3"/>
    <x v="88"/>
    <x v="0"/>
    <x v="6"/>
    <x v="2"/>
    <x v="4"/>
    <n v="3"/>
    <n v="8"/>
    <s v="Card"/>
    <x v="3"/>
    <n v="24"/>
  </r>
  <r>
    <n v="1831"/>
    <x v="4"/>
    <x v="58"/>
    <x v="1"/>
    <x v="3"/>
    <x v="1"/>
    <x v="1"/>
    <n v="3"/>
    <n v="12"/>
    <s v="Cash"/>
    <x v="1"/>
    <n v="36"/>
  </r>
  <r>
    <n v="1721"/>
    <x v="0"/>
    <x v="21"/>
    <x v="1"/>
    <x v="6"/>
    <x v="0"/>
    <x v="1"/>
    <n v="1"/>
    <n v="12"/>
    <s v="Card"/>
    <x v="1"/>
    <n v="12"/>
  </r>
  <r>
    <n v="1275"/>
    <x v="5"/>
    <x v="78"/>
    <x v="2"/>
    <x v="4"/>
    <x v="1"/>
    <x v="2"/>
    <n v="2"/>
    <n v="20"/>
    <s v="Card"/>
    <x v="3"/>
    <n v="40"/>
  </r>
  <r>
    <n v="59"/>
    <x v="7"/>
    <x v="0"/>
    <x v="0"/>
    <x v="0"/>
    <x v="2"/>
    <x v="4"/>
    <n v="2"/>
    <n v="8"/>
    <s v="Cash"/>
    <x v="0"/>
    <n v="16"/>
  </r>
  <r>
    <n v="1786"/>
    <x v="2"/>
    <x v="6"/>
    <x v="1"/>
    <x v="5"/>
    <x v="2"/>
    <x v="1"/>
    <n v="2"/>
    <n v="12"/>
    <s v="Card"/>
    <x v="3"/>
    <n v="24"/>
  </r>
  <r>
    <n v="537"/>
    <x v="2"/>
    <x v="69"/>
    <x v="1"/>
    <x v="1"/>
    <x v="0"/>
    <x v="4"/>
    <n v="2"/>
    <n v="8"/>
    <s v="Mobile Wallet"/>
    <x v="1"/>
    <n v="16"/>
  </r>
  <r>
    <n v="739"/>
    <x v="1"/>
    <x v="17"/>
    <x v="2"/>
    <x v="5"/>
    <x v="1"/>
    <x v="3"/>
    <n v="3"/>
    <n v="30"/>
    <s v="Card"/>
    <x v="1"/>
    <n v="90"/>
  </r>
  <r>
    <n v="271"/>
    <x v="0"/>
    <x v="34"/>
    <x v="1"/>
    <x v="0"/>
    <x v="3"/>
    <x v="1"/>
    <n v="4"/>
    <n v="12"/>
    <s v="Card"/>
    <x v="0"/>
    <n v="48"/>
  </r>
  <r>
    <n v="547"/>
    <x v="1"/>
    <x v="85"/>
    <x v="2"/>
    <x v="6"/>
    <x v="1"/>
    <x v="1"/>
    <n v="5"/>
    <n v="12"/>
    <s v="Mobile Wallet"/>
    <x v="3"/>
    <n v="60"/>
  </r>
  <r>
    <n v="365"/>
    <x v="5"/>
    <x v="26"/>
    <x v="2"/>
    <x v="2"/>
    <x v="1"/>
    <x v="0"/>
    <n v="1"/>
    <n v="25"/>
    <s v="Mobile Wallet"/>
    <x v="1"/>
    <n v="25"/>
  </r>
  <r>
    <n v="1489"/>
    <x v="3"/>
    <x v="36"/>
    <x v="2"/>
    <x v="2"/>
    <x v="2"/>
    <x v="1"/>
    <n v="5"/>
    <n v="12"/>
    <s v="Mobile Wallet"/>
    <x v="3"/>
    <n v="60"/>
  </r>
  <r>
    <n v="546"/>
    <x v="2"/>
    <x v="30"/>
    <x v="1"/>
    <x v="2"/>
    <x v="3"/>
    <x v="1"/>
    <n v="2"/>
    <n v="12"/>
    <s v="Cash"/>
    <x v="3"/>
    <n v="24"/>
  </r>
  <r>
    <n v="509"/>
    <x v="2"/>
    <x v="35"/>
    <x v="0"/>
    <x v="5"/>
    <x v="1"/>
    <x v="2"/>
    <n v="4"/>
    <n v="20"/>
    <s v="Mobile Wallet"/>
    <x v="3"/>
    <n v="80"/>
  </r>
  <r>
    <n v="570"/>
    <x v="5"/>
    <x v="37"/>
    <x v="0"/>
    <x v="0"/>
    <x v="3"/>
    <x v="3"/>
    <n v="3"/>
    <n v="30"/>
    <s v="Card"/>
    <x v="2"/>
    <n v="90"/>
  </r>
  <r>
    <n v="1341"/>
    <x v="5"/>
    <x v="79"/>
    <x v="1"/>
    <x v="2"/>
    <x v="0"/>
    <x v="2"/>
    <n v="5"/>
    <n v="20"/>
    <s v="Cash"/>
    <x v="3"/>
    <n v="100"/>
  </r>
  <r>
    <n v="298"/>
    <x v="5"/>
    <x v="48"/>
    <x v="0"/>
    <x v="5"/>
    <x v="0"/>
    <x v="1"/>
    <n v="5"/>
    <n v="12"/>
    <s v="Card"/>
    <x v="1"/>
    <n v="60"/>
  </r>
  <r>
    <n v="268"/>
    <x v="2"/>
    <x v="43"/>
    <x v="2"/>
    <x v="5"/>
    <x v="1"/>
    <x v="4"/>
    <n v="4"/>
    <n v="8"/>
    <s v="Cash"/>
    <x v="3"/>
    <n v="32"/>
  </r>
  <r>
    <n v="751"/>
    <x v="2"/>
    <x v="72"/>
    <x v="0"/>
    <x v="3"/>
    <x v="1"/>
    <x v="1"/>
    <n v="4"/>
    <n v="12"/>
    <s v="Card"/>
    <x v="0"/>
    <n v="48"/>
  </r>
  <r>
    <n v="1586"/>
    <x v="4"/>
    <x v="23"/>
    <x v="2"/>
    <x v="0"/>
    <x v="0"/>
    <x v="1"/>
    <n v="4"/>
    <n v="12"/>
    <s v="Mobile Wallet"/>
    <x v="3"/>
    <n v="48"/>
  </r>
  <r>
    <n v="723"/>
    <x v="6"/>
    <x v="28"/>
    <x v="2"/>
    <x v="0"/>
    <x v="1"/>
    <x v="4"/>
    <n v="5"/>
    <n v="8"/>
    <s v="Cash"/>
    <x v="2"/>
    <n v="40"/>
  </r>
  <r>
    <n v="1136"/>
    <x v="7"/>
    <x v="83"/>
    <x v="0"/>
    <x v="5"/>
    <x v="0"/>
    <x v="0"/>
    <n v="2"/>
    <n v="25"/>
    <s v="Card"/>
    <x v="0"/>
    <n v="50"/>
  </r>
  <r>
    <n v="1544"/>
    <x v="1"/>
    <x v="17"/>
    <x v="2"/>
    <x v="5"/>
    <x v="2"/>
    <x v="1"/>
    <n v="3"/>
    <n v="12"/>
    <s v="Mobile Wallet"/>
    <x v="0"/>
    <n v="36"/>
  </r>
  <r>
    <n v="1819"/>
    <x v="4"/>
    <x v="84"/>
    <x v="0"/>
    <x v="3"/>
    <x v="0"/>
    <x v="2"/>
    <n v="1"/>
    <n v="20"/>
    <s v="Card"/>
    <x v="2"/>
    <n v="20"/>
  </r>
  <r>
    <n v="401"/>
    <x v="2"/>
    <x v="12"/>
    <x v="2"/>
    <x v="3"/>
    <x v="3"/>
    <x v="1"/>
    <n v="2"/>
    <n v="12"/>
    <s v="Mobile Wallet"/>
    <x v="2"/>
    <n v="24"/>
  </r>
  <r>
    <n v="1739"/>
    <x v="5"/>
    <x v="20"/>
    <x v="0"/>
    <x v="4"/>
    <x v="0"/>
    <x v="4"/>
    <n v="3"/>
    <n v="8"/>
    <s v="Mobile Wallet"/>
    <x v="2"/>
    <n v="24"/>
  </r>
  <r>
    <n v="1276"/>
    <x v="2"/>
    <x v="81"/>
    <x v="0"/>
    <x v="6"/>
    <x v="2"/>
    <x v="2"/>
    <n v="1"/>
    <n v="20"/>
    <s v="Mobile Wallet"/>
    <x v="1"/>
    <n v="20"/>
  </r>
  <r>
    <n v="1979"/>
    <x v="7"/>
    <x v="26"/>
    <x v="2"/>
    <x v="2"/>
    <x v="3"/>
    <x v="1"/>
    <n v="4"/>
    <n v="12"/>
    <s v="Mobile Wallet"/>
    <x v="2"/>
    <n v="48"/>
  </r>
  <r>
    <n v="1104"/>
    <x v="3"/>
    <x v="33"/>
    <x v="0"/>
    <x v="2"/>
    <x v="2"/>
    <x v="1"/>
    <n v="5"/>
    <n v="12"/>
    <s v="Cash"/>
    <x v="0"/>
    <n v="60"/>
  </r>
  <r>
    <n v="775"/>
    <x v="4"/>
    <x v="71"/>
    <x v="1"/>
    <x v="2"/>
    <x v="1"/>
    <x v="0"/>
    <n v="3"/>
    <n v="25"/>
    <s v="Card"/>
    <x v="0"/>
    <n v="75"/>
  </r>
  <r>
    <n v="724"/>
    <x v="3"/>
    <x v="14"/>
    <x v="1"/>
    <x v="0"/>
    <x v="0"/>
    <x v="1"/>
    <n v="2"/>
    <n v="12"/>
    <s v="Mobile Wallet"/>
    <x v="1"/>
    <n v="24"/>
  </r>
  <r>
    <n v="1591"/>
    <x v="6"/>
    <x v="32"/>
    <x v="2"/>
    <x v="5"/>
    <x v="3"/>
    <x v="3"/>
    <n v="4"/>
    <n v="30"/>
    <s v="Card"/>
    <x v="0"/>
    <n v="120"/>
  </r>
  <r>
    <n v="1568"/>
    <x v="6"/>
    <x v="67"/>
    <x v="2"/>
    <x v="6"/>
    <x v="0"/>
    <x v="4"/>
    <n v="4"/>
    <n v="8"/>
    <s v="Cash"/>
    <x v="0"/>
    <n v="32"/>
  </r>
  <r>
    <n v="217"/>
    <x v="6"/>
    <x v="30"/>
    <x v="1"/>
    <x v="2"/>
    <x v="2"/>
    <x v="2"/>
    <n v="2"/>
    <n v="20"/>
    <s v="Cash"/>
    <x v="2"/>
    <n v="40"/>
  </r>
  <r>
    <n v="1697"/>
    <x v="3"/>
    <x v="38"/>
    <x v="0"/>
    <x v="1"/>
    <x v="2"/>
    <x v="3"/>
    <n v="3"/>
    <n v="30"/>
    <s v="Cash"/>
    <x v="1"/>
    <n v="90"/>
  </r>
  <r>
    <n v="1472"/>
    <x v="4"/>
    <x v="78"/>
    <x v="2"/>
    <x v="4"/>
    <x v="0"/>
    <x v="4"/>
    <n v="4"/>
    <n v="8"/>
    <s v="Cash"/>
    <x v="3"/>
    <n v="32"/>
  </r>
  <r>
    <n v="1977"/>
    <x v="5"/>
    <x v="8"/>
    <x v="0"/>
    <x v="2"/>
    <x v="3"/>
    <x v="1"/>
    <n v="3"/>
    <n v="12"/>
    <s v="Cash"/>
    <x v="0"/>
    <n v="36"/>
  </r>
  <r>
    <n v="1370"/>
    <x v="4"/>
    <x v="4"/>
    <x v="0"/>
    <x v="1"/>
    <x v="3"/>
    <x v="4"/>
    <n v="2"/>
    <n v="8"/>
    <s v="Card"/>
    <x v="1"/>
    <n v="16"/>
  </r>
  <r>
    <n v="741"/>
    <x v="5"/>
    <x v="44"/>
    <x v="2"/>
    <x v="1"/>
    <x v="2"/>
    <x v="1"/>
    <n v="1"/>
    <n v="12"/>
    <s v="Mobile Wallet"/>
    <x v="0"/>
    <n v="12"/>
  </r>
  <r>
    <n v="202"/>
    <x v="2"/>
    <x v="10"/>
    <x v="2"/>
    <x v="0"/>
    <x v="2"/>
    <x v="1"/>
    <n v="1"/>
    <n v="12"/>
    <s v="Cash"/>
    <x v="2"/>
    <n v="12"/>
  </r>
  <r>
    <n v="1189"/>
    <x v="7"/>
    <x v="3"/>
    <x v="0"/>
    <x v="3"/>
    <x v="2"/>
    <x v="2"/>
    <n v="4"/>
    <n v="20"/>
    <s v="Mobile Wallet"/>
    <x v="2"/>
    <n v="80"/>
  </r>
  <r>
    <n v="18"/>
    <x v="2"/>
    <x v="42"/>
    <x v="0"/>
    <x v="2"/>
    <x v="2"/>
    <x v="2"/>
    <n v="3"/>
    <n v="20"/>
    <s v="Card"/>
    <x v="2"/>
    <n v="60"/>
  </r>
  <r>
    <n v="1736"/>
    <x v="2"/>
    <x v="5"/>
    <x v="1"/>
    <x v="4"/>
    <x v="2"/>
    <x v="1"/>
    <n v="5"/>
    <n v="12"/>
    <s v="Cash"/>
    <x v="3"/>
    <n v="60"/>
  </r>
  <r>
    <n v="1792"/>
    <x v="0"/>
    <x v="10"/>
    <x v="2"/>
    <x v="0"/>
    <x v="2"/>
    <x v="1"/>
    <n v="1"/>
    <n v="12"/>
    <s v="Card"/>
    <x v="3"/>
    <n v="12"/>
  </r>
  <r>
    <n v="480"/>
    <x v="6"/>
    <x v="42"/>
    <x v="0"/>
    <x v="2"/>
    <x v="3"/>
    <x v="4"/>
    <n v="3"/>
    <n v="8"/>
    <s v="Mobile Wallet"/>
    <x v="2"/>
    <n v="24"/>
  </r>
  <r>
    <n v="80"/>
    <x v="6"/>
    <x v="33"/>
    <x v="0"/>
    <x v="2"/>
    <x v="1"/>
    <x v="4"/>
    <n v="2"/>
    <n v="8"/>
    <s v="Cash"/>
    <x v="0"/>
    <n v="16"/>
  </r>
  <r>
    <n v="1240"/>
    <x v="7"/>
    <x v="30"/>
    <x v="1"/>
    <x v="2"/>
    <x v="0"/>
    <x v="0"/>
    <n v="2"/>
    <n v="25"/>
    <s v="Cash"/>
    <x v="2"/>
    <n v="50"/>
  </r>
  <r>
    <n v="1440"/>
    <x v="7"/>
    <x v="5"/>
    <x v="1"/>
    <x v="4"/>
    <x v="3"/>
    <x v="3"/>
    <n v="5"/>
    <n v="30"/>
    <s v="Cash"/>
    <x v="1"/>
    <n v="150"/>
  </r>
  <r>
    <n v="717"/>
    <x v="7"/>
    <x v="0"/>
    <x v="0"/>
    <x v="0"/>
    <x v="2"/>
    <x v="0"/>
    <n v="3"/>
    <n v="25"/>
    <s v="Mobile Wallet"/>
    <x v="1"/>
    <n v="75"/>
  </r>
  <r>
    <n v="728"/>
    <x v="7"/>
    <x v="14"/>
    <x v="1"/>
    <x v="0"/>
    <x v="3"/>
    <x v="1"/>
    <n v="4"/>
    <n v="12"/>
    <s v="Cash"/>
    <x v="2"/>
    <n v="48"/>
  </r>
  <r>
    <n v="712"/>
    <x v="4"/>
    <x v="25"/>
    <x v="1"/>
    <x v="0"/>
    <x v="0"/>
    <x v="0"/>
    <n v="2"/>
    <n v="25"/>
    <s v="Card"/>
    <x v="1"/>
    <n v="50"/>
  </r>
  <r>
    <n v="1933"/>
    <x v="3"/>
    <x v="52"/>
    <x v="2"/>
    <x v="5"/>
    <x v="3"/>
    <x v="0"/>
    <n v="3"/>
    <n v="25"/>
    <s v="Mobile Wallet"/>
    <x v="2"/>
    <n v="75"/>
  </r>
  <r>
    <n v="886"/>
    <x v="1"/>
    <x v="84"/>
    <x v="0"/>
    <x v="3"/>
    <x v="3"/>
    <x v="3"/>
    <n v="2"/>
    <n v="30"/>
    <s v="Mobile Wallet"/>
    <x v="2"/>
    <n v="60"/>
  </r>
  <r>
    <n v="753"/>
    <x v="4"/>
    <x v="67"/>
    <x v="2"/>
    <x v="6"/>
    <x v="0"/>
    <x v="1"/>
    <n v="3"/>
    <n v="12"/>
    <s v="Mobile Wallet"/>
    <x v="0"/>
    <n v="36"/>
  </r>
  <r>
    <n v="1234"/>
    <x v="3"/>
    <x v="60"/>
    <x v="1"/>
    <x v="0"/>
    <x v="1"/>
    <x v="1"/>
    <n v="3"/>
    <n v="12"/>
    <s v="Cash"/>
    <x v="2"/>
    <n v="36"/>
  </r>
  <r>
    <n v="1330"/>
    <x v="1"/>
    <x v="19"/>
    <x v="2"/>
    <x v="6"/>
    <x v="1"/>
    <x v="4"/>
    <n v="5"/>
    <n v="8"/>
    <s v="Mobile Wallet"/>
    <x v="2"/>
    <n v="40"/>
  </r>
  <r>
    <n v="1297"/>
    <x v="7"/>
    <x v="44"/>
    <x v="2"/>
    <x v="1"/>
    <x v="2"/>
    <x v="0"/>
    <n v="4"/>
    <n v="25"/>
    <s v="Mobile Wallet"/>
    <x v="0"/>
    <n v="100"/>
  </r>
  <r>
    <n v="1769"/>
    <x v="5"/>
    <x v="61"/>
    <x v="1"/>
    <x v="6"/>
    <x v="0"/>
    <x v="1"/>
    <n v="2"/>
    <n v="12"/>
    <s v="Card"/>
    <x v="2"/>
    <n v="24"/>
  </r>
  <r>
    <n v="1340"/>
    <x v="0"/>
    <x v="60"/>
    <x v="1"/>
    <x v="0"/>
    <x v="3"/>
    <x v="4"/>
    <n v="5"/>
    <n v="8"/>
    <s v="Cash"/>
    <x v="1"/>
    <n v="40"/>
  </r>
  <r>
    <n v="10"/>
    <x v="4"/>
    <x v="91"/>
    <x v="1"/>
    <x v="5"/>
    <x v="3"/>
    <x v="1"/>
    <n v="2"/>
    <n v="12"/>
    <s v="Card"/>
    <x v="0"/>
    <n v="24"/>
  </r>
  <r>
    <n v="1540"/>
    <x v="1"/>
    <x v="71"/>
    <x v="1"/>
    <x v="2"/>
    <x v="3"/>
    <x v="1"/>
    <n v="2"/>
    <n v="12"/>
    <s v="Card"/>
    <x v="1"/>
    <n v="24"/>
  </r>
  <r>
    <n v="122"/>
    <x v="1"/>
    <x v="32"/>
    <x v="2"/>
    <x v="5"/>
    <x v="1"/>
    <x v="0"/>
    <n v="2"/>
    <n v="25"/>
    <s v="Card"/>
    <x v="1"/>
    <n v="50"/>
  </r>
  <r>
    <n v="1277"/>
    <x v="3"/>
    <x v="80"/>
    <x v="1"/>
    <x v="3"/>
    <x v="3"/>
    <x v="2"/>
    <n v="2"/>
    <n v="20"/>
    <s v="Cash"/>
    <x v="0"/>
    <n v="40"/>
  </r>
  <r>
    <n v="1688"/>
    <x v="3"/>
    <x v="33"/>
    <x v="0"/>
    <x v="2"/>
    <x v="2"/>
    <x v="1"/>
    <n v="1"/>
    <n v="12"/>
    <s v="Card"/>
    <x v="0"/>
    <n v="12"/>
  </r>
  <r>
    <n v="632"/>
    <x v="6"/>
    <x v="56"/>
    <x v="0"/>
    <x v="3"/>
    <x v="0"/>
    <x v="4"/>
    <n v="2"/>
    <n v="8"/>
    <s v="Cash"/>
    <x v="1"/>
    <n v="16"/>
  </r>
  <r>
    <n v="1441"/>
    <x v="3"/>
    <x v="87"/>
    <x v="0"/>
    <x v="4"/>
    <x v="0"/>
    <x v="1"/>
    <n v="2"/>
    <n v="12"/>
    <s v="Cash"/>
    <x v="3"/>
    <n v="24"/>
  </r>
  <r>
    <n v="1292"/>
    <x v="1"/>
    <x v="26"/>
    <x v="2"/>
    <x v="2"/>
    <x v="1"/>
    <x v="2"/>
    <n v="4"/>
    <n v="20"/>
    <s v="Card"/>
    <x v="1"/>
    <n v="80"/>
  </r>
  <r>
    <n v="824"/>
    <x v="5"/>
    <x v="37"/>
    <x v="0"/>
    <x v="0"/>
    <x v="1"/>
    <x v="1"/>
    <n v="2"/>
    <n v="12"/>
    <s v="Card"/>
    <x v="1"/>
    <n v="24"/>
  </r>
  <r>
    <n v="1847"/>
    <x v="2"/>
    <x v="51"/>
    <x v="0"/>
    <x v="1"/>
    <x v="1"/>
    <x v="3"/>
    <n v="1"/>
    <n v="30"/>
    <s v="Cash"/>
    <x v="3"/>
    <n v="30"/>
  </r>
  <r>
    <n v="1876"/>
    <x v="2"/>
    <x v="40"/>
    <x v="2"/>
    <x v="2"/>
    <x v="0"/>
    <x v="1"/>
    <n v="1"/>
    <n v="12"/>
    <s v="Card"/>
    <x v="1"/>
    <n v="12"/>
  </r>
  <r>
    <n v="1107"/>
    <x v="1"/>
    <x v="11"/>
    <x v="1"/>
    <x v="4"/>
    <x v="2"/>
    <x v="4"/>
    <n v="1"/>
    <n v="8"/>
    <s v="Cash"/>
    <x v="1"/>
    <n v="8"/>
  </r>
  <r>
    <n v="1975"/>
    <x v="4"/>
    <x v="23"/>
    <x v="2"/>
    <x v="0"/>
    <x v="2"/>
    <x v="1"/>
    <n v="3"/>
    <n v="12"/>
    <s v="Card"/>
    <x v="2"/>
    <n v="36"/>
  </r>
  <r>
    <n v="249"/>
    <x v="3"/>
    <x v="79"/>
    <x v="1"/>
    <x v="2"/>
    <x v="1"/>
    <x v="0"/>
    <n v="5"/>
    <n v="25"/>
    <s v="Cash"/>
    <x v="2"/>
    <n v="125"/>
  </r>
  <r>
    <n v="472"/>
    <x v="2"/>
    <x v="10"/>
    <x v="2"/>
    <x v="0"/>
    <x v="2"/>
    <x v="3"/>
    <n v="2"/>
    <n v="30"/>
    <s v="Card"/>
    <x v="0"/>
    <n v="60"/>
  </r>
  <r>
    <n v="341"/>
    <x v="7"/>
    <x v="9"/>
    <x v="0"/>
    <x v="2"/>
    <x v="2"/>
    <x v="4"/>
    <n v="2"/>
    <n v="8"/>
    <s v="Mobile Wallet"/>
    <x v="3"/>
    <n v="16"/>
  </r>
  <r>
    <n v="491"/>
    <x v="2"/>
    <x v="45"/>
    <x v="2"/>
    <x v="3"/>
    <x v="0"/>
    <x v="1"/>
    <n v="4"/>
    <n v="12"/>
    <s v="Card"/>
    <x v="2"/>
    <n v="48"/>
  </r>
  <r>
    <n v="563"/>
    <x v="5"/>
    <x v="50"/>
    <x v="0"/>
    <x v="6"/>
    <x v="1"/>
    <x v="1"/>
    <n v="3"/>
    <n v="12"/>
    <s v="Cash"/>
    <x v="1"/>
    <n v="36"/>
  </r>
  <r>
    <n v="1032"/>
    <x v="2"/>
    <x v="82"/>
    <x v="0"/>
    <x v="1"/>
    <x v="1"/>
    <x v="1"/>
    <n v="1"/>
    <n v="12"/>
    <s v="Card"/>
    <x v="0"/>
    <n v="12"/>
  </r>
  <r>
    <n v="1959"/>
    <x v="1"/>
    <x v="2"/>
    <x v="2"/>
    <x v="2"/>
    <x v="3"/>
    <x v="1"/>
    <n v="4"/>
    <n v="12"/>
    <s v="Cash"/>
    <x v="0"/>
    <n v="48"/>
  </r>
  <r>
    <n v="953"/>
    <x v="1"/>
    <x v="73"/>
    <x v="2"/>
    <x v="6"/>
    <x v="2"/>
    <x v="4"/>
    <n v="4"/>
    <n v="8"/>
    <s v="Cash"/>
    <x v="1"/>
    <n v="32"/>
  </r>
  <r>
    <n v="892"/>
    <x v="5"/>
    <x v="87"/>
    <x v="0"/>
    <x v="4"/>
    <x v="0"/>
    <x v="4"/>
    <n v="5"/>
    <n v="8"/>
    <s v="Mobile Wallet"/>
    <x v="0"/>
    <n v="40"/>
  </r>
  <r>
    <n v="823"/>
    <x v="0"/>
    <x v="71"/>
    <x v="1"/>
    <x v="2"/>
    <x v="3"/>
    <x v="0"/>
    <n v="3"/>
    <n v="25"/>
    <s v="Mobile Wallet"/>
    <x v="3"/>
    <n v="75"/>
  </r>
  <r>
    <n v="915"/>
    <x v="6"/>
    <x v="73"/>
    <x v="2"/>
    <x v="6"/>
    <x v="3"/>
    <x v="1"/>
    <n v="4"/>
    <n v="12"/>
    <s v="Card"/>
    <x v="2"/>
    <n v="48"/>
  </r>
  <r>
    <n v="360"/>
    <x v="7"/>
    <x v="10"/>
    <x v="2"/>
    <x v="0"/>
    <x v="3"/>
    <x v="1"/>
    <n v="3"/>
    <n v="12"/>
    <s v="Cash"/>
    <x v="3"/>
    <n v="36"/>
  </r>
  <r>
    <n v="282"/>
    <x v="6"/>
    <x v="34"/>
    <x v="1"/>
    <x v="0"/>
    <x v="0"/>
    <x v="1"/>
    <n v="2"/>
    <n v="12"/>
    <s v="Mobile Wallet"/>
    <x v="3"/>
    <n v="24"/>
  </r>
  <r>
    <n v="580"/>
    <x v="4"/>
    <x v="46"/>
    <x v="1"/>
    <x v="3"/>
    <x v="2"/>
    <x v="0"/>
    <n v="3"/>
    <n v="25"/>
    <s v="Mobile Wallet"/>
    <x v="2"/>
    <n v="75"/>
  </r>
  <r>
    <n v="833"/>
    <x v="7"/>
    <x v="53"/>
    <x v="1"/>
    <x v="6"/>
    <x v="3"/>
    <x v="1"/>
    <n v="3"/>
    <n v="12"/>
    <s v="Cash"/>
    <x v="1"/>
    <n v="36"/>
  </r>
  <r>
    <n v="1600"/>
    <x v="1"/>
    <x v="48"/>
    <x v="0"/>
    <x v="5"/>
    <x v="3"/>
    <x v="4"/>
    <n v="2"/>
    <n v="8"/>
    <s v="Mobile Wallet"/>
    <x v="3"/>
    <n v="16"/>
  </r>
  <r>
    <n v="1974"/>
    <x v="2"/>
    <x v="87"/>
    <x v="0"/>
    <x v="4"/>
    <x v="0"/>
    <x v="4"/>
    <n v="2"/>
    <n v="8"/>
    <s v="Mobile Wallet"/>
    <x v="2"/>
    <n v="16"/>
  </r>
  <r>
    <n v="1342"/>
    <x v="2"/>
    <x v="60"/>
    <x v="1"/>
    <x v="0"/>
    <x v="2"/>
    <x v="0"/>
    <n v="1"/>
    <n v="25"/>
    <s v="Card"/>
    <x v="2"/>
    <n v="25"/>
  </r>
  <r>
    <n v="1915"/>
    <x v="2"/>
    <x v="71"/>
    <x v="1"/>
    <x v="2"/>
    <x v="3"/>
    <x v="3"/>
    <n v="2"/>
    <n v="30"/>
    <s v="Mobile Wallet"/>
    <x v="3"/>
    <n v="60"/>
  </r>
  <r>
    <n v="863"/>
    <x v="4"/>
    <x v="29"/>
    <x v="1"/>
    <x v="1"/>
    <x v="0"/>
    <x v="3"/>
    <n v="2"/>
    <n v="30"/>
    <s v="Mobile Wallet"/>
    <x v="3"/>
    <n v="60"/>
  </r>
  <r>
    <n v="695"/>
    <x v="4"/>
    <x v="17"/>
    <x v="2"/>
    <x v="5"/>
    <x v="1"/>
    <x v="3"/>
    <n v="1"/>
    <n v="30"/>
    <s v="Card"/>
    <x v="1"/>
    <n v="30"/>
  </r>
  <r>
    <n v="54"/>
    <x v="6"/>
    <x v="45"/>
    <x v="2"/>
    <x v="3"/>
    <x v="1"/>
    <x v="3"/>
    <n v="3"/>
    <n v="30"/>
    <s v="Card"/>
    <x v="3"/>
    <n v="90"/>
  </r>
  <r>
    <n v="1246"/>
    <x v="2"/>
    <x v="18"/>
    <x v="0"/>
    <x v="0"/>
    <x v="2"/>
    <x v="1"/>
    <n v="3"/>
    <n v="12"/>
    <s v="Cash"/>
    <x v="0"/>
    <n v="36"/>
  </r>
  <r>
    <n v="1715"/>
    <x v="0"/>
    <x v="34"/>
    <x v="1"/>
    <x v="0"/>
    <x v="3"/>
    <x v="3"/>
    <n v="4"/>
    <n v="30"/>
    <s v="Mobile Wallet"/>
    <x v="2"/>
    <n v="120"/>
  </r>
  <r>
    <n v="1321"/>
    <x v="2"/>
    <x v="33"/>
    <x v="0"/>
    <x v="2"/>
    <x v="1"/>
    <x v="0"/>
    <n v="2"/>
    <n v="25"/>
    <s v="Mobile Wallet"/>
    <x v="2"/>
    <n v="50"/>
  </r>
  <r>
    <n v="881"/>
    <x v="1"/>
    <x v="82"/>
    <x v="0"/>
    <x v="1"/>
    <x v="2"/>
    <x v="1"/>
    <n v="2"/>
    <n v="12"/>
    <s v="Cash"/>
    <x v="2"/>
    <n v="24"/>
  </r>
  <r>
    <n v="1680"/>
    <x v="4"/>
    <x v="59"/>
    <x v="0"/>
    <x v="0"/>
    <x v="3"/>
    <x v="1"/>
    <n v="2"/>
    <n v="12"/>
    <s v="Card"/>
    <x v="0"/>
    <n v="24"/>
  </r>
  <r>
    <n v="1497"/>
    <x v="2"/>
    <x v="68"/>
    <x v="2"/>
    <x v="4"/>
    <x v="2"/>
    <x v="2"/>
    <n v="5"/>
    <n v="20"/>
    <s v="Cash"/>
    <x v="3"/>
    <n v="100"/>
  </r>
  <r>
    <n v="1250"/>
    <x v="6"/>
    <x v="42"/>
    <x v="0"/>
    <x v="2"/>
    <x v="3"/>
    <x v="0"/>
    <n v="3"/>
    <n v="25"/>
    <s v="Card"/>
    <x v="2"/>
    <n v="75"/>
  </r>
  <r>
    <n v="1635"/>
    <x v="1"/>
    <x v="79"/>
    <x v="1"/>
    <x v="2"/>
    <x v="1"/>
    <x v="1"/>
    <n v="4"/>
    <n v="12"/>
    <s v="Cash"/>
    <x v="3"/>
    <n v="48"/>
  </r>
  <r>
    <n v="181"/>
    <x v="1"/>
    <x v="10"/>
    <x v="2"/>
    <x v="0"/>
    <x v="1"/>
    <x v="1"/>
    <n v="1"/>
    <n v="12"/>
    <s v="Cash"/>
    <x v="2"/>
    <n v="12"/>
  </r>
  <r>
    <n v="1083"/>
    <x v="1"/>
    <x v="71"/>
    <x v="1"/>
    <x v="2"/>
    <x v="1"/>
    <x v="1"/>
    <n v="2"/>
    <n v="12"/>
    <s v="Mobile Wallet"/>
    <x v="0"/>
    <n v="24"/>
  </r>
  <r>
    <n v="784"/>
    <x v="6"/>
    <x v="80"/>
    <x v="1"/>
    <x v="3"/>
    <x v="2"/>
    <x v="4"/>
    <n v="3"/>
    <n v="8"/>
    <s v="Card"/>
    <x v="3"/>
    <n v="24"/>
  </r>
  <r>
    <n v="1390"/>
    <x v="3"/>
    <x v="56"/>
    <x v="0"/>
    <x v="3"/>
    <x v="2"/>
    <x v="4"/>
    <n v="1"/>
    <n v="8"/>
    <s v="Card"/>
    <x v="3"/>
    <n v="8"/>
  </r>
  <r>
    <n v="171"/>
    <x v="2"/>
    <x v="31"/>
    <x v="2"/>
    <x v="0"/>
    <x v="0"/>
    <x v="4"/>
    <n v="3"/>
    <n v="8"/>
    <s v="Mobile Wallet"/>
    <x v="0"/>
    <n v="24"/>
  </r>
  <r>
    <n v="582"/>
    <x v="3"/>
    <x v="79"/>
    <x v="1"/>
    <x v="2"/>
    <x v="0"/>
    <x v="2"/>
    <n v="3"/>
    <n v="20"/>
    <s v="Cash"/>
    <x v="0"/>
    <n v="60"/>
  </r>
  <r>
    <n v="1058"/>
    <x v="5"/>
    <x v="30"/>
    <x v="1"/>
    <x v="2"/>
    <x v="1"/>
    <x v="1"/>
    <n v="3"/>
    <n v="12"/>
    <s v="Cash"/>
    <x v="3"/>
    <n v="36"/>
  </r>
  <r>
    <n v="1123"/>
    <x v="7"/>
    <x v="24"/>
    <x v="0"/>
    <x v="2"/>
    <x v="2"/>
    <x v="1"/>
    <n v="3"/>
    <n v="12"/>
    <s v="Cash"/>
    <x v="3"/>
    <n v="36"/>
  </r>
  <r>
    <n v="692"/>
    <x v="0"/>
    <x v="2"/>
    <x v="2"/>
    <x v="2"/>
    <x v="3"/>
    <x v="0"/>
    <n v="5"/>
    <n v="25"/>
    <s v="Cash"/>
    <x v="0"/>
    <n v="125"/>
  </r>
  <r>
    <n v="691"/>
    <x v="4"/>
    <x v="2"/>
    <x v="2"/>
    <x v="2"/>
    <x v="1"/>
    <x v="0"/>
    <n v="4"/>
    <n v="25"/>
    <s v="Card"/>
    <x v="0"/>
    <n v="100"/>
  </r>
  <r>
    <n v="1400"/>
    <x v="1"/>
    <x v="81"/>
    <x v="0"/>
    <x v="6"/>
    <x v="1"/>
    <x v="0"/>
    <n v="4"/>
    <n v="25"/>
    <s v="Mobile Wallet"/>
    <x v="0"/>
    <n v="100"/>
  </r>
  <r>
    <n v="1616"/>
    <x v="7"/>
    <x v="64"/>
    <x v="1"/>
    <x v="1"/>
    <x v="0"/>
    <x v="1"/>
    <n v="5"/>
    <n v="12"/>
    <s v="Card"/>
    <x v="1"/>
    <n v="60"/>
  </r>
  <r>
    <n v="872"/>
    <x v="2"/>
    <x v="18"/>
    <x v="0"/>
    <x v="0"/>
    <x v="2"/>
    <x v="3"/>
    <n v="1"/>
    <n v="30"/>
    <s v="Card"/>
    <x v="3"/>
    <n v="30"/>
  </r>
  <r>
    <n v="132"/>
    <x v="1"/>
    <x v="8"/>
    <x v="0"/>
    <x v="2"/>
    <x v="3"/>
    <x v="1"/>
    <n v="2"/>
    <n v="12"/>
    <s v="Cash"/>
    <x v="1"/>
    <n v="24"/>
  </r>
  <r>
    <n v="1021"/>
    <x v="5"/>
    <x v="2"/>
    <x v="2"/>
    <x v="2"/>
    <x v="2"/>
    <x v="1"/>
    <n v="2"/>
    <n v="12"/>
    <s v="Card"/>
    <x v="2"/>
    <n v="24"/>
  </r>
  <r>
    <n v="819"/>
    <x v="6"/>
    <x v="0"/>
    <x v="0"/>
    <x v="0"/>
    <x v="0"/>
    <x v="1"/>
    <n v="3"/>
    <n v="12"/>
    <s v="Mobile Wallet"/>
    <x v="3"/>
    <n v="36"/>
  </r>
  <r>
    <n v="187"/>
    <x v="4"/>
    <x v="10"/>
    <x v="2"/>
    <x v="0"/>
    <x v="3"/>
    <x v="2"/>
    <n v="3"/>
    <n v="20"/>
    <s v="Cash"/>
    <x v="2"/>
    <n v="60"/>
  </r>
  <r>
    <n v="1113"/>
    <x v="2"/>
    <x v="30"/>
    <x v="1"/>
    <x v="2"/>
    <x v="2"/>
    <x v="4"/>
    <n v="2"/>
    <n v="8"/>
    <s v="Mobile Wallet"/>
    <x v="0"/>
    <n v="16"/>
  </r>
  <r>
    <n v="1391"/>
    <x v="4"/>
    <x v="57"/>
    <x v="1"/>
    <x v="4"/>
    <x v="1"/>
    <x v="1"/>
    <n v="4"/>
    <n v="12"/>
    <s v="Mobile Wallet"/>
    <x v="2"/>
    <n v="48"/>
  </r>
  <r>
    <n v="831"/>
    <x v="1"/>
    <x v="58"/>
    <x v="1"/>
    <x v="3"/>
    <x v="1"/>
    <x v="1"/>
    <n v="3"/>
    <n v="12"/>
    <s v="Cash"/>
    <x v="3"/>
    <n v="36"/>
  </r>
  <r>
    <n v="1211"/>
    <x v="3"/>
    <x v="61"/>
    <x v="1"/>
    <x v="6"/>
    <x v="3"/>
    <x v="1"/>
    <n v="4"/>
    <n v="12"/>
    <s v="Card"/>
    <x v="3"/>
    <n v="48"/>
  </r>
  <r>
    <n v="1812"/>
    <x v="3"/>
    <x v="40"/>
    <x v="2"/>
    <x v="2"/>
    <x v="3"/>
    <x v="1"/>
    <n v="4"/>
    <n v="12"/>
    <s v="Cash"/>
    <x v="0"/>
    <n v="48"/>
  </r>
  <r>
    <n v="191"/>
    <x v="5"/>
    <x v="27"/>
    <x v="1"/>
    <x v="5"/>
    <x v="2"/>
    <x v="1"/>
    <n v="1"/>
    <n v="12"/>
    <s v="Cash"/>
    <x v="0"/>
    <n v="12"/>
  </r>
  <r>
    <n v="454"/>
    <x v="0"/>
    <x v="18"/>
    <x v="0"/>
    <x v="0"/>
    <x v="0"/>
    <x v="1"/>
    <n v="4"/>
    <n v="12"/>
    <s v="Cash"/>
    <x v="1"/>
    <n v="48"/>
  </r>
  <r>
    <n v="1402"/>
    <x v="7"/>
    <x v="37"/>
    <x v="0"/>
    <x v="0"/>
    <x v="1"/>
    <x v="1"/>
    <n v="5"/>
    <n v="12"/>
    <s v="Mobile Wallet"/>
    <x v="3"/>
    <n v="60"/>
  </r>
  <r>
    <n v="901"/>
    <x v="1"/>
    <x v="37"/>
    <x v="0"/>
    <x v="0"/>
    <x v="2"/>
    <x v="1"/>
    <n v="1"/>
    <n v="12"/>
    <s v="Mobile Wallet"/>
    <x v="2"/>
    <n v="12"/>
  </r>
  <r>
    <n v="1137"/>
    <x v="5"/>
    <x v="17"/>
    <x v="2"/>
    <x v="5"/>
    <x v="1"/>
    <x v="4"/>
    <n v="1"/>
    <n v="8"/>
    <s v="Card"/>
    <x v="3"/>
    <n v="8"/>
  </r>
  <r>
    <n v="318"/>
    <x v="3"/>
    <x v="60"/>
    <x v="1"/>
    <x v="0"/>
    <x v="3"/>
    <x v="1"/>
    <n v="2"/>
    <n v="12"/>
    <s v="Card"/>
    <x v="3"/>
    <n v="24"/>
  </r>
  <r>
    <n v="646"/>
    <x v="1"/>
    <x v="28"/>
    <x v="2"/>
    <x v="0"/>
    <x v="0"/>
    <x v="1"/>
    <n v="1"/>
    <n v="12"/>
    <s v="Mobile Wallet"/>
    <x v="1"/>
    <n v="12"/>
  </r>
  <r>
    <n v="1929"/>
    <x v="2"/>
    <x v="19"/>
    <x v="2"/>
    <x v="6"/>
    <x v="3"/>
    <x v="4"/>
    <n v="4"/>
    <n v="8"/>
    <s v="Mobile Wallet"/>
    <x v="1"/>
    <n v="32"/>
  </r>
  <r>
    <n v="307"/>
    <x v="6"/>
    <x v="7"/>
    <x v="1"/>
    <x v="3"/>
    <x v="2"/>
    <x v="1"/>
    <n v="3"/>
    <n v="12"/>
    <s v="Mobile Wallet"/>
    <x v="1"/>
    <n v="36"/>
  </r>
  <r>
    <n v="1002"/>
    <x v="5"/>
    <x v="69"/>
    <x v="1"/>
    <x v="1"/>
    <x v="2"/>
    <x v="4"/>
    <n v="1"/>
    <n v="8"/>
    <s v="Card"/>
    <x v="3"/>
    <n v="8"/>
  </r>
  <r>
    <n v="1232"/>
    <x v="2"/>
    <x v="34"/>
    <x v="1"/>
    <x v="0"/>
    <x v="2"/>
    <x v="0"/>
    <n v="2"/>
    <n v="25"/>
    <s v="Mobile Wallet"/>
    <x v="0"/>
    <n v="50"/>
  </r>
  <r>
    <n v="138"/>
    <x v="3"/>
    <x v="2"/>
    <x v="2"/>
    <x v="2"/>
    <x v="1"/>
    <x v="4"/>
    <n v="4"/>
    <n v="8"/>
    <s v="Mobile Wallet"/>
    <x v="1"/>
    <n v="32"/>
  </r>
  <r>
    <n v="1435"/>
    <x v="6"/>
    <x v="34"/>
    <x v="1"/>
    <x v="0"/>
    <x v="1"/>
    <x v="4"/>
    <n v="3"/>
    <n v="8"/>
    <s v="Card"/>
    <x v="2"/>
    <n v="24"/>
  </r>
  <r>
    <n v="93"/>
    <x v="4"/>
    <x v="80"/>
    <x v="1"/>
    <x v="3"/>
    <x v="2"/>
    <x v="1"/>
    <n v="4"/>
    <n v="12"/>
    <s v="Cash"/>
    <x v="2"/>
    <n v="48"/>
  </r>
  <r>
    <n v="265"/>
    <x v="7"/>
    <x v="27"/>
    <x v="1"/>
    <x v="5"/>
    <x v="2"/>
    <x v="0"/>
    <n v="5"/>
    <n v="25"/>
    <s v="Card"/>
    <x v="3"/>
    <n v="125"/>
  </r>
  <r>
    <n v="253"/>
    <x v="6"/>
    <x v="91"/>
    <x v="1"/>
    <x v="5"/>
    <x v="0"/>
    <x v="4"/>
    <n v="4"/>
    <n v="8"/>
    <s v="Card"/>
    <x v="3"/>
    <n v="32"/>
  </r>
  <r>
    <n v="443"/>
    <x v="3"/>
    <x v="8"/>
    <x v="0"/>
    <x v="2"/>
    <x v="1"/>
    <x v="4"/>
    <n v="1"/>
    <n v="8"/>
    <s v="Cash"/>
    <x v="1"/>
    <n v="8"/>
  </r>
  <r>
    <n v="1722"/>
    <x v="7"/>
    <x v="36"/>
    <x v="2"/>
    <x v="2"/>
    <x v="0"/>
    <x v="2"/>
    <n v="4"/>
    <n v="20"/>
    <s v="Card"/>
    <x v="3"/>
    <n v="80"/>
  </r>
  <r>
    <n v="342"/>
    <x v="6"/>
    <x v="48"/>
    <x v="0"/>
    <x v="5"/>
    <x v="0"/>
    <x v="1"/>
    <n v="1"/>
    <n v="12"/>
    <s v="Mobile Wallet"/>
    <x v="3"/>
    <n v="12"/>
  </r>
  <r>
    <n v="1024"/>
    <x v="4"/>
    <x v="14"/>
    <x v="1"/>
    <x v="0"/>
    <x v="1"/>
    <x v="1"/>
    <n v="3"/>
    <n v="12"/>
    <s v="Card"/>
    <x v="0"/>
    <n v="36"/>
  </r>
  <r>
    <n v="1928"/>
    <x v="7"/>
    <x v="13"/>
    <x v="2"/>
    <x v="3"/>
    <x v="0"/>
    <x v="4"/>
    <n v="2"/>
    <n v="8"/>
    <s v="Mobile Wallet"/>
    <x v="2"/>
    <n v="16"/>
  </r>
  <r>
    <n v="446"/>
    <x v="7"/>
    <x v="81"/>
    <x v="0"/>
    <x v="6"/>
    <x v="3"/>
    <x v="1"/>
    <n v="2"/>
    <n v="12"/>
    <s v="Card"/>
    <x v="1"/>
    <n v="24"/>
  </r>
  <r>
    <n v="1541"/>
    <x v="5"/>
    <x v="83"/>
    <x v="0"/>
    <x v="5"/>
    <x v="2"/>
    <x v="1"/>
    <n v="1"/>
    <n v="12"/>
    <s v="Mobile Wallet"/>
    <x v="1"/>
    <n v="12"/>
  </r>
  <r>
    <n v="486"/>
    <x v="0"/>
    <x v="56"/>
    <x v="0"/>
    <x v="3"/>
    <x v="0"/>
    <x v="3"/>
    <n v="3"/>
    <n v="30"/>
    <s v="Card"/>
    <x v="0"/>
    <n v="90"/>
  </r>
  <r>
    <n v="258"/>
    <x v="0"/>
    <x v="70"/>
    <x v="0"/>
    <x v="6"/>
    <x v="2"/>
    <x v="1"/>
    <n v="3"/>
    <n v="12"/>
    <s v="Card"/>
    <x v="3"/>
    <n v="36"/>
  </r>
  <r>
    <n v="204"/>
    <x v="3"/>
    <x v="79"/>
    <x v="1"/>
    <x v="2"/>
    <x v="0"/>
    <x v="1"/>
    <n v="1"/>
    <n v="12"/>
    <s v="Mobile Wallet"/>
    <x v="0"/>
    <n v="12"/>
  </r>
  <r>
    <n v="393"/>
    <x v="2"/>
    <x v="55"/>
    <x v="1"/>
    <x v="2"/>
    <x v="1"/>
    <x v="1"/>
    <n v="4"/>
    <n v="12"/>
    <s v="Card"/>
    <x v="1"/>
    <n v="48"/>
  </r>
  <r>
    <n v="1703"/>
    <x v="5"/>
    <x v="29"/>
    <x v="1"/>
    <x v="1"/>
    <x v="1"/>
    <x v="1"/>
    <n v="5"/>
    <n v="12"/>
    <s v="Mobile Wallet"/>
    <x v="0"/>
    <n v="60"/>
  </r>
  <r>
    <n v="1331"/>
    <x v="0"/>
    <x v="2"/>
    <x v="2"/>
    <x v="2"/>
    <x v="3"/>
    <x v="0"/>
    <n v="4"/>
    <n v="25"/>
    <s v="Card"/>
    <x v="3"/>
    <n v="100"/>
  </r>
  <r>
    <n v="1085"/>
    <x v="0"/>
    <x v="71"/>
    <x v="1"/>
    <x v="2"/>
    <x v="2"/>
    <x v="4"/>
    <n v="4"/>
    <n v="8"/>
    <s v="Mobile Wallet"/>
    <x v="3"/>
    <n v="32"/>
  </r>
  <r>
    <n v="889"/>
    <x v="6"/>
    <x v="86"/>
    <x v="1"/>
    <x v="4"/>
    <x v="3"/>
    <x v="2"/>
    <n v="2"/>
    <n v="20"/>
    <s v="Card"/>
    <x v="2"/>
    <n v="40"/>
  </r>
  <r>
    <n v="730"/>
    <x v="6"/>
    <x v="30"/>
    <x v="1"/>
    <x v="2"/>
    <x v="3"/>
    <x v="1"/>
    <n v="2"/>
    <n v="12"/>
    <s v="Cash"/>
    <x v="0"/>
    <n v="24"/>
  </r>
  <r>
    <n v="635"/>
    <x v="4"/>
    <x v="14"/>
    <x v="1"/>
    <x v="0"/>
    <x v="2"/>
    <x v="4"/>
    <n v="2"/>
    <n v="8"/>
    <s v="Cash"/>
    <x v="3"/>
    <n v="16"/>
  </r>
  <r>
    <n v="1976"/>
    <x v="3"/>
    <x v="12"/>
    <x v="2"/>
    <x v="3"/>
    <x v="0"/>
    <x v="3"/>
    <n v="1"/>
    <n v="30"/>
    <s v="Mobile Wallet"/>
    <x v="3"/>
    <n v="30"/>
  </r>
  <r>
    <n v="1438"/>
    <x v="1"/>
    <x v="47"/>
    <x v="0"/>
    <x v="4"/>
    <x v="0"/>
    <x v="0"/>
    <n v="5"/>
    <n v="25"/>
    <s v="Card"/>
    <x v="0"/>
    <n v="125"/>
  </r>
  <r>
    <n v="992"/>
    <x v="6"/>
    <x v="83"/>
    <x v="0"/>
    <x v="5"/>
    <x v="2"/>
    <x v="2"/>
    <n v="3"/>
    <n v="20"/>
    <s v="Card"/>
    <x v="2"/>
    <n v="60"/>
  </r>
  <r>
    <n v="324"/>
    <x v="4"/>
    <x v="71"/>
    <x v="1"/>
    <x v="2"/>
    <x v="1"/>
    <x v="1"/>
    <n v="3"/>
    <n v="12"/>
    <s v="Cash"/>
    <x v="1"/>
    <n v="36"/>
  </r>
  <r>
    <n v="105"/>
    <x v="4"/>
    <x v="59"/>
    <x v="0"/>
    <x v="0"/>
    <x v="1"/>
    <x v="4"/>
    <n v="5"/>
    <n v="8"/>
    <s v="Mobile Wallet"/>
    <x v="0"/>
    <n v="40"/>
  </r>
  <r>
    <n v="1063"/>
    <x v="5"/>
    <x v="42"/>
    <x v="0"/>
    <x v="2"/>
    <x v="1"/>
    <x v="0"/>
    <n v="1"/>
    <n v="25"/>
    <s v="Cash"/>
    <x v="2"/>
    <n v="25"/>
  </r>
  <r>
    <n v="651"/>
    <x v="5"/>
    <x v="20"/>
    <x v="0"/>
    <x v="4"/>
    <x v="1"/>
    <x v="1"/>
    <n v="5"/>
    <n v="12"/>
    <s v="Card"/>
    <x v="0"/>
    <n v="60"/>
  </r>
  <r>
    <n v="597"/>
    <x v="1"/>
    <x v="66"/>
    <x v="0"/>
    <x v="1"/>
    <x v="0"/>
    <x v="1"/>
    <n v="3"/>
    <n v="12"/>
    <s v="Cash"/>
    <x v="0"/>
    <n v="36"/>
  </r>
  <r>
    <n v="1397"/>
    <x v="7"/>
    <x v="45"/>
    <x v="2"/>
    <x v="3"/>
    <x v="1"/>
    <x v="2"/>
    <n v="2"/>
    <n v="20"/>
    <s v="Mobile Wallet"/>
    <x v="2"/>
    <n v="40"/>
  </r>
  <r>
    <n v="1431"/>
    <x v="3"/>
    <x v="27"/>
    <x v="1"/>
    <x v="5"/>
    <x v="0"/>
    <x v="0"/>
    <n v="1"/>
    <n v="25"/>
    <s v="Mobile Wallet"/>
    <x v="3"/>
    <n v="25"/>
  </r>
  <r>
    <n v="1298"/>
    <x v="3"/>
    <x v="13"/>
    <x v="2"/>
    <x v="3"/>
    <x v="1"/>
    <x v="1"/>
    <n v="1"/>
    <n v="12"/>
    <s v="Card"/>
    <x v="2"/>
    <n v="12"/>
  </r>
  <r>
    <n v="112"/>
    <x v="5"/>
    <x v="33"/>
    <x v="0"/>
    <x v="2"/>
    <x v="3"/>
    <x v="1"/>
    <n v="2"/>
    <n v="12"/>
    <s v="Cash"/>
    <x v="0"/>
    <n v="24"/>
  </r>
  <r>
    <n v="409"/>
    <x v="6"/>
    <x v="42"/>
    <x v="0"/>
    <x v="2"/>
    <x v="0"/>
    <x v="3"/>
    <n v="1"/>
    <n v="30"/>
    <s v="Mobile Wallet"/>
    <x v="3"/>
    <n v="30"/>
  </r>
  <r>
    <n v="403"/>
    <x v="7"/>
    <x v="46"/>
    <x v="1"/>
    <x v="3"/>
    <x v="0"/>
    <x v="1"/>
    <n v="5"/>
    <n v="12"/>
    <s v="Mobile Wallet"/>
    <x v="0"/>
    <n v="60"/>
  </r>
  <r>
    <n v="1946"/>
    <x v="2"/>
    <x v="43"/>
    <x v="2"/>
    <x v="5"/>
    <x v="2"/>
    <x v="1"/>
    <n v="5"/>
    <n v="12"/>
    <s v="Mobile Wallet"/>
    <x v="3"/>
    <n v="60"/>
  </r>
  <r>
    <n v="1609"/>
    <x v="0"/>
    <x v="60"/>
    <x v="1"/>
    <x v="0"/>
    <x v="0"/>
    <x v="3"/>
    <n v="4"/>
    <n v="30"/>
    <s v="Mobile Wallet"/>
    <x v="0"/>
    <n v="120"/>
  </r>
  <r>
    <n v="167"/>
    <x v="2"/>
    <x v="33"/>
    <x v="0"/>
    <x v="2"/>
    <x v="1"/>
    <x v="0"/>
    <n v="2"/>
    <n v="25"/>
    <s v="Card"/>
    <x v="1"/>
    <n v="50"/>
  </r>
  <r>
    <n v="66"/>
    <x v="4"/>
    <x v="18"/>
    <x v="0"/>
    <x v="0"/>
    <x v="1"/>
    <x v="4"/>
    <n v="1"/>
    <n v="8"/>
    <s v="Cash"/>
    <x v="1"/>
    <n v="8"/>
  </r>
  <r>
    <n v="19"/>
    <x v="2"/>
    <x v="24"/>
    <x v="0"/>
    <x v="2"/>
    <x v="3"/>
    <x v="1"/>
    <n v="5"/>
    <n v="12"/>
    <s v="Cash"/>
    <x v="1"/>
    <n v="60"/>
  </r>
  <r>
    <n v="1654"/>
    <x v="5"/>
    <x v="10"/>
    <x v="2"/>
    <x v="0"/>
    <x v="0"/>
    <x v="1"/>
    <n v="3"/>
    <n v="12"/>
    <s v="Mobile Wallet"/>
    <x v="3"/>
    <n v="36"/>
  </r>
  <r>
    <n v="278"/>
    <x v="0"/>
    <x v="1"/>
    <x v="1"/>
    <x v="1"/>
    <x v="2"/>
    <x v="0"/>
    <n v="3"/>
    <n v="25"/>
    <s v="Mobile Wallet"/>
    <x v="1"/>
    <n v="75"/>
  </r>
  <r>
    <n v="465"/>
    <x v="6"/>
    <x v="71"/>
    <x v="1"/>
    <x v="2"/>
    <x v="3"/>
    <x v="0"/>
    <n v="2"/>
    <n v="25"/>
    <s v="Mobile Wallet"/>
    <x v="2"/>
    <n v="50"/>
  </r>
  <r>
    <n v="1957"/>
    <x v="0"/>
    <x v="60"/>
    <x v="1"/>
    <x v="0"/>
    <x v="0"/>
    <x v="3"/>
    <n v="2"/>
    <n v="30"/>
    <s v="Card"/>
    <x v="2"/>
    <n v="60"/>
  </r>
  <r>
    <n v="427"/>
    <x v="3"/>
    <x v="14"/>
    <x v="1"/>
    <x v="0"/>
    <x v="0"/>
    <x v="1"/>
    <n v="2"/>
    <n v="12"/>
    <s v="Mobile Wallet"/>
    <x v="0"/>
    <n v="24"/>
  </r>
  <r>
    <n v="950"/>
    <x v="1"/>
    <x v="12"/>
    <x v="2"/>
    <x v="3"/>
    <x v="1"/>
    <x v="3"/>
    <n v="1"/>
    <n v="30"/>
    <s v="Mobile Wallet"/>
    <x v="0"/>
    <n v="30"/>
  </r>
  <r>
    <n v="1707"/>
    <x v="7"/>
    <x v="50"/>
    <x v="0"/>
    <x v="6"/>
    <x v="3"/>
    <x v="4"/>
    <n v="1"/>
    <n v="8"/>
    <s v="Card"/>
    <x v="1"/>
    <n v="8"/>
  </r>
  <r>
    <n v="1686"/>
    <x v="3"/>
    <x v="68"/>
    <x v="2"/>
    <x v="4"/>
    <x v="2"/>
    <x v="0"/>
    <n v="4"/>
    <n v="25"/>
    <s v="Mobile Wallet"/>
    <x v="1"/>
    <n v="100"/>
  </r>
  <r>
    <n v="1550"/>
    <x v="2"/>
    <x v="81"/>
    <x v="0"/>
    <x v="6"/>
    <x v="1"/>
    <x v="0"/>
    <n v="3"/>
    <n v="25"/>
    <s v="Cash"/>
    <x v="2"/>
    <n v="75"/>
  </r>
  <r>
    <n v="818"/>
    <x v="7"/>
    <x v="28"/>
    <x v="2"/>
    <x v="0"/>
    <x v="0"/>
    <x v="1"/>
    <n v="1"/>
    <n v="12"/>
    <s v="Mobile Wallet"/>
    <x v="1"/>
    <n v="12"/>
  </r>
  <r>
    <n v="1269"/>
    <x v="1"/>
    <x v="11"/>
    <x v="1"/>
    <x v="4"/>
    <x v="1"/>
    <x v="0"/>
    <n v="2"/>
    <n v="25"/>
    <s v="Card"/>
    <x v="0"/>
    <n v="50"/>
  </r>
  <r>
    <n v="858"/>
    <x v="7"/>
    <x v="46"/>
    <x v="1"/>
    <x v="3"/>
    <x v="3"/>
    <x v="1"/>
    <n v="1"/>
    <n v="12"/>
    <s v="Card"/>
    <x v="1"/>
    <n v="12"/>
  </r>
  <r>
    <n v="834"/>
    <x v="6"/>
    <x v="1"/>
    <x v="1"/>
    <x v="1"/>
    <x v="3"/>
    <x v="1"/>
    <n v="5"/>
    <n v="12"/>
    <s v="Card"/>
    <x v="0"/>
    <n v="60"/>
  </r>
  <r>
    <n v="228"/>
    <x v="0"/>
    <x v="68"/>
    <x v="2"/>
    <x v="4"/>
    <x v="3"/>
    <x v="0"/>
    <n v="4"/>
    <n v="25"/>
    <s v="Cash"/>
    <x v="3"/>
    <n v="100"/>
  </r>
  <r>
    <n v="1018"/>
    <x v="7"/>
    <x v="13"/>
    <x v="2"/>
    <x v="3"/>
    <x v="0"/>
    <x v="1"/>
    <n v="4"/>
    <n v="12"/>
    <s v="Mobile Wallet"/>
    <x v="0"/>
    <n v="48"/>
  </r>
  <r>
    <n v="313"/>
    <x v="6"/>
    <x v="4"/>
    <x v="0"/>
    <x v="1"/>
    <x v="0"/>
    <x v="1"/>
    <n v="5"/>
    <n v="12"/>
    <s v="Card"/>
    <x v="2"/>
    <n v="60"/>
  </r>
  <r>
    <n v="1998"/>
    <x v="3"/>
    <x v="53"/>
    <x v="1"/>
    <x v="6"/>
    <x v="2"/>
    <x v="1"/>
    <n v="2"/>
    <n v="12"/>
    <s v="Mobile Wallet"/>
    <x v="3"/>
    <n v="24"/>
  </r>
  <r>
    <n v="455"/>
    <x v="1"/>
    <x v="39"/>
    <x v="2"/>
    <x v="4"/>
    <x v="3"/>
    <x v="0"/>
    <n v="3"/>
    <n v="25"/>
    <s v="Cash"/>
    <x v="1"/>
    <n v="75"/>
  </r>
  <r>
    <n v="1887"/>
    <x v="4"/>
    <x v="7"/>
    <x v="1"/>
    <x v="3"/>
    <x v="2"/>
    <x v="3"/>
    <n v="2"/>
    <n v="30"/>
    <s v="Cash"/>
    <x v="0"/>
    <n v="60"/>
  </r>
  <r>
    <n v="747"/>
    <x v="7"/>
    <x v="19"/>
    <x v="2"/>
    <x v="6"/>
    <x v="3"/>
    <x v="0"/>
    <n v="2"/>
    <n v="25"/>
    <s v="Mobile Wallet"/>
    <x v="0"/>
    <n v="50"/>
  </r>
  <r>
    <n v="1608"/>
    <x v="3"/>
    <x v="24"/>
    <x v="0"/>
    <x v="2"/>
    <x v="1"/>
    <x v="1"/>
    <n v="3"/>
    <n v="12"/>
    <s v="Mobile Wallet"/>
    <x v="2"/>
    <n v="36"/>
  </r>
  <r>
    <n v="1369"/>
    <x v="3"/>
    <x v="7"/>
    <x v="1"/>
    <x v="3"/>
    <x v="3"/>
    <x v="1"/>
    <n v="5"/>
    <n v="12"/>
    <s v="Mobile Wallet"/>
    <x v="3"/>
    <n v="60"/>
  </r>
  <r>
    <n v="1422"/>
    <x v="3"/>
    <x v="50"/>
    <x v="0"/>
    <x v="6"/>
    <x v="0"/>
    <x v="0"/>
    <n v="5"/>
    <n v="25"/>
    <s v="Mobile Wallet"/>
    <x v="3"/>
    <n v="125"/>
  </r>
  <r>
    <n v="332"/>
    <x v="3"/>
    <x v="30"/>
    <x v="1"/>
    <x v="2"/>
    <x v="2"/>
    <x v="1"/>
    <n v="3"/>
    <n v="12"/>
    <s v="Card"/>
    <x v="3"/>
    <n v="36"/>
  </r>
  <r>
    <n v="986"/>
    <x v="4"/>
    <x v="13"/>
    <x v="2"/>
    <x v="3"/>
    <x v="2"/>
    <x v="3"/>
    <n v="1"/>
    <n v="30"/>
    <s v="Mobile Wallet"/>
    <x v="1"/>
    <n v="30"/>
  </r>
  <r>
    <n v="820"/>
    <x v="3"/>
    <x v="38"/>
    <x v="0"/>
    <x v="1"/>
    <x v="2"/>
    <x v="1"/>
    <n v="4"/>
    <n v="12"/>
    <s v="Mobile Wallet"/>
    <x v="0"/>
    <n v="48"/>
  </r>
  <r>
    <n v="1763"/>
    <x v="7"/>
    <x v="1"/>
    <x v="1"/>
    <x v="1"/>
    <x v="0"/>
    <x v="0"/>
    <n v="4"/>
    <n v="25"/>
    <s v="Mobile Wallet"/>
    <x v="1"/>
    <n v="100"/>
  </r>
  <r>
    <n v="254"/>
    <x v="1"/>
    <x v="60"/>
    <x v="1"/>
    <x v="0"/>
    <x v="2"/>
    <x v="2"/>
    <n v="4"/>
    <n v="20"/>
    <s v="Mobile Wallet"/>
    <x v="3"/>
    <n v="80"/>
  </r>
  <r>
    <n v="1698"/>
    <x v="5"/>
    <x v="47"/>
    <x v="0"/>
    <x v="4"/>
    <x v="3"/>
    <x v="4"/>
    <n v="1"/>
    <n v="8"/>
    <s v="Cash"/>
    <x v="0"/>
    <n v="8"/>
  </r>
  <r>
    <n v="1678"/>
    <x v="7"/>
    <x v="59"/>
    <x v="0"/>
    <x v="0"/>
    <x v="2"/>
    <x v="1"/>
    <n v="1"/>
    <n v="12"/>
    <s v="Cash"/>
    <x v="3"/>
    <n v="12"/>
  </r>
  <r>
    <n v="771"/>
    <x v="1"/>
    <x v="25"/>
    <x v="1"/>
    <x v="0"/>
    <x v="0"/>
    <x v="1"/>
    <n v="4"/>
    <n v="12"/>
    <s v="Cash"/>
    <x v="3"/>
    <n v="48"/>
  </r>
  <r>
    <n v="989"/>
    <x v="4"/>
    <x v="41"/>
    <x v="2"/>
    <x v="4"/>
    <x v="0"/>
    <x v="4"/>
    <n v="1"/>
    <n v="8"/>
    <s v="Mobile Wallet"/>
    <x v="0"/>
    <n v="8"/>
  </r>
  <r>
    <n v="344"/>
    <x v="4"/>
    <x v="82"/>
    <x v="0"/>
    <x v="1"/>
    <x v="3"/>
    <x v="1"/>
    <n v="2"/>
    <n v="12"/>
    <s v="Card"/>
    <x v="3"/>
    <n v="24"/>
  </r>
  <r>
    <n v="331"/>
    <x v="3"/>
    <x v="31"/>
    <x v="2"/>
    <x v="0"/>
    <x v="1"/>
    <x v="1"/>
    <n v="1"/>
    <n v="12"/>
    <s v="Card"/>
    <x v="3"/>
    <n v="12"/>
  </r>
  <r>
    <n v="1878"/>
    <x v="4"/>
    <x v="17"/>
    <x v="2"/>
    <x v="5"/>
    <x v="0"/>
    <x v="2"/>
    <n v="3"/>
    <n v="20"/>
    <s v="Card"/>
    <x v="2"/>
    <n v="60"/>
  </r>
  <r>
    <n v="1286"/>
    <x v="0"/>
    <x v="26"/>
    <x v="2"/>
    <x v="2"/>
    <x v="1"/>
    <x v="1"/>
    <n v="2"/>
    <n v="12"/>
    <s v="Mobile Wallet"/>
    <x v="1"/>
    <n v="24"/>
  </r>
  <r>
    <n v="1765"/>
    <x v="1"/>
    <x v="81"/>
    <x v="0"/>
    <x v="6"/>
    <x v="0"/>
    <x v="1"/>
    <n v="4"/>
    <n v="12"/>
    <s v="Mobile Wallet"/>
    <x v="0"/>
    <n v="48"/>
  </r>
  <r>
    <n v="1902"/>
    <x v="1"/>
    <x v="26"/>
    <x v="2"/>
    <x v="2"/>
    <x v="0"/>
    <x v="1"/>
    <n v="3"/>
    <n v="12"/>
    <s v="Card"/>
    <x v="3"/>
    <n v="36"/>
  </r>
  <r>
    <n v="1101"/>
    <x v="7"/>
    <x v="75"/>
    <x v="2"/>
    <x v="3"/>
    <x v="0"/>
    <x v="1"/>
    <n v="3"/>
    <n v="12"/>
    <s v="Cash"/>
    <x v="2"/>
    <n v="36"/>
  </r>
  <r>
    <n v="758"/>
    <x v="7"/>
    <x v="41"/>
    <x v="2"/>
    <x v="4"/>
    <x v="1"/>
    <x v="2"/>
    <n v="4"/>
    <n v="20"/>
    <s v="Cash"/>
    <x v="2"/>
    <n v="80"/>
  </r>
  <r>
    <n v="1092"/>
    <x v="5"/>
    <x v="24"/>
    <x v="0"/>
    <x v="2"/>
    <x v="2"/>
    <x v="3"/>
    <n v="2"/>
    <n v="30"/>
    <s v="Mobile Wallet"/>
    <x v="0"/>
    <n v="60"/>
  </r>
  <r>
    <n v="1828"/>
    <x v="2"/>
    <x v="82"/>
    <x v="0"/>
    <x v="1"/>
    <x v="0"/>
    <x v="1"/>
    <n v="5"/>
    <n v="12"/>
    <s v="Mobile Wallet"/>
    <x v="2"/>
    <n v="60"/>
  </r>
  <r>
    <n v="74"/>
    <x v="4"/>
    <x v="85"/>
    <x v="2"/>
    <x v="6"/>
    <x v="2"/>
    <x v="2"/>
    <n v="1"/>
    <n v="20"/>
    <s v="Card"/>
    <x v="0"/>
    <n v="20"/>
  </r>
  <r>
    <n v="1350"/>
    <x v="1"/>
    <x v="2"/>
    <x v="2"/>
    <x v="2"/>
    <x v="0"/>
    <x v="1"/>
    <n v="2"/>
    <n v="12"/>
    <s v="Mobile Wallet"/>
    <x v="3"/>
    <n v="24"/>
  </r>
  <r>
    <n v="1839"/>
    <x v="2"/>
    <x v="66"/>
    <x v="0"/>
    <x v="1"/>
    <x v="3"/>
    <x v="3"/>
    <n v="5"/>
    <n v="30"/>
    <s v="Cash"/>
    <x v="2"/>
    <n v="150"/>
  </r>
  <r>
    <n v="97"/>
    <x v="4"/>
    <x v="26"/>
    <x v="2"/>
    <x v="2"/>
    <x v="2"/>
    <x v="0"/>
    <n v="1"/>
    <n v="25"/>
    <s v="Cash"/>
    <x v="0"/>
    <n v="25"/>
  </r>
  <r>
    <n v="1584"/>
    <x v="2"/>
    <x v="42"/>
    <x v="0"/>
    <x v="2"/>
    <x v="1"/>
    <x v="2"/>
    <n v="2"/>
    <n v="20"/>
    <s v="Cash"/>
    <x v="1"/>
    <n v="40"/>
  </r>
  <r>
    <n v="1992"/>
    <x v="7"/>
    <x v="39"/>
    <x v="2"/>
    <x v="4"/>
    <x v="3"/>
    <x v="1"/>
    <n v="1"/>
    <n v="12"/>
    <s v="Card"/>
    <x v="2"/>
    <n v="12"/>
  </r>
  <r>
    <n v="969"/>
    <x v="0"/>
    <x v="9"/>
    <x v="0"/>
    <x v="2"/>
    <x v="0"/>
    <x v="3"/>
    <n v="1"/>
    <n v="30"/>
    <s v="Card"/>
    <x v="2"/>
    <n v="30"/>
  </r>
  <r>
    <n v="292"/>
    <x v="7"/>
    <x v="21"/>
    <x v="1"/>
    <x v="6"/>
    <x v="1"/>
    <x v="1"/>
    <n v="4"/>
    <n v="12"/>
    <s v="Mobile Wallet"/>
    <x v="0"/>
    <n v="48"/>
  </r>
  <r>
    <n v="1650"/>
    <x v="4"/>
    <x v="4"/>
    <x v="0"/>
    <x v="1"/>
    <x v="3"/>
    <x v="3"/>
    <n v="5"/>
    <n v="30"/>
    <s v="Card"/>
    <x v="3"/>
    <n v="150"/>
  </r>
  <r>
    <n v="1289"/>
    <x v="6"/>
    <x v="54"/>
    <x v="1"/>
    <x v="3"/>
    <x v="2"/>
    <x v="3"/>
    <n v="2"/>
    <n v="30"/>
    <s v="Mobile Wallet"/>
    <x v="2"/>
    <n v="60"/>
  </r>
  <r>
    <n v="529"/>
    <x v="4"/>
    <x v="34"/>
    <x v="1"/>
    <x v="0"/>
    <x v="1"/>
    <x v="1"/>
    <n v="1"/>
    <n v="12"/>
    <s v="Cash"/>
    <x v="0"/>
    <n v="12"/>
  </r>
  <r>
    <n v="1531"/>
    <x v="0"/>
    <x v="18"/>
    <x v="0"/>
    <x v="0"/>
    <x v="1"/>
    <x v="1"/>
    <n v="2"/>
    <n v="12"/>
    <s v="Cash"/>
    <x v="3"/>
    <n v="24"/>
  </r>
  <r>
    <n v="1117"/>
    <x v="5"/>
    <x v="6"/>
    <x v="1"/>
    <x v="5"/>
    <x v="3"/>
    <x v="4"/>
    <n v="4"/>
    <n v="8"/>
    <s v="Cash"/>
    <x v="3"/>
    <n v="32"/>
  </r>
  <r>
    <n v="42"/>
    <x v="5"/>
    <x v="55"/>
    <x v="1"/>
    <x v="2"/>
    <x v="0"/>
    <x v="0"/>
    <n v="2"/>
    <n v="25"/>
    <s v="Cash"/>
    <x v="0"/>
    <n v="50"/>
  </r>
  <r>
    <n v="783"/>
    <x v="2"/>
    <x v="16"/>
    <x v="0"/>
    <x v="0"/>
    <x v="0"/>
    <x v="3"/>
    <n v="5"/>
    <n v="30"/>
    <s v="Card"/>
    <x v="2"/>
    <n v="150"/>
  </r>
  <r>
    <n v="847"/>
    <x v="4"/>
    <x v="84"/>
    <x v="0"/>
    <x v="3"/>
    <x v="2"/>
    <x v="4"/>
    <n v="3"/>
    <n v="8"/>
    <s v="Card"/>
    <x v="3"/>
    <n v="24"/>
  </r>
  <r>
    <n v="698"/>
    <x v="4"/>
    <x v="25"/>
    <x v="1"/>
    <x v="0"/>
    <x v="1"/>
    <x v="1"/>
    <n v="2"/>
    <n v="12"/>
    <s v="Mobile Wallet"/>
    <x v="1"/>
    <n v="24"/>
  </r>
  <r>
    <n v="1577"/>
    <x v="5"/>
    <x v="53"/>
    <x v="1"/>
    <x v="6"/>
    <x v="1"/>
    <x v="1"/>
    <n v="5"/>
    <n v="12"/>
    <s v="Mobile Wallet"/>
    <x v="2"/>
    <n v="60"/>
  </r>
  <r>
    <n v="1111"/>
    <x v="3"/>
    <x v="26"/>
    <x v="2"/>
    <x v="2"/>
    <x v="3"/>
    <x v="0"/>
    <n v="5"/>
    <n v="25"/>
    <s v="Card"/>
    <x v="1"/>
    <n v="125"/>
  </r>
  <r>
    <n v="319"/>
    <x v="5"/>
    <x v="50"/>
    <x v="0"/>
    <x v="6"/>
    <x v="0"/>
    <x v="1"/>
    <n v="1"/>
    <n v="12"/>
    <s v="Cash"/>
    <x v="2"/>
    <n v="12"/>
  </r>
  <r>
    <n v="1661"/>
    <x v="7"/>
    <x v="51"/>
    <x v="0"/>
    <x v="1"/>
    <x v="1"/>
    <x v="0"/>
    <n v="3"/>
    <n v="25"/>
    <s v="Card"/>
    <x v="0"/>
    <n v="75"/>
  </r>
  <r>
    <n v="1602"/>
    <x v="5"/>
    <x v="28"/>
    <x v="2"/>
    <x v="0"/>
    <x v="1"/>
    <x v="0"/>
    <n v="1"/>
    <n v="25"/>
    <s v="Card"/>
    <x v="2"/>
    <n v="25"/>
  </r>
  <r>
    <n v="794"/>
    <x v="6"/>
    <x v="85"/>
    <x v="2"/>
    <x v="6"/>
    <x v="3"/>
    <x v="1"/>
    <n v="2"/>
    <n v="12"/>
    <s v="Card"/>
    <x v="3"/>
    <n v="24"/>
  </r>
  <r>
    <n v="929"/>
    <x v="0"/>
    <x v="23"/>
    <x v="2"/>
    <x v="0"/>
    <x v="2"/>
    <x v="4"/>
    <n v="2"/>
    <n v="8"/>
    <s v="Card"/>
    <x v="2"/>
    <n v="16"/>
  </r>
  <r>
    <n v="1099"/>
    <x v="0"/>
    <x v="76"/>
    <x v="2"/>
    <x v="3"/>
    <x v="2"/>
    <x v="1"/>
    <n v="2"/>
    <n v="12"/>
    <s v="Card"/>
    <x v="0"/>
    <n v="24"/>
  </r>
  <r>
    <n v="1378"/>
    <x v="1"/>
    <x v="3"/>
    <x v="0"/>
    <x v="3"/>
    <x v="1"/>
    <x v="1"/>
    <n v="4"/>
    <n v="12"/>
    <s v="Mobile Wallet"/>
    <x v="1"/>
    <n v="48"/>
  </r>
  <r>
    <n v="1749"/>
    <x v="5"/>
    <x v="40"/>
    <x v="2"/>
    <x v="2"/>
    <x v="3"/>
    <x v="1"/>
    <n v="2"/>
    <n v="12"/>
    <s v="Card"/>
    <x v="1"/>
    <n v="24"/>
  </r>
  <r>
    <n v="1364"/>
    <x v="0"/>
    <x v="48"/>
    <x v="0"/>
    <x v="5"/>
    <x v="2"/>
    <x v="1"/>
    <n v="1"/>
    <n v="12"/>
    <s v="Cash"/>
    <x v="1"/>
    <n v="12"/>
  </r>
  <r>
    <n v="145"/>
    <x v="2"/>
    <x v="17"/>
    <x v="2"/>
    <x v="5"/>
    <x v="3"/>
    <x v="1"/>
    <n v="4"/>
    <n v="12"/>
    <s v="Cash"/>
    <x v="3"/>
    <n v="48"/>
  </r>
  <r>
    <n v="528"/>
    <x v="4"/>
    <x v="60"/>
    <x v="1"/>
    <x v="0"/>
    <x v="3"/>
    <x v="3"/>
    <n v="3"/>
    <n v="30"/>
    <s v="Card"/>
    <x v="3"/>
    <n v="90"/>
  </r>
  <r>
    <n v="49"/>
    <x v="0"/>
    <x v="28"/>
    <x v="2"/>
    <x v="0"/>
    <x v="0"/>
    <x v="0"/>
    <n v="2"/>
    <n v="25"/>
    <s v="Mobile Wallet"/>
    <x v="1"/>
    <n v="50"/>
  </r>
  <r>
    <n v="1467"/>
    <x v="4"/>
    <x v="26"/>
    <x v="2"/>
    <x v="2"/>
    <x v="0"/>
    <x v="1"/>
    <n v="4"/>
    <n v="12"/>
    <s v="Mobile Wallet"/>
    <x v="2"/>
    <n v="48"/>
  </r>
  <r>
    <n v="578"/>
    <x v="0"/>
    <x v="4"/>
    <x v="0"/>
    <x v="1"/>
    <x v="3"/>
    <x v="0"/>
    <n v="5"/>
    <n v="25"/>
    <s v="Mobile Wallet"/>
    <x v="2"/>
    <n v="125"/>
  </r>
  <r>
    <n v="1927"/>
    <x v="1"/>
    <x v="9"/>
    <x v="0"/>
    <x v="2"/>
    <x v="0"/>
    <x v="0"/>
    <n v="3"/>
    <n v="25"/>
    <s v="Cash"/>
    <x v="0"/>
    <n v="75"/>
  </r>
  <r>
    <n v="997"/>
    <x v="3"/>
    <x v="23"/>
    <x v="2"/>
    <x v="0"/>
    <x v="0"/>
    <x v="1"/>
    <n v="5"/>
    <n v="12"/>
    <s v="Cash"/>
    <x v="1"/>
    <n v="60"/>
  </r>
  <r>
    <n v="1869"/>
    <x v="1"/>
    <x v="78"/>
    <x v="2"/>
    <x v="4"/>
    <x v="2"/>
    <x v="4"/>
    <n v="1"/>
    <n v="8"/>
    <s v="Mobile Wallet"/>
    <x v="0"/>
    <n v="8"/>
  </r>
  <r>
    <n v="763"/>
    <x v="1"/>
    <x v="22"/>
    <x v="2"/>
    <x v="1"/>
    <x v="0"/>
    <x v="0"/>
    <n v="3"/>
    <n v="25"/>
    <s v="Card"/>
    <x v="3"/>
    <n v="75"/>
  </r>
  <r>
    <n v="175"/>
    <x v="2"/>
    <x v="85"/>
    <x v="2"/>
    <x v="6"/>
    <x v="3"/>
    <x v="1"/>
    <n v="3"/>
    <n v="12"/>
    <s v="Mobile Wallet"/>
    <x v="2"/>
    <n v="36"/>
  </r>
  <r>
    <n v="1662"/>
    <x v="7"/>
    <x v="42"/>
    <x v="0"/>
    <x v="2"/>
    <x v="2"/>
    <x v="0"/>
    <n v="1"/>
    <n v="25"/>
    <s v="Mobile Wallet"/>
    <x v="0"/>
    <n v="25"/>
  </r>
  <r>
    <n v="516"/>
    <x v="7"/>
    <x v="15"/>
    <x v="0"/>
    <x v="4"/>
    <x v="1"/>
    <x v="3"/>
    <n v="3"/>
    <n v="30"/>
    <s v="Mobile Wallet"/>
    <x v="2"/>
    <n v="90"/>
  </r>
  <r>
    <n v="1204"/>
    <x v="4"/>
    <x v="52"/>
    <x v="2"/>
    <x v="5"/>
    <x v="3"/>
    <x v="2"/>
    <n v="2"/>
    <n v="20"/>
    <s v="Mobile Wallet"/>
    <x v="1"/>
    <n v="40"/>
  </r>
  <r>
    <n v="1348"/>
    <x v="5"/>
    <x v="7"/>
    <x v="1"/>
    <x v="3"/>
    <x v="0"/>
    <x v="1"/>
    <n v="4"/>
    <n v="12"/>
    <s v="Mobile Wallet"/>
    <x v="3"/>
    <n v="48"/>
  </r>
  <r>
    <n v="1500"/>
    <x v="5"/>
    <x v="1"/>
    <x v="1"/>
    <x v="1"/>
    <x v="1"/>
    <x v="4"/>
    <n v="3"/>
    <n v="8"/>
    <s v="Mobile Wallet"/>
    <x v="0"/>
    <n v="24"/>
  </r>
  <r>
    <n v="86"/>
    <x v="7"/>
    <x v="37"/>
    <x v="0"/>
    <x v="0"/>
    <x v="3"/>
    <x v="1"/>
    <n v="2"/>
    <n v="12"/>
    <s v="Card"/>
    <x v="2"/>
    <n v="24"/>
  </r>
  <r>
    <n v="1883"/>
    <x v="3"/>
    <x v="91"/>
    <x v="1"/>
    <x v="5"/>
    <x v="3"/>
    <x v="3"/>
    <n v="5"/>
    <n v="30"/>
    <s v="Mobile Wallet"/>
    <x v="1"/>
    <n v="150"/>
  </r>
  <r>
    <n v="1826"/>
    <x v="1"/>
    <x v="53"/>
    <x v="1"/>
    <x v="6"/>
    <x v="2"/>
    <x v="1"/>
    <n v="5"/>
    <n v="12"/>
    <s v="Cash"/>
    <x v="0"/>
    <n v="60"/>
  </r>
  <r>
    <n v="1160"/>
    <x v="6"/>
    <x v="88"/>
    <x v="0"/>
    <x v="6"/>
    <x v="0"/>
    <x v="1"/>
    <n v="1"/>
    <n v="12"/>
    <s v="Mobile Wallet"/>
    <x v="0"/>
    <n v="12"/>
  </r>
  <r>
    <n v="1827"/>
    <x v="0"/>
    <x v="27"/>
    <x v="1"/>
    <x v="5"/>
    <x v="1"/>
    <x v="1"/>
    <n v="3"/>
    <n v="12"/>
    <s v="Mobile Wallet"/>
    <x v="2"/>
    <n v="36"/>
  </r>
  <r>
    <n v="1983"/>
    <x v="6"/>
    <x v="13"/>
    <x v="2"/>
    <x v="3"/>
    <x v="2"/>
    <x v="1"/>
    <n v="4"/>
    <n v="12"/>
    <s v="Card"/>
    <x v="1"/>
    <n v="48"/>
  </r>
  <r>
    <n v="1628"/>
    <x v="3"/>
    <x v="16"/>
    <x v="0"/>
    <x v="0"/>
    <x v="0"/>
    <x v="2"/>
    <n v="2"/>
    <n v="20"/>
    <s v="Cash"/>
    <x v="0"/>
    <n v="40"/>
  </r>
  <r>
    <n v="1343"/>
    <x v="5"/>
    <x v="73"/>
    <x v="2"/>
    <x v="6"/>
    <x v="1"/>
    <x v="0"/>
    <n v="1"/>
    <n v="25"/>
    <s v="Cash"/>
    <x v="3"/>
    <n v="25"/>
  </r>
  <r>
    <n v="1036"/>
    <x v="4"/>
    <x v="59"/>
    <x v="0"/>
    <x v="0"/>
    <x v="0"/>
    <x v="1"/>
    <n v="2"/>
    <n v="12"/>
    <s v="Mobile Wallet"/>
    <x v="0"/>
    <n v="24"/>
  </r>
  <r>
    <n v="1056"/>
    <x v="1"/>
    <x v="72"/>
    <x v="0"/>
    <x v="3"/>
    <x v="3"/>
    <x v="3"/>
    <n v="5"/>
    <n v="30"/>
    <s v="Cash"/>
    <x v="2"/>
    <n v="150"/>
  </r>
  <r>
    <n v="1593"/>
    <x v="6"/>
    <x v="18"/>
    <x v="0"/>
    <x v="0"/>
    <x v="0"/>
    <x v="0"/>
    <n v="4"/>
    <n v="25"/>
    <s v="Mobile Wallet"/>
    <x v="1"/>
    <n v="100"/>
  </r>
  <r>
    <n v="1049"/>
    <x v="1"/>
    <x v="18"/>
    <x v="0"/>
    <x v="0"/>
    <x v="3"/>
    <x v="1"/>
    <n v="3"/>
    <n v="12"/>
    <s v="Cash"/>
    <x v="2"/>
    <n v="36"/>
  </r>
  <r>
    <n v="595"/>
    <x v="6"/>
    <x v="60"/>
    <x v="1"/>
    <x v="0"/>
    <x v="3"/>
    <x v="1"/>
    <n v="1"/>
    <n v="12"/>
    <s v="Cash"/>
    <x v="1"/>
    <n v="12"/>
  </r>
  <r>
    <n v="761"/>
    <x v="6"/>
    <x v="23"/>
    <x v="2"/>
    <x v="0"/>
    <x v="2"/>
    <x v="1"/>
    <n v="3"/>
    <n v="12"/>
    <s v="Mobile Wallet"/>
    <x v="0"/>
    <n v="36"/>
  </r>
  <r>
    <n v="1790"/>
    <x v="0"/>
    <x v="35"/>
    <x v="0"/>
    <x v="5"/>
    <x v="3"/>
    <x v="3"/>
    <n v="1"/>
    <n v="30"/>
    <s v="Cash"/>
    <x v="3"/>
    <n v="30"/>
  </r>
  <r>
    <n v="891"/>
    <x v="5"/>
    <x v="50"/>
    <x v="0"/>
    <x v="6"/>
    <x v="2"/>
    <x v="1"/>
    <n v="1"/>
    <n v="12"/>
    <s v="Cash"/>
    <x v="1"/>
    <n v="12"/>
  </r>
  <r>
    <n v="1612"/>
    <x v="0"/>
    <x v="36"/>
    <x v="2"/>
    <x v="2"/>
    <x v="0"/>
    <x v="1"/>
    <n v="1"/>
    <n v="12"/>
    <s v="Cash"/>
    <x v="1"/>
    <n v="12"/>
  </r>
  <r>
    <n v="1771"/>
    <x v="7"/>
    <x v="72"/>
    <x v="0"/>
    <x v="3"/>
    <x v="2"/>
    <x v="0"/>
    <n v="4"/>
    <n v="25"/>
    <s v="Card"/>
    <x v="0"/>
    <n v="100"/>
  </r>
  <r>
    <n v="1729"/>
    <x v="4"/>
    <x v="75"/>
    <x v="2"/>
    <x v="3"/>
    <x v="0"/>
    <x v="1"/>
    <n v="3"/>
    <n v="12"/>
    <s v="Card"/>
    <x v="2"/>
    <n v="36"/>
  </r>
  <r>
    <n v="1059"/>
    <x v="0"/>
    <x v="5"/>
    <x v="1"/>
    <x v="4"/>
    <x v="0"/>
    <x v="1"/>
    <n v="3"/>
    <n v="12"/>
    <s v="Card"/>
    <x v="0"/>
    <n v="36"/>
  </r>
  <r>
    <n v="607"/>
    <x v="5"/>
    <x v="19"/>
    <x v="2"/>
    <x v="6"/>
    <x v="1"/>
    <x v="1"/>
    <n v="4"/>
    <n v="12"/>
    <s v="Cash"/>
    <x v="3"/>
    <n v="48"/>
  </r>
  <r>
    <n v="229"/>
    <x v="3"/>
    <x v="28"/>
    <x v="2"/>
    <x v="0"/>
    <x v="3"/>
    <x v="1"/>
    <n v="5"/>
    <n v="12"/>
    <s v="Mobile Wallet"/>
    <x v="0"/>
    <n v="60"/>
  </r>
  <r>
    <n v="62"/>
    <x v="5"/>
    <x v="66"/>
    <x v="0"/>
    <x v="1"/>
    <x v="2"/>
    <x v="0"/>
    <n v="4"/>
    <n v="25"/>
    <s v="Card"/>
    <x v="1"/>
    <n v="100"/>
  </r>
  <r>
    <n v="1569"/>
    <x v="7"/>
    <x v="79"/>
    <x v="1"/>
    <x v="2"/>
    <x v="2"/>
    <x v="4"/>
    <n v="5"/>
    <n v="8"/>
    <s v="Card"/>
    <x v="0"/>
    <n v="40"/>
  </r>
  <r>
    <n v="508"/>
    <x v="7"/>
    <x v="20"/>
    <x v="0"/>
    <x v="4"/>
    <x v="2"/>
    <x v="1"/>
    <n v="1"/>
    <n v="12"/>
    <s v="Card"/>
    <x v="0"/>
    <n v="12"/>
  </r>
  <r>
    <n v="1523"/>
    <x v="3"/>
    <x v="11"/>
    <x v="1"/>
    <x v="4"/>
    <x v="1"/>
    <x v="1"/>
    <n v="1"/>
    <n v="12"/>
    <s v="Cash"/>
    <x v="0"/>
    <n v="12"/>
  </r>
  <r>
    <n v="26"/>
    <x v="0"/>
    <x v="18"/>
    <x v="0"/>
    <x v="0"/>
    <x v="2"/>
    <x v="1"/>
    <n v="3"/>
    <n v="12"/>
    <s v="Mobile Wallet"/>
    <x v="3"/>
    <n v="36"/>
  </r>
  <r>
    <n v="1138"/>
    <x v="4"/>
    <x v="23"/>
    <x v="2"/>
    <x v="0"/>
    <x v="2"/>
    <x v="4"/>
    <n v="1"/>
    <n v="8"/>
    <s v="Mobile Wallet"/>
    <x v="1"/>
    <n v="8"/>
  </r>
  <r>
    <n v="1895"/>
    <x v="3"/>
    <x v="50"/>
    <x v="0"/>
    <x v="6"/>
    <x v="1"/>
    <x v="4"/>
    <n v="1"/>
    <n v="8"/>
    <s v="Mobile Wallet"/>
    <x v="3"/>
    <n v="8"/>
  </r>
  <r>
    <n v="1216"/>
    <x v="3"/>
    <x v="23"/>
    <x v="2"/>
    <x v="0"/>
    <x v="1"/>
    <x v="1"/>
    <n v="2"/>
    <n v="12"/>
    <s v="Card"/>
    <x v="2"/>
    <n v="24"/>
  </r>
  <r>
    <n v="449"/>
    <x v="5"/>
    <x v="39"/>
    <x v="2"/>
    <x v="4"/>
    <x v="1"/>
    <x v="1"/>
    <n v="1"/>
    <n v="12"/>
    <s v="Card"/>
    <x v="1"/>
    <n v="12"/>
  </r>
  <r>
    <n v="1681"/>
    <x v="6"/>
    <x v="59"/>
    <x v="0"/>
    <x v="0"/>
    <x v="3"/>
    <x v="4"/>
    <n v="3"/>
    <n v="8"/>
    <s v="Card"/>
    <x v="1"/>
    <n v="24"/>
  </r>
  <r>
    <n v="1287"/>
    <x v="4"/>
    <x v="62"/>
    <x v="1"/>
    <x v="6"/>
    <x v="2"/>
    <x v="1"/>
    <n v="5"/>
    <n v="12"/>
    <s v="Mobile Wallet"/>
    <x v="3"/>
    <n v="60"/>
  </r>
  <r>
    <n v="12"/>
    <x v="5"/>
    <x v="22"/>
    <x v="2"/>
    <x v="1"/>
    <x v="3"/>
    <x v="1"/>
    <n v="5"/>
    <n v="12"/>
    <s v="Cash"/>
    <x v="0"/>
    <n v="60"/>
  </r>
  <r>
    <n v="1806"/>
    <x v="7"/>
    <x v="32"/>
    <x v="2"/>
    <x v="5"/>
    <x v="2"/>
    <x v="3"/>
    <n v="3"/>
    <n v="30"/>
    <s v="Cash"/>
    <x v="3"/>
    <n v="90"/>
  </r>
  <r>
    <n v="1546"/>
    <x v="6"/>
    <x v="65"/>
    <x v="0"/>
    <x v="5"/>
    <x v="3"/>
    <x v="1"/>
    <n v="4"/>
    <n v="12"/>
    <s v="Mobile Wallet"/>
    <x v="0"/>
    <n v="48"/>
  </r>
  <r>
    <n v="879"/>
    <x v="1"/>
    <x v="31"/>
    <x v="2"/>
    <x v="0"/>
    <x v="0"/>
    <x v="0"/>
    <n v="5"/>
    <n v="25"/>
    <s v="Mobile Wallet"/>
    <x v="2"/>
    <n v="125"/>
  </r>
  <r>
    <n v="856"/>
    <x v="1"/>
    <x v="79"/>
    <x v="1"/>
    <x v="2"/>
    <x v="3"/>
    <x v="0"/>
    <n v="1"/>
    <n v="25"/>
    <s v="Card"/>
    <x v="0"/>
    <n v="25"/>
  </r>
  <r>
    <n v="82"/>
    <x v="6"/>
    <x v="9"/>
    <x v="0"/>
    <x v="2"/>
    <x v="1"/>
    <x v="1"/>
    <n v="2"/>
    <n v="12"/>
    <s v="Cash"/>
    <x v="1"/>
    <n v="24"/>
  </r>
  <r>
    <n v="899"/>
    <x v="5"/>
    <x v="0"/>
    <x v="0"/>
    <x v="0"/>
    <x v="2"/>
    <x v="1"/>
    <n v="5"/>
    <n v="12"/>
    <s v="Card"/>
    <x v="0"/>
    <n v="60"/>
  </r>
  <r>
    <n v="1918"/>
    <x v="0"/>
    <x v="20"/>
    <x v="0"/>
    <x v="4"/>
    <x v="1"/>
    <x v="1"/>
    <n v="5"/>
    <n v="12"/>
    <s v="Mobile Wallet"/>
    <x v="1"/>
    <n v="60"/>
  </r>
  <r>
    <n v="533"/>
    <x v="3"/>
    <x v="56"/>
    <x v="0"/>
    <x v="3"/>
    <x v="1"/>
    <x v="1"/>
    <n v="4"/>
    <n v="12"/>
    <s v="Cash"/>
    <x v="2"/>
    <n v="48"/>
  </r>
  <r>
    <n v="959"/>
    <x v="4"/>
    <x v="9"/>
    <x v="0"/>
    <x v="2"/>
    <x v="0"/>
    <x v="1"/>
    <n v="1"/>
    <n v="12"/>
    <s v="Card"/>
    <x v="1"/>
    <n v="12"/>
  </r>
  <r>
    <n v="473"/>
    <x v="7"/>
    <x v="30"/>
    <x v="1"/>
    <x v="2"/>
    <x v="0"/>
    <x v="3"/>
    <n v="4"/>
    <n v="30"/>
    <s v="Card"/>
    <x v="0"/>
    <n v="120"/>
  </r>
  <r>
    <n v="1245"/>
    <x v="5"/>
    <x v="48"/>
    <x v="0"/>
    <x v="5"/>
    <x v="1"/>
    <x v="4"/>
    <n v="3"/>
    <n v="8"/>
    <s v="Mobile Wallet"/>
    <x v="0"/>
    <n v="24"/>
  </r>
  <r>
    <n v="1514"/>
    <x v="3"/>
    <x v="42"/>
    <x v="0"/>
    <x v="2"/>
    <x v="1"/>
    <x v="2"/>
    <n v="5"/>
    <n v="20"/>
    <s v="Card"/>
    <x v="0"/>
    <n v="100"/>
  </r>
  <r>
    <n v="243"/>
    <x v="6"/>
    <x v="48"/>
    <x v="0"/>
    <x v="5"/>
    <x v="3"/>
    <x v="0"/>
    <n v="4"/>
    <n v="25"/>
    <s v="Mobile Wallet"/>
    <x v="3"/>
    <n v="100"/>
  </r>
  <r>
    <n v="466"/>
    <x v="5"/>
    <x v="0"/>
    <x v="0"/>
    <x v="0"/>
    <x v="0"/>
    <x v="1"/>
    <n v="3"/>
    <n v="12"/>
    <s v="Cash"/>
    <x v="2"/>
    <n v="36"/>
  </r>
  <r>
    <n v="838"/>
    <x v="1"/>
    <x v="67"/>
    <x v="2"/>
    <x v="6"/>
    <x v="3"/>
    <x v="1"/>
    <n v="4"/>
    <n v="12"/>
    <s v="Mobile Wallet"/>
    <x v="1"/>
    <n v="48"/>
  </r>
  <r>
    <n v="1095"/>
    <x v="4"/>
    <x v="18"/>
    <x v="0"/>
    <x v="0"/>
    <x v="3"/>
    <x v="1"/>
    <n v="2"/>
    <n v="12"/>
    <s v="Mobile Wallet"/>
    <x v="1"/>
    <n v="24"/>
  </r>
  <r>
    <n v="1480"/>
    <x v="2"/>
    <x v="14"/>
    <x v="1"/>
    <x v="0"/>
    <x v="2"/>
    <x v="1"/>
    <n v="2"/>
    <n v="12"/>
    <s v="Cash"/>
    <x v="3"/>
    <n v="24"/>
  </r>
  <r>
    <n v="125"/>
    <x v="1"/>
    <x v="74"/>
    <x v="2"/>
    <x v="1"/>
    <x v="2"/>
    <x v="3"/>
    <n v="4"/>
    <n v="30"/>
    <s v="Card"/>
    <x v="0"/>
    <n v="120"/>
  </r>
  <r>
    <n v="1843"/>
    <x v="2"/>
    <x v="58"/>
    <x v="1"/>
    <x v="3"/>
    <x v="3"/>
    <x v="1"/>
    <n v="1"/>
    <n v="12"/>
    <s v="Mobile Wallet"/>
    <x v="2"/>
    <n v="12"/>
  </r>
  <r>
    <n v="852"/>
    <x v="4"/>
    <x v="45"/>
    <x v="2"/>
    <x v="3"/>
    <x v="0"/>
    <x v="1"/>
    <n v="1"/>
    <n v="12"/>
    <s v="Card"/>
    <x v="0"/>
    <n v="12"/>
  </r>
  <r>
    <n v="869"/>
    <x v="5"/>
    <x v="14"/>
    <x v="1"/>
    <x v="0"/>
    <x v="1"/>
    <x v="1"/>
    <n v="2"/>
    <n v="12"/>
    <s v="Mobile Wallet"/>
    <x v="2"/>
    <n v="24"/>
  </r>
  <r>
    <n v="162"/>
    <x v="3"/>
    <x v="71"/>
    <x v="1"/>
    <x v="2"/>
    <x v="3"/>
    <x v="0"/>
    <n v="1"/>
    <n v="25"/>
    <s v="Mobile Wallet"/>
    <x v="2"/>
    <n v="25"/>
  </r>
  <r>
    <n v="308"/>
    <x v="4"/>
    <x v="81"/>
    <x v="0"/>
    <x v="6"/>
    <x v="1"/>
    <x v="0"/>
    <n v="1"/>
    <n v="25"/>
    <s v="Card"/>
    <x v="1"/>
    <n v="25"/>
  </r>
  <r>
    <n v="1385"/>
    <x v="3"/>
    <x v="78"/>
    <x v="2"/>
    <x v="4"/>
    <x v="3"/>
    <x v="1"/>
    <n v="2"/>
    <n v="12"/>
    <s v="Mobile Wallet"/>
    <x v="1"/>
    <n v="24"/>
  </r>
  <r>
    <n v="1937"/>
    <x v="7"/>
    <x v="26"/>
    <x v="2"/>
    <x v="2"/>
    <x v="2"/>
    <x v="1"/>
    <n v="5"/>
    <n v="12"/>
    <s v="Cash"/>
    <x v="0"/>
    <n v="60"/>
  </r>
  <r>
    <n v="1917"/>
    <x v="6"/>
    <x v="30"/>
    <x v="1"/>
    <x v="2"/>
    <x v="1"/>
    <x v="4"/>
    <n v="2"/>
    <n v="8"/>
    <s v="Cash"/>
    <x v="0"/>
    <n v="16"/>
  </r>
  <r>
    <n v="148"/>
    <x v="7"/>
    <x v="40"/>
    <x v="2"/>
    <x v="2"/>
    <x v="3"/>
    <x v="1"/>
    <n v="4"/>
    <n v="12"/>
    <s v="Card"/>
    <x v="0"/>
    <n v="48"/>
  </r>
  <r>
    <n v="1967"/>
    <x v="3"/>
    <x v="28"/>
    <x v="2"/>
    <x v="0"/>
    <x v="3"/>
    <x v="1"/>
    <n v="3"/>
    <n v="12"/>
    <s v="Card"/>
    <x v="0"/>
    <n v="36"/>
  </r>
  <r>
    <n v="1667"/>
    <x v="2"/>
    <x v="8"/>
    <x v="0"/>
    <x v="2"/>
    <x v="0"/>
    <x v="2"/>
    <n v="4"/>
    <n v="20"/>
    <s v="Card"/>
    <x v="3"/>
    <n v="80"/>
  </r>
  <r>
    <n v="791"/>
    <x v="0"/>
    <x v="7"/>
    <x v="1"/>
    <x v="3"/>
    <x v="2"/>
    <x v="4"/>
    <n v="1"/>
    <n v="8"/>
    <s v="Mobile Wallet"/>
    <x v="0"/>
    <n v="8"/>
  </r>
  <r>
    <n v="714"/>
    <x v="6"/>
    <x v="44"/>
    <x v="2"/>
    <x v="1"/>
    <x v="1"/>
    <x v="1"/>
    <n v="2"/>
    <n v="12"/>
    <s v="Card"/>
    <x v="1"/>
    <n v="24"/>
  </r>
  <r>
    <n v="1258"/>
    <x v="7"/>
    <x v="52"/>
    <x v="2"/>
    <x v="5"/>
    <x v="2"/>
    <x v="1"/>
    <n v="5"/>
    <n v="12"/>
    <s v="Mobile Wallet"/>
    <x v="3"/>
    <n v="60"/>
  </r>
  <r>
    <n v="1045"/>
    <x v="0"/>
    <x v="3"/>
    <x v="0"/>
    <x v="3"/>
    <x v="2"/>
    <x v="4"/>
    <n v="2"/>
    <n v="8"/>
    <s v="Card"/>
    <x v="1"/>
    <n v="16"/>
  </r>
  <r>
    <n v="492"/>
    <x v="1"/>
    <x v="60"/>
    <x v="1"/>
    <x v="0"/>
    <x v="3"/>
    <x v="1"/>
    <n v="5"/>
    <n v="12"/>
    <s v="Cash"/>
    <x v="0"/>
    <n v="60"/>
  </r>
  <r>
    <n v="1674"/>
    <x v="3"/>
    <x v="5"/>
    <x v="1"/>
    <x v="4"/>
    <x v="2"/>
    <x v="1"/>
    <n v="5"/>
    <n v="12"/>
    <s v="Card"/>
    <x v="1"/>
    <n v="60"/>
  </r>
  <r>
    <n v="1526"/>
    <x v="7"/>
    <x v="33"/>
    <x v="0"/>
    <x v="2"/>
    <x v="3"/>
    <x v="1"/>
    <n v="4"/>
    <n v="12"/>
    <s v="Mobile Wallet"/>
    <x v="3"/>
    <n v="48"/>
  </r>
  <r>
    <n v="543"/>
    <x v="7"/>
    <x v="59"/>
    <x v="0"/>
    <x v="0"/>
    <x v="3"/>
    <x v="2"/>
    <n v="2"/>
    <n v="20"/>
    <s v="Mobile Wallet"/>
    <x v="1"/>
    <n v="40"/>
  </r>
  <r>
    <n v="1943"/>
    <x v="0"/>
    <x v="30"/>
    <x v="1"/>
    <x v="2"/>
    <x v="2"/>
    <x v="1"/>
    <n v="3"/>
    <n v="12"/>
    <s v="Card"/>
    <x v="3"/>
    <n v="36"/>
  </r>
  <r>
    <n v="1224"/>
    <x v="5"/>
    <x v="53"/>
    <x v="1"/>
    <x v="6"/>
    <x v="0"/>
    <x v="1"/>
    <n v="1"/>
    <n v="12"/>
    <s v="Card"/>
    <x v="3"/>
    <n v="12"/>
  </r>
  <r>
    <n v="1996"/>
    <x v="3"/>
    <x v="55"/>
    <x v="1"/>
    <x v="2"/>
    <x v="1"/>
    <x v="1"/>
    <n v="5"/>
    <n v="12"/>
    <s v="Mobile Wallet"/>
    <x v="0"/>
    <n v="60"/>
  </r>
  <r>
    <n v="128"/>
    <x v="3"/>
    <x v="90"/>
    <x v="1"/>
    <x v="6"/>
    <x v="0"/>
    <x v="1"/>
    <n v="2"/>
    <n v="12"/>
    <s v="Cash"/>
    <x v="2"/>
    <n v="24"/>
  </r>
  <r>
    <n v="1014"/>
    <x v="7"/>
    <x v="79"/>
    <x v="1"/>
    <x v="2"/>
    <x v="0"/>
    <x v="1"/>
    <n v="3"/>
    <n v="12"/>
    <s v="Mobile Wallet"/>
    <x v="3"/>
    <n v="36"/>
  </r>
  <r>
    <n v="1260"/>
    <x v="7"/>
    <x v="76"/>
    <x v="2"/>
    <x v="3"/>
    <x v="0"/>
    <x v="2"/>
    <n v="1"/>
    <n v="20"/>
    <s v="Card"/>
    <x v="3"/>
    <n v="20"/>
  </r>
  <r>
    <n v="675"/>
    <x v="6"/>
    <x v="48"/>
    <x v="0"/>
    <x v="5"/>
    <x v="0"/>
    <x v="2"/>
    <n v="4"/>
    <n v="20"/>
    <s v="Mobile Wallet"/>
    <x v="3"/>
    <n v="80"/>
  </r>
  <r>
    <n v="740"/>
    <x v="6"/>
    <x v="84"/>
    <x v="0"/>
    <x v="3"/>
    <x v="2"/>
    <x v="1"/>
    <n v="5"/>
    <n v="12"/>
    <s v="Cash"/>
    <x v="1"/>
    <n v="60"/>
  </r>
  <r>
    <n v="1677"/>
    <x v="5"/>
    <x v="25"/>
    <x v="1"/>
    <x v="0"/>
    <x v="1"/>
    <x v="1"/>
    <n v="1"/>
    <n v="12"/>
    <s v="Cash"/>
    <x v="2"/>
    <n v="12"/>
  </r>
  <r>
    <n v="1265"/>
    <x v="0"/>
    <x v="55"/>
    <x v="1"/>
    <x v="2"/>
    <x v="1"/>
    <x v="4"/>
    <n v="5"/>
    <n v="8"/>
    <s v="Card"/>
    <x v="3"/>
    <n v="40"/>
  </r>
  <r>
    <n v="772"/>
    <x v="1"/>
    <x v="62"/>
    <x v="1"/>
    <x v="6"/>
    <x v="3"/>
    <x v="1"/>
    <n v="3"/>
    <n v="12"/>
    <s v="Mobile Wallet"/>
    <x v="3"/>
    <n v="36"/>
  </r>
  <r>
    <n v="590"/>
    <x v="1"/>
    <x v="52"/>
    <x v="2"/>
    <x v="5"/>
    <x v="0"/>
    <x v="4"/>
    <n v="5"/>
    <n v="8"/>
    <s v="Card"/>
    <x v="3"/>
    <n v="40"/>
  </r>
  <r>
    <n v="505"/>
    <x v="5"/>
    <x v="66"/>
    <x v="0"/>
    <x v="1"/>
    <x v="2"/>
    <x v="1"/>
    <n v="2"/>
    <n v="12"/>
    <s v="Card"/>
    <x v="1"/>
    <n v="24"/>
  </r>
  <r>
    <n v="642"/>
    <x v="0"/>
    <x v="9"/>
    <x v="0"/>
    <x v="2"/>
    <x v="1"/>
    <x v="1"/>
    <n v="2"/>
    <n v="12"/>
    <s v="Cash"/>
    <x v="0"/>
    <n v="24"/>
  </r>
  <r>
    <n v="923"/>
    <x v="3"/>
    <x v="10"/>
    <x v="2"/>
    <x v="0"/>
    <x v="3"/>
    <x v="2"/>
    <n v="2"/>
    <n v="20"/>
    <s v="Mobile Wallet"/>
    <x v="0"/>
    <n v="40"/>
  </r>
  <r>
    <n v="1112"/>
    <x v="3"/>
    <x v="39"/>
    <x v="2"/>
    <x v="4"/>
    <x v="0"/>
    <x v="1"/>
    <n v="1"/>
    <n v="12"/>
    <s v="Card"/>
    <x v="1"/>
    <n v="12"/>
  </r>
  <r>
    <n v="514"/>
    <x v="0"/>
    <x v="60"/>
    <x v="1"/>
    <x v="0"/>
    <x v="1"/>
    <x v="0"/>
    <n v="3"/>
    <n v="25"/>
    <s v="Mobile Wallet"/>
    <x v="3"/>
    <n v="75"/>
  </r>
  <r>
    <n v="1005"/>
    <x v="3"/>
    <x v="76"/>
    <x v="2"/>
    <x v="3"/>
    <x v="3"/>
    <x v="0"/>
    <n v="5"/>
    <n v="25"/>
    <s v="Cash"/>
    <x v="3"/>
    <n v="125"/>
  </r>
  <r>
    <n v="276"/>
    <x v="6"/>
    <x v="17"/>
    <x v="2"/>
    <x v="5"/>
    <x v="3"/>
    <x v="0"/>
    <n v="3"/>
    <n v="25"/>
    <s v="Card"/>
    <x v="1"/>
    <n v="75"/>
  </r>
  <r>
    <n v="816"/>
    <x v="1"/>
    <x v="26"/>
    <x v="2"/>
    <x v="2"/>
    <x v="1"/>
    <x v="4"/>
    <n v="5"/>
    <n v="8"/>
    <s v="Cash"/>
    <x v="2"/>
    <n v="40"/>
  </r>
  <r>
    <n v="1923"/>
    <x v="6"/>
    <x v="21"/>
    <x v="1"/>
    <x v="6"/>
    <x v="2"/>
    <x v="4"/>
    <n v="3"/>
    <n v="8"/>
    <s v="Mobile Wallet"/>
    <x v="1"/>
    <n v="24"/>
  </r>
  <r>
    <n v="279"/>
    <x v="3"/>
    <x v="42"/>
    <x v="0"/>
    <x v="2"/>
    <x v="3"/>
    <x v="0"/>
    <n v="3"/>
    <n v="25"/>
    <s v="Card"/>
    <x v="2"/>
    <n v="75"/>
  </r>
  <r>
    <n v="1824"/>
    <x v="6"/>
    <x v="15"/>
    <x v="0"/>
    <x v="4"/>
    <x v="0"/>
    <x v="1"/>
    <n v="1"/>
    <n v="12"/>
    <s v="Cash"/>
    <x v="0"/>
    <n v="12"/>
  </r>
  <r>
    <n v="1178"/>
    <x v="2"/>
    <x v="55"/>
    <x v="1"/>
    <x v="2"/>
    <x v="3"/>
    <x v="2"/>
    <n v="4"/>
    <n v="20"/>
    <s v="Card"/>
    <x v="1"/>
    <n v="80"/>
  </r>
  <r>
    <n v="273"/>
    <x v="2"/>
    <x v="13"/>
    <x v="2"/>
    <x v="3"/>
    <x v="3"/>
    <x v="1"/>
    <n v="2"/>
    <n v="12"/>
    <s v="Cash"/>
    <x v="2"/>
    <n v="24"/>
  </r>
  <r>
    <n v="1855"/>
    <x v="2"/>
    <x v="25"/>
    <x v="1"/>
    <x v="0"/>
    <x v="1"/>
    <x v="4"/>
    <n v="4"/>
    <n v="8"/>
    <s v="Mobile Wallet"/>
    <x v="1"/>
    <n v="32"/>
  </r>
  <r>
    <n v="1675"/>
    <x v="3"/>
    <x v="66"/>
    <x v="0"/>
    <x v="1"/>
    <x v="0"/>
    <x v="0"/>
    <n v="5"/>
    <n v="25"/>
    <s v="Card"/>
    <x v="2"/>
    <n v="125"/>
  </r>
  <r>
    <n v="1490"/>
    <x v="3"/>
    <x v="33"/>
    <x v="0"/>
    <x v="2"/>
    <x v="2"/>
    <x v="1"/>
    <n v="1"/>
    <n v="12"/>
    <s v="Mobile Wallet"/>
    <x v="3"/>
    <n v="12"/>
  </r>
  <r>
    <n v="1880"/>
    <x v="3"/>
    <x v="14"/>
    <x v="1"/>
    <x v="0"/>
    <x v="0"/>
    <x v="1"/>
    <n v="5"/>
    <n v="12"/>
    <s v="Cash"/>
    <x v="3"/>
    <n v="60"/>
  </r>
  <r>
    <n v="665"/>
    <x v="3"/>
    <x v="78"/>
    <x v="2"/>
    <x v="4"/>
    <x v="2"/>
    <x v="0"/>
    <n v="3"/>
    <n v="25"/>
    <s v="Cash"/>
    <x v="1"/>
    <n v="75"/>
  </r>
  <r>
    <n v="212"/>
    <x v="5"/>
    <x v="2"/>
    <x v="2"/>
    <x v="2"/>
    <x v="0"/>
    <x v="2"/>
    <n v="4"/>
    <n v="20"/>
    <s v="Card"/>
    <x v="1"/>
    <n v="80"/>
  </r>
  <r>
    <n v="498"/>
    <x v="6"/>
    <x v="19"/>
    <x v="2"/>
    <x v="6"/>
    <x v="2"/>
    <x v="2"/>
    <n v="5"/>
    <n v="20"/>
    <s v="Cash"/>
    <x v="3"/>
    <n v="100"/>
  </r>
  <r>
    <n v="1273"/>
    <x v="7"/>
    <x v="19"/>
    <x v="2"/>
    <x v="6"/>
    <x v="1"/>
    <x v="4"/>
    <n v="4"/>
    <n v="8"/>
    <s v="Cash"/>
    <x v="2"/>
    <n v="32"/>
  </r>
  <r>
    <n v="855"/>
    <x v="5"/>
    <x v="0"/>
    <x v="0"/>
    <x v="0"/>
    <x v="2"/>
    <x v="1"/>
    <n v="4"/>
    <n v="12"/>
    <s v="Card"/>
    <x v="2"/>
    <n v="48"/>
  </r>
  <r>
    <n v="1220"/>
    <x v="7"/>
    <x v="10"/>
    <x v="2"/>
    <x v="0"/>
    <x v="1"/>
    <x v="4"/>
    <n v="2"/>
    <n v="8"/>
    <s v="Mobile Wallet"/>
    <x v="1"/>
    <n v="16"/>
  </r>
  <r>
    <n v="1459"/>
    <x v="0"/>
    <x v="75"/>
    <x v="2"/>
    <x v="3"/>
    <x v="0"/>
    <x v="4"/>
    <n v="3"/>
    <n v="8"/>
    <s v="Cash"/>
    <x v="2"/>
    <n v="24"/>
  </r>
  <r>
    <n v="1360"/>
    <x v="5"/>
    <x v="26"/>
    <x v="2"/>
    <x v="2"/>
    <x v="0"/>
    <x v="4"/>
    <n v="2"/>
    <n v="8"/>
    <s v="Card"/>
    <x v="0"/>
    <n v="16"/>
  </r>
  <r>
    <n v="482"/>
    <x v="0"/>
    <x v="35"/>
    <x v="0"/>
    <x v="5"/>
    <x v="3"/>
    <x v="2"/>
    <n v="4"/>
    <n v="20"/>
    <s v="Card"/>
    <x v="3"/>
    <n v="80"/>
  </r>
  <r>
    <n v="194"/>
    <x v="5"/>
    <x v="1"/>
    <x v="1"/>
    <x v="1"/>
    <x v="3"/>
    <x v="0"/>
    <n v="1"/>
    <n v="25"/>
    <s v="Mobile Wallet"/>
    <x v="0"/>
    <n v="25"/>
  </r>
  <r>
    <n v="1714"/>
    <x v="1"/>
    <x v="71"/>
    <x v="1"/>
    <x v="2"/>
    <x v="2"/>
    <x v="0"/>
    <n v="3"/>
    <n v="25"/>
    <s v="Mobile Wallet"/>
    <x v="2"/>
    <n v="75"/>
  </r>
  <r>
    <n v="1538"/>
    <x v="0"/>
    <x v="50"/>
    <x v="0"/>
    <x v="6"/>
    <x v="3"/>
    <x v="1"/>
    <n v="3"/>
    <n v="12"/>
    <s v="Card"/>
    <x v="3"/>
    <n v="36"/>
  </r>
  <r>
    <n v="779"/>
    <x v="2"/>
    <x v="16"/>
    <x v="0"/>
    <x v="0"/>
    <x v="0"/>
    <x v="1"/>
    <n v="3"/>
    <n v="12"/>
    <s v="Mobile Wallet"/>
    <x v="1"/>
    <n v="36"/>
  </r>
  <r>
    <n v="716"/>
    <x v="2"/>
    <x v="34"/>
    <x v="1"/>
    <x v="0"/>
    <x v="0"/>
    <x v="1"/>
    <n v="1"/>
    <n v="12"/>
    <s v="Cash"/>
    <x v="0"/>
    <n v="12"/>
  </r>
  <r>
    <n v="661"/>
    <x v="2"/>
    <x v="8"/>
    <x v="0"/>
    <x v="2"/>
    <x v="2"/>
    <x v="1"/>
    <n v="2"/>
    <n v="12"/>
    <s v="Card"/>
    <x v="0"/>
    <n v="24"/>
  </r>
  <r>
    <n v="1494"/>
    <x v="4"/>
    <x v="77"/>
    <x v="2"/>
    <x v="4"/>
    <x v="2"/>
    <x v="2"/>
    <n v="2"/>
    <n v="20"/>
    <s v="Cash"/>
    <x v="1"/>
    <n v="40"/>
  </r>
  <r>
    <n v="926"/>
    <x v="7"/>
    <x v="21"/>
    <x v="1"/>
    <x v="6"/>
    <x v="2"/>
    <x v="3"/>
    <n v="4"/>
    <n v="30"/>
    <s v="Card"/>
    <x v="0"/>
    <n v="120"/>
  </r>
  <r>
    <n v="553"/>
    <x v="1"/>
    <x v="26"/>
    <x v="2"/>
    <x v="2"/>
    <x v="3"/>
    <x v="2"/>
    <n v="3"/>
    <n v="20"/>
    <s v="Card"/>
    <x v="0"/>
    <n v="60"/>
  </r>
  <r>
    <n v="1119"/>
    <x v="1"/>
    <x v="43"/>
    <x v="2"/>
    <x v="5"/>
    <x v="1"/>
    <x v="1"/>
    <n v="1"/>
    <n v="12"/>
    <s v="Card"/>
    <x v="0"/>
    <n v="12"/>
  </r>
  <r>
    <n v="797"/>
    <x v="1"/>
    <x v="83"/>
    <x v="0"/>
    <x v="5"/>
    <x v="0"/>
    <x v="1"/>
    <n v="4"/>
    <n v="12"/>
    <s v="Card"/>
    <x v="0"/>
    <n v="48"/>
  </r>
  <r>
    <n v="1288"/>
    <x v="0"/>
    <x v="64"/>
    <x v="1"/>
    <x v="1"/>
    <x v="2"/>
    <x v="2"/>
    <n v="2"/>
    <n v="20"/>
    <s v="Card"/>
    <x v="2"/>
    <n v="40"/>
  </r>
  <r>
    <n v="1858"/>
    <x v="3"/>
    <x v="74"/>
    <x v="2"/>
    <x v="1"/>
    <x v="0"/>
    <x v="0"/>
    <n v="2"/>
    <n v="25"/>
    <s v="Cash"/>
    <x v="2"/>
    <n v="50"/>
  </r>
  <r>
    <n v="61"/>
    <x v="7"/>
    <x v="17"/>
    <x v="2"/>
    <x v="5"/>
    <x v="3"/>
    <x v="1"/>
    <n v="2"/>
    <n v="12"/>
    <s v="Card"/>
    <x v="0"/>
    <n v="24"/>
  </r>
  <r>
    <n v="1699"/>
    <x v="3"/>
    <x v="43"/>
    <x v="2"/>
    <x v="5"/>
    <x v="1"/>
    <x v="3"/>
    <n v="4"/>
    <n v="30"/>
    <s v="Card"/>
    <x v="1"/>
    <n v="120"/>
  </r>
  <r>
    <n v="1215"/>
    <x v="4"/>
    <x v="91"/>
    <x v="1"/>
    <x v="5"/>
    <x v="3"/>
    <x v="1"/>
    <n v="4"/>
    <n v="12"/>
    <s v="Mobile Wallet"/>
    <x v="3"/>
    <n v="48"/>
  </r>
  <r>
    <n v="269"/>
    <x v="5"/>
    <x v="36"/>
    <x v="2"/>
    <x v="2"/>
    <x v="3"/>
    <x v="1"/>
    <n v="3"/>
    <n v="12"/>
    <s v="Card"/>
    <x v="0"/>
    <n v="36"/>
  </r>
  <r>
    <n v="1418"/>
    <x v="5"/>
    <x v="40"/>
    <x v="2"/>
    <x v="2"/>
    <x v="2"/>
    <x v="4"/>
    <n v="3"/>
    <n v="8"/>
    <s v="Cash"/>
    <x v="2"/>
    <n v="24"/>
  </r>
  <r>
    <n v="320"/>
    <x v="0"/>
    <x v="31"/>
    <x v="2"/>
    <x v="0"/>
    <x v="0"/>
    <x v="1"/>
    <n v="5"/>
    <n v="12"/>
    <s v="Card"/>
    <x v="2"/>
    <n v="60"/>
  </r>
  <r>
    <n v="1952"/>
    <x v="7"/>
    <x v="16"/>
    <x v="0"/>
    <x v="0"/>
    <x v="0"/>
    <x v="2"/>
    <n v="2"/>
    <n v="20"/>
    <s v="Card"/>
    <x v="2"/>
    <n v="40"/>
  </r>
  <r>
    <n v="544"/>
    <x v="4"/>
    <x v="14"/>
    <x v="1"/>
    <x v="0"/>
    <x v="1"/>
    <x v="0"/>
    <n v="2"/>
    <n v="25"/>
    <s v="Mobile Wallet"/>
    <x v="3"/>
    <n v="50"/>
  </r>
  <r>
    <n v="8"/>
    <x v="1"/>
    <x v="89"/>
    <x v="1"/>
    <x v="5"/>
    <x v="0"/>
    <x v="4"/>
    <n v="1"/>
    <n v="8"/>
    <s v="Card"/>
    <x v="1"/>
    <n v="8"/>
  </r>
  <r>
    <n v="411"/>
    <x v="7"/>
    <x v="29"/>
    <x v="1"/>
    <x v="1"/>
    <x v="0"/>
    <x v="4"/>
    <n v="1"/>
    <n v="8"/>
    <s v="Mobile Wallet"/>
    <x v="0"/>
    <n v="8"/>
  </r>
  <r>
    <n v="91"/>
    <x v="2"/>
    <x v="26"/>
    <x v="2"/>
    <x v="2"/>
    <x v="2"/>
    <x v="4"/>
    <n v="5"/>
    <n v="8"/>
    <s v="Mobile Wallet"/>
    <x v="0"/>
    <n v="40"/>
  </r>
  <r>
    <n v="995"/>
    <x v="6"/>
    <x v="16"/>
    <x v="0"/>
    <x v="0"/>
    <x v="2"/>
    <x v="1"/>
    <n v="1"/>
    <n v="12"/>
    <s v="Mobile Wallet"/>
    <x v="1"/>
    <n v="12"/>
  </r>
  <r>
    <n v="221"/>
    <x v="7"/>
    <x v="55"/>
    <x v="1"/>
    <x v="2"/>
    <x v="1"/>
    <x v="4"/>
    <n v="1"/>
    <n v="8"/>
    <s v="Cash"/>
    <x v="3"/>
    <n v="8"/>
  </r>
  <r>
    <n v="197"/>
    <x v="4"/>
    <x v="77"/>
    <x v="2"/>
    <x v="4"/>
    <x v="0"/>
    <x v="1"/>
    <n v="5"/>
    <n v="12"/>
    <s v="Cash"/>
    <x v="2"/>
    <n v="60"/>
  </r>
  <r>
    <n v="1939"/>
    <x v="4"/>
    <x v="55"/>
    <x v="1"/>
    <x v="2"/>
    <x v="3"/>
    <x v="1"/>
    <n v="5"/>
    <n v="12"/>
    <s v="Mobile Wallet"/>
    <x v="2"/>
    <n v="60"/>
  </r>
  <r>
    <n v="1462"/>
    <x v="1"/>
    <x v="53"/>
    <x v="1"/>
    <x v="6"/>
    <x v="3"/>
    <x v="1"/>
    <n v="5"/>
    <n v="12"/>
    <s v="Cash"/>
    <x v="1"/>
    <n v="60"/>
  </r>
  <r>
    <n v="1908"/>
    <x v="3"/>
    <x v="6"/>
    <x v="1"/>
    <x v="5"/>
    <x v="0"/>
    <x v="1"/>
    <n v="4"/>
    <n v="12"/>
    <s v="Card"/>
    <x v="2"/>
    <n v="48"/>
  </r>
  <r>
    <n v="589"/>
    <x v="6"/>
    <x v="16"/>
    <x v="0"/>
    <x v="0"/>
    <x v="2"/>
    <x v="1"/>
    <n v="4"/>
    <n v="12"/>
    <s v="Card"/>
    <x v="2"/>
    <n v="48"/>
  </r>
  <r>
    <n v="362"/>
    <x v="3"/>
    <x v="47"/>
    <x v="0"/>
    <x v="4"/>
    <x v="2"/>
    <x v="1"/>
    <n v="4"/>
    <n v="12"/>
    <s v="Cash"/>
    <x v="3"/>
    <n v="48"/>
  </r>
  <r>
    <n v="297"/>
    <x v="0"/>
    <x v="80"/>
    <x v="1"/>
    <x v="3"/>
    <x v="3"/>
    <x v="1"/>
    <n v="5"/>
    <n v="12"/>
    <s v="Cash"/>
    <x v="0"/>
    <n v="60"/>
  </r>
  <r>
    <n v="1525"/>
    <x v="1"/>
    <x v="55"/>
    <x v="1"/>
    <x v="2"/>
    <x v="0"/>
    <x v="1"/>
    <n v="2"/>
    <n v="12"/>
    <s v="Mobile Wallet"/>
    <x v="1"/>
    <n v="24"/>
  </r>
  <r>
    <n v="1982"/>
    <x v="6"/>
    <x v="9"/>
    <x v="0"/>
    <x v="2"/>
    <x v="3"/>
    <x v="2"/>
    <n v="3"/>
    <n v="20"/>
    <s v="Mobile Wallet"/>
    <x v="0"/>
    <n v="60"/>
  </r>
  <r>
    <n v="1405"/>
    <x v="4"/>
    <x v="34"/>
    <x v="1"/>
    <x v="0"/>
    <x v="3"/>
    <x v="4"/>
    <n v="1"/>
    <n v="8"/>
    <s v="Mobile Wallet"/>
    <x v="2"/>
    <n v="8"/>
  </r>
  <r>
    <n v="1799"/>
    <x v="5"/>
    <x v="60"/>
    <x v="1"/>
    <x v="0"/>
    <x v="3"/>
    <x v="1"/>
    <n v="2"/>
    <n v="12"/>
    <s v="Card"/>
    <x v="0"/>
    <n v="24"/>
  </r>
  <r>
    <n v="299"/>
    <x v="1"/>
    <x v="11"/>
    <x v="1"/>
    <x v="4"/>
    <x v="0"/>
    <x v="1"/>
    <n v="5"/>
    <n v="12"/>
    <s v="Card"/>
    <x v="1"/>
    <n v="60"/>
  </r>
  <r>
    <n v="1146"/>
    <x v="0"/>
    <x v="21"/>
    <x v="1"/>
    <x v="6"/>
    <x v="1"/>
    <x v="1"/>
    <n v="4"/>
    <n v="12"/>
    <s v="Card"/>
    <x v="2"/>
    <n v="48"/>
  </r>
  <r>
    <n v="1787"/>
    <x v="6"/>
    <x v="23"/>
    <x v="2"/>
    <x v="0"/>
    <x v="0"/>
    <x v="0"/>
    <n v="2"/>
    <n v="25"/>
    <s v="Cash"/>
    <x v="2"/>
    <n v="50"/>
  </r>
  <r>
    <n v="259"/>
    <x v="2"/>
    <x v="4"/>
    <x v="0"/>
    <x v="1"/>
    <x v="1"/>
    <x v="1"/>
    <n v="4"/>
    <n v="12"/>
    <s v="Card"/>
    <x v="2"/>
    <n v="48"/>
  </r>
  <r>
    <n v="1694"/>
    <x v="5"/>
    <x v="67"/>
    <x v="2"/>
    <x v="6"/>
    <x v="1"/>
    <x v="1"/>
    <n v="5"/>
    <n v="12"/>
    <s v="Cash"/>
    <x v="0"/>
    <n v="60"/>
  </r>
  <r>
    <n v="1139"/>
    <x v="6"/>
    <x v="53"/>
    <x v="1"/>
    <x v="6"/>
    <x v="3"/>
    <x v="0"/>
    <n v="1"/>
    <n v="25"/>
    <s v="Cash"/>
    <x v="0"/>
    <n v="25"/>
  </r>
  <r>
    <n v="734"/>
    <x v="2"/>
    <x v="31"/>
    <x v="2"/>
    <x v="0"/>
    <x v="1"/>
    <x v="3"/>
    <n v="2"/>
    <n v="30"/>
    <s v="Mobile Wallet"/>
    <x v="1"/>
    <n v="60"/>
  </r>
  <r>
    <n v="987"/>
    <x v="6"/>
    <x v="20"/>
    <x v="0"/>
    <x v="4"/>
    <x v="2"/>
    <x v="1"/>
    <n v="3"/>
    <n v="12"/>
    <s v="Mobile Wallet"/>
    <x v="2"/>
    <n v="36"/>
  </r>
  <r>
    <n v="1317"/>
    <x v="4"/>
    <x v="10"/>
    <x v="2"/>
    <x v="0"/>
    <x v="1"/>
    <x v="1"/>
    <n v="5"/>
    <n v="12"/>
    <s v="Card"/>
    <x v="2"/>
    <n v="60"/>
  </r>
  <r>
    <n v="1690"/>
    <x v="6"/>
    <x v="0"/>
    <x v="0"/>
    <x v="0"/>
    <x v="1"/>
    <x v="1"/>
    <n v="2"/>
    <n v="12"/>
    <s v="Card"/>
    <x v="0"/>
    <n v="24"/>
  </r>
  <r>
    <n v="1235"/>
    <x v="4"/>
    <x v="48"/>
    <x v="0"/>
    <x v="5"/>
    <x v="2"/>
    <x v="1"/>
    <n v="2"/>
    <n v="12"/>
    <s v="Card"/>
    <x v="3"/>
    <n v="24"/>
  </r>
  <r>
    <n v="410"/>
    <x v="0"/>
    <x v="31"/>
    <x v="2"/>
    <x v="0"/>
    <x v="1"/>
    <x v="1"/>
    <n v="2"/>
    <n v="12"/>
    <s v="Mobile Wallet"/>
    <x v="1"/>
    <n v="24"/>
  </r>
  <r>
    <n v="1565"/>
    <x v="7"/>
    <x v="59"/>
    <x v="0"/>
    <x v="0"/>
    <x v="3"/>
    <x v="1"/>
    <n v="2"/>
    <n v="12"/>
    <s v="Card"/>
    <x v="3"/>
    <n v="24"/>
  </r>
  <r>
    <n v="670"/>
    <x v="5"/>
    <x v="59"/>
    <x v="0"/>
    <x v="0"/>
    <x v="0"/>
    <x v="1"/>
    <n v="1"/>
    <n v="12"/>
    <s v="Card"/>
    <x v="3"/>
    <n v="12"/>
  </r>
  <r>
    <n v="510"/>
    <x v="4"/>
    <x v="59"/>
    <x v="0"/>
    <x v="0"/>
    <x v="1"/>
    <x v="2"/>
    <n v="2"/>
    <n v="20"/>
    <s v="Card"/>
    <x v="1"/>
    <n v="40"/>
  </r>
  <r>
    <n v="55"/>
    <x v="5"/>
    <x v="8"/>
    <x v="0"/>
    <x v="2"/>
    <x v="0"/>
    <x v="2"/>
    <n v="5"/>
    <n v="20"/>
    <s v="Mobile Wallet"/>
    <x v="1"/>
    <n v="100"/>
  </r>
  <r>
    <n v="133"/>
    <x v="3"/>
    <x v="42"/>
    <x v="0"/>
    <x v="2"/>
    <x v="2"/>
    <x v="0"/>
    <n v="4"/>
    <n v="25"/>
    <s v="Cash"/>
    <x v="3"/>
    <n v="100"/>
  </r>
  <r>
    <n v="1836"/>
    <x v="4"/>
    <x v="0"/>
    <x v="0"/>
    <x v="0"/>
    <x v="2"/>
    <x v="1"/>
    <n v="3"/>
    <n v="12"/>
    <s v="Mobile Wallet"/>
    <x v="1"/>
    <n v="36"/>
  </r>
  <r>
    <n v="1629"/>
    <x v="5"/>
    <x v="86"/>
    <x v="1"/>
    <x v="4"/>
    <x v="1"/>
    <x v="4"/>
    <n v="1"/>
    <n v="8"/>
    <s v="Cash"/>
    <x v="2"/>
    <n v="8"/>
  </r>
  <r>
    <n v="1664"/>
    <x v="7"/>
    <x v="33"/>
    <x v="0"/>
    <x v="2"/>
    <x v="3"/>
    <x v="1"/>
    <n v="1"/>
    <n v="12"/>
    <s v="Cash"/>
    <x v="2"/>
    <n v="12"/>
  </r>
  <r>
    <n v="836"/>
    <x v="6"/>
    <x v="8"/>
    <x v="0"/>
    <x v="2"/>
    <x v="0"/>
    <x v="3"/>
    <n v="4"/>
    <n v="30"/>
    <s v="Card"/>
    <x v="0"/>
    <n v="120"/>
  </r>
  <r>
    <n v="1447"/>
    <x v="2"/>
    <x v="32"/>
    <x v="2"/>
    <x v="5"/>
    <x v="0"/>
    <x v="2"/>
    <n v="1"/>
    <n v="20"/>
    <s v="Cash"/>
    <x v="0"/>
    <n v="20"/>
  </r>
  <r>
    <n v="756"/>
    <x v="0"/>
    <x v="0"/>
    <x v="0"/>
    <x v="0"/>
    <x v="0"/>
    <x v="1"/>
    <n v="2"/>
    <n v="12"/>
    <s v="Card"/>
    <x v="0"/>
    <n v="24"/>
  </r>
  <r>
    <n v="1560"/>
    <x v="7"/>
    <x v="79"/>
    <x v="1"/>
    <x v="2"/>
    <x v="2"/>
    <x v="1"/>
    <n v="4"/>
    <n v="12"/>
    <s v="Card"/>
    <x v="2"/>
    <n v="48"/>
  </r>
  <r>
    <n v="1757"/>
    <x v="3"/>
    <x v="42"/>
    <x v="0"/>
    <x v="2"/>
    <x v="0"/>
    <x v="1"/>
    <n v="3"/>
    <n v="12"/>
    <s v="Cash"/>
    <x v="2"/>
    <n v="36"/>
  </r>
  <r>
    <n v="1508"/>
    <x v="4"/>
    <x v="31"/>
    <x v="2"/>
    <x v="0"/>
    <x v="3"/>
    <x v="1"/>
    <n v="2"/>
    <n v="12"/>
    <s v="Card"/>
    <x v="2"/>
    <n v="24"/>
  </r>
  <r>
    <n v="711"/>
    <x v="5"/>
    <x v="8"/>
    <x v="0"/>
    <x v="2"/>
    <x v="2"/>
    <x v="4"/>
    <n v="4"/>
    <n v="8"/>
    <s v="Card"/>
    <x v="2"/>
    <n v="32"/>
  </r>
  <r>
    <n v="190"/>
    <x v="0"/>
    <x v="16"/>
    <x v="0"/>
    <x v="0"/>
    <x v="0"/>
    <x v="4"/>
    <n v="3"/>
    <n v="8"/>
    <s v="Card"/>
    <x v="2"/>
    <n v="24"/>
  </r>
  <r>
    <n v="762"/>
    <x v="4"/>
    <x v="10"/>
    <x v="2"/>
    <x v="0"/>
    <x v="3"/>
    <x v="1"/>
    <n v="4"/>
    <n v="12"/>
    <s v="Cash"/>
    <x v="0"/>
    <n v="48"/>
  </r>
  <r>
    <n v="683"/>
    <x v="5"/>
    <x v="26"/>
    <x v="2"/>
    <x v="2"/>
    <x v="1"/>
    <x v="1"/>
    <n v="1"/>
    <n v="12"/>
    <s v="Cash"/>
    <x v="2"/>
    <n v="12"/>
  </r>
  <r>
    <n v="478"/>
    <x v="2"/>
    <x v="10"/>
    <x v="2"/>
    <x v="0"/>
    <x v="1"/>
    <x v="4"/>
    <n v="5"/>
    <n v="8"/>
    <s v="Card"/>
    <x v="3"/>
    <n v="40"/>
  </r>
  <r>
    <n v="839"/>
    <x v="6"/>
    <x v="57"/>
    <x v="1"/>
    <x v="4"/>
    <x v="3"/>
    <x v="4"/>
    <n v="5"/>
    <n v="8"/>
    <s v="Card"/>
    <x v="2"/>
    <n v="40"/>
  </r>
  <r>
    <n v="1884"/>
    <x v="1"/>
    <x v="9"/>
    <x v="0"/>
    <x v="2"/>
    <x v="1"/>
    <x v="1"/>
    <n v="2"/>
    <n v="12"/>
    <s v="Cash"/>
    <x v="3"/>
    <n v="24"/>
  </r>
  <r>
    <n v="95"/>
    <x v="0"/>
    <x v="18"/>
    <x v="0"/>
    <x v="0"/>
    <x v="0"/>
    <x v="1"/>
    <n v="2"/>
    <n v="12"/>
    <s v="Mobile Wallet"/>
    <x v="3"/>
    <n v="24"/>
  </r>
  <r>
    <n v="450"/>
    <x v="0"/>
    <x v="13"/>
    <x v="2"/>
    <x v="3"/>
    <x v="3"/>
    <x v="1"/>
    <n v="1"/>
    <n v="12"/>
    <s v="Cash"/>
    <x v="2"/>
    <n v="12"/>
  </r>
  <r>
    <n v="208"/>
    <x v="6"/>
    <x v="82"/>
    <x v="0"/>
    <x v="1"/>
    <x v="1"/>
    <x v="2"/>
    <n v="4"/>
    <n v="20"/>
    <s v="Cash"/>
    <x v="3"/>
    <n v="80"/>
  </r>
  <r>
    <n v="255"/>
    <x v="3"/>
    <x v="25"/>
    <x v="1"/>
    <x v="0"/>
    <x v="1"/>
    <x v="2"/>
    <n v="5"/>
    <n v="20"/>
    <s v="Mobile Wallet"/>
    <x v="1"/>
    <n v="100"/>
  </r>
  <r>
    <n v="1972"/>
    <x v="1"/>
    <x v="78"/>
    <x v="2"/>
    <x v="4"/>
    <x v="2"/>
    <x v="0"/>
    <n v="4"/>
    <n v="25"/>
    <s v="Cash"/>
    <x v="0"/>
    <n v="100"/>
  </r>
  <r>
    <n v="643"/>
    <x v="2"/>
    <x v="34"/>
    <x v="1"/>
    <x v="0"/>
    <x v="3"/>
    <x v="4"/>
    <n v="3"/>
    <n v="8"/>
    <s v="Mobile Wallet"/>
    <x v="1"/>
    <n v="24"/>
  </r>
  <r>
    <n v="550"/>
    <x v="5"/>
    <x v="48"/>
    <x v="0"/>
    <x v="5"/>
    <x v="0"/>
    <x v="1"/>
    <n v="5"/>
    <n v="12"/>
    <s v="Mobile Wallet"/>
    <x v="0"/>
    <n v="60"/>
  </r>
  <r>
    <n v="367"/>
    <x v="0"/>
    <x v="60"/>
    <x v="1"/>
    <x v="0"/>
    <x v="2"/>
    <x v="1"/>
    <n v="3"/>
    <n v="12"/>
    <s v="Card"/>
    <x v="1"/>
    <n v="36"/>
  </r>
  <r>
    <n v="1487"/>
    <x v="5"/>
    <x v="18"/>
    <x v="0"/>
    <x v="0"/>
    <x v="2"/>
    <x v="1"/>
    <n v="2"/>
    <n v="12"/>
    <s v="Cash"/>
    <x v="3"/>
    <n v="24"/>
  </r>
  <r>
    <n v="666"/>
    <x v="1"/>
    <x v="33"/>
    <x v="0"/>
    <x v="2"/>
    <x v="3"/>
    <x v="1"/>
    <n v="3"/>
    <n v="12"/>
    <s v="Cash"/>
    <x v="1"/>
    <n v="36"/>
  </r>
  <r>
    <n v="903"/>
    <x v="0"/>
    <x v="58"/>
    <x v="1"/>
    <x v="3"/>
    <x v="3"/>
    <x v="1"/>
    <n v="1"/>
    <n v="12"/>
    <s v="Card"/>
    <x v="0"/>
    <n v="12"/>
  </r>
  <r>
    <n v="659"/>
    <x v="6"/>
    <x v="14"/>
    <x v="1"/>
    <x v="0"/>
    <x v="0"/>
    <x v="1"/>
    <n v="4"/>
    <n v="12"/>
    <s v="Mobile Wallet"/>
    <x v="3"/>
    <n v="48"/>
  </r>
  <r>
    <n v="676"/>
    <x v="1"/>
    <x v="75"/>
    <x v="2"/>
    <x v="3"/>
    <x v="3"/>
    <x v="1"/>
    <n v="2"/>
    <n v="12"/>
    <s v="Card"/>
    <x v="1"/>
    <n v="24"/>
  </r>
  <r>
    <n v="1794"/>
    <x v="5"/>
    <x v="42"/>
    <x v="0"/>
    <x v="2"/>
    <x v="0"/>
    <x v="4"/>
    <n v="4"/>
    <n v="8"/>
    <s v="Card"/>
    <x v="0"/>
    <n v="32"/>
  </r>
  <r>
    <n v="1693"/>
    <x v="6"/>
    <x v="28"/>
    <x v="2"/>
    <x v="0"/>
    <x v="3"/>
    <x v="4"/>
    <n v="1"/>
    <n v="8"/>
    <s v="Cash"/>
    <x v="3"/>
    <n v="8"/>
  </r>
  <r>
    <n v="1427"/>
    <x v="5"/>
    <x v="72"/>
    <x v="0"/>
    <x v="3"/>
    <x v="2"/>
    <x v="0"/>
    <n v="2"/>
    <n v="25"/>
    <s v="Cash"/>
    <x v="2"/>
    <n v="50"/>
  </r>
  <r>
    <n v="1335"/>
    <x v="6"/>
    <x v="28"/>
    <x v="2"/>
    <x v="0"/>
    <x v="0"/>
    <x v="2"/>
    <n v="1"/>
    <n v="20"/>
    <s v="Mobile Wallet"/>
    <x v="0"/>
    <n v="20"/>
  </r>
  <r>
    <n v="970"/>
    <x v="7"/>
    <x v="25"/>
    <x v="1"/>
    <x v="0"/>
    <x v="3"/>
    <x v="1"/>
    <n v="3"/>
    <n v="12"/>
    <s v="Cash"/>
    <x v="3"/>
    <n v="36"/>
  </r>
  <r>
    <n v="494"/>
    <x v="0"/>
    <x v="86"/>
    <x v="1"/>
    <x v="4"/>
    <x v="1"/>
    <x v="1"/>
    <n v="1"/>
    <n v="12"/>
    <s v="Mobile Wallet"/>
    <x v="2"/>
    <n v="12"/>
  </r>
  <r>
    <n v="172"/>
    <x v="1"/>
    <x v="28"/>
    <x v="2"/>
    <x v="0"/>
    <x v="2"/>
    <x v="1"/>
    <n v="5"/>
    <n v="12"/>
    <s v="Cash"/>
    <x v="2"/>
    <n v="60"/>
  </r>
  <r>
    <n v="158"/>
    <x v="4"/>
    <x v="77"/>
    <x v="2"/>
    <x v="4"/>
    <x v="0"/>
    <x v="1"/>
    <n v="5"/>
    <n v="12"/>
    <s v="Mobile Wallet"/>
    <x v="1"/>
    <n v="60"/>
  </r>
  <r>
    <n v="685"/>
    <x v="3"/>
    <x v="39"/>
    <x v="2"/>
    <x v="4"/>
    <x v="2"/>
    <x v="1"/>
    <n v="2"/>
    <n v="12"/>
    <s v="Cash"/>
    <x v="2"/>
    <n v="24"/>
  </r>
  <r>
    <n v="1772"/>
    <x v="7"/>
    <x v="31"/>
    <x v="2"/>
    <x v="0"/>
    <x v="2"/>
    <x v="3"/>
    <n v="5"/>
    <n v="30"/>
    <s v="Mobile Wallet"/>
    <x v="3"/>
    <n v="150"/>
  </r>
  <r>
    <n v="1464"/>
    <x v="7"/>
    <x v="24"/>
    <x v="0"/>
    <x v="2"/>
    <x v="1"/>
    <x v="0"/>
    <n v="5"/>
    <n v="25"/>
    <s v="Mobile Wallet"/>
    <x v="0"/>
    <n v="125"/>
  </r>
  <r>
    <n v="497"/>
    <x v="7"/>
    <x v="28"/>
    <x v="2"/>
    <x v="0"/>
    <x v="1"/>
    <x v="0"/>
    <n v="1"/>
    <n v="25"/>
    <s v="Card"/>
    <x v="1"/>
    <n v="25"/>
  </r>
  <r>
    <n v="913"/>
    <x v="1"/>
    <x v="10"/>
    <x v="2"/>
    <x v="0"/>
    <x v="2"/>
    <x v="4"/>
    <n v="1"/>
    <n v="8"/>
    <s v="Cash"/>
    <x v="3"/>
    <n v="8"/>
  </r>
  <r>
    <n v="1457"/>
    <x v="0"/>
    <x v="47"/>
    <x v="0"/>
    <x v="4"/>
    <x v="3"/>
    <x v="0"/>
    <n v="5"/>
    <n v="25"/>
    <s v="Cash"/>
    <x v="0"/>
    <n v="125"/>
  </r>
  <r>
    <n v="1129"/>
    <x v="0"/>
    <x v="26"/>
    <x v="2"/>
    <x v="2"/>
    <x v="0"/>
    <x v="3"/>
    <n v="5"/>
    <n v="30"/>
    <s v="Cash"/>
    <x v="0"/>
    <n v="150"/>
  </r>
  <r>
    <n v="1718"/>
    <x v="7"/>
    <x v="35"/>
    <x v="0"/>
    <x v="5"/>
    <x v="2"/>
    <x v="1"/>
    <n v="3"/>
    <n v="12"/>
    <s v="Cash"/>
    <x v="0"/>
    <n v="36"/>
  </r>
  <r>
    <n v="266"/>
    <x v="4"/>
    <x v="34"/>
    <x v="1"/>
    <x v="0"/>
    <x v="3"/>
    <x v="0"/>
    <n v="4"/>
    <n v="25"/>
    <s v="Cash"/>
    <x v="0"/>
    <n v="100"/>
  </r>
  <r>
    <n v="240"/>
    <x v="2"/>
    <x v="55"/>
    <x v="1"/>
    <x v="2"/>
    <x v="3"/>
    <x v="1"/>
    <n v="5"/>
    <n v="12"/>
    <s v="Mobile Wallet"/>
    <x v="0"/>
    <n v="60"/>
  </r>
  <r>
    <n v="151"/>
    <x v="7"/>
    <x v="15"/>
    <x v="0"/>
    <x v="4"/>
    <x v="3"/>
    <x v="1"/>
    <n v="2"/>
    <n v="12"/>
    <s v="Cash"/>
    <x v="1"/>
    <n v="24"/>
  </r>
  <r>
    <n v="1304"/>
    <x v="0"/>
    <x v="63"/>
    <x v="1"/>
    <x v="5"/>
    <x v="0"/>
    <x v="1"/>
    <n v="1"/>
    <n v="12"/>
    <s v="Card"/>
    <x v="0"/>
    <n v="12"/>
  </r>
  <r>
    <n v="464"/>
    <x v="3"/>
    <x v="26"/>
    <x v="2"/>
    <x v="2"/>
    <x v="2"/>
    <x v="0"/>
    <n v="3"/>
    <n v="25"/>
    <s v="Card"/>
    <x v="0"/>
    <n v="75"/>
  </r>
  <r>
    <n v="1743"/>
    <x v="4"/>
    <x v="30"/>
    <x v="1"/>
    <x v="2"/>
    <x v="0"/>
    <x v="4"/>
    <n v="3"/>
    <n v="8"/>
    <s v="Mobile Wallet"/>
    <x v="0"/>
    <n v="24"/>
  </r>
  <r>
    <n v="966"/>
    <x v="3"/>
    <x v="9"/>
    <x v="0"/>
    <x v="2"/>
    <x v="0"/>
    <x v="4"/>
    <n v="3"/>
    <n v="8"/>
    <s v="Card"/>
    <x v="0"/>
    <n v="24"/>
  </r>
  <r>
    <n v="445"/>
    <x v="6"/>
    <x v="48"/>
    <x v="0"/>
    <x v="5"/>
    <x v="1"/>
    <x v="1"/>
    <n v="5"/>
    <n v="12"/>
    <s v="Card"/>
    <x v="0"/>
    <n v="60"/>
  </r>
  <r>
    <n v="29"/>
    <x v="2"/>
    <x v="82"/>
    <x v="0"/>
    <x v="1"/>
    <x v="2"/>
    <x v="1"/>
    <n v="4"/>
    <n v="12"/>
    <s v="Mobile Wallet"/>
    <x v="1"/>
    <n v="48"/>
  </r>
  <r>
    <n v="205"/>
    <x v="6"/>
    <x v="75"/>
    <x v="2"/>
    <x v="3"/>
    <x v="3"/>
    <x v="4"/>
    <n v="2"/>
    <n v="8"/>
    <s v="Card"/>
    <x v="2"/>
    <n v="16"/>
  </r>
  <r>
    <n v="127"/>
    <x v="4"/>
    <x v="2"/>
    <x v="2"/>
    <x v="2"/>
    <x v="3"/>
    <x v="0"/>
    <n v="4"/>
    <n v="25"/>
    <s v="Mobile Wallet"/>
    <x v="2"/>
    <n v="100"/>
  </r>
  <r>
    <n v="531"/>
    <x v="3"/>
    <x v="71"/>
    <x v="1"/>
    <x v="2"/>
    <x v="2"/>
    <x v="4"/>
    <n v="4"/>
    <n v="8"/>
    <s v="Card"/>
    <x v="2"/>
    <n v="32"/>
  </r>
  <r>
    <n v="439"/>
    <x v="5"/>
    <x v="71"/>
    <x v="1"/>
    <x v="2"/>
    <x v="0"/>
    <x v="0"/>
    <n v="4"/>
    <n v="25"/>
    <s v="Cash"/>
    <x v="1"/>
    <n v="100"/>
  </r>
  <r>
    <n v="673"/>
    <x v="0"/>
    <x v="81"/>
    <x v="0"/>
    <x v="6"/>
    <x v="2"/>
    <x v="4"/>
    <n v="1"/>
    <n v="8"/>
    <s v="Cash"/>
    <x v="3"/>
    <n v="8"/>
  </r>
  <r>
    <n v="902"/>
    <x v="6"/>
    <x v="74"/>
    <x v="2"/>
    <x v="1"/>
    <x v="2"/>
    <x v="4"/>
    <n v="2"/>
    <n v="8"/>
    <s v="Cash"/>
    <x v="1"/>
    <n v="16"/>
  </r>
  <r>
    <n v="1615"/>
    <x v="0"/>
    <x v="17"/>
    <x v="2"/>
    <x v="5"/>
    <x v="1"/>
    <x v="1"/>
    <n v="5"/>
    <n v="12"/>
    <s v="Mobile Wallet"/>
    <x v="1"/>
    <n v="60"/>
  </r>
  <r>
    <n v="1912"/>
    <x v="0"/>
    <x v="30"/>
    <x v="1"/>
    <x v="2"/>
    <x v="2"/>
    <x v="1"/>
    <n v="1"/>
    <n v="12"/>
    <s v="Card"/>
    <x v="3"/>
    <n v="12"/>
  </r>
  <r>
    <n v="1020"/>
    <x v="1"/>
    <x v="87"/>
    <x v="0"/>
    <x v="4"/>
    <x v="0"/>
    <x v="4"/>
    <n v="4"/>
    <n v="8"/>
    <s v="Cash"/>
    <x v="1"/>
    <n v="32"/>
  </r>
  <r>
    <n v="1645"/>
    <x v="3"/>
    <x v="8"/>
    <x v="0"/>
    <x v="2"/>
    <x v="2"/>
    <x v="4"/>
    <n v="4"/>
    <n v="8"/>
    <s v="Cash"/>
    <x v="0"/>
    <n v="32"/>
  </r>
  <r>
    <n v="1495"/>
    <x v="0"/>
    <x v="86"/>
    <x v="1"/>
    <x v="4"/>
    <x v="0"/>
    <x v="4"/>
    <n v="3"/>
    <n v="8"/>
    <s v="Card"/>
    <x v="2"/>
    <n v="24"/>
  </r>
  <r>
    <n v="709"/>
    <x v="2"/>
    <x v="10"/>
    <x v="2"/>
    <x v="0"/>
    <x v="1"/>
    <x v="1"/>
    <n v="5"/>
    <n v="12"/>
    <s v="Mobile Wallet"/>
    <x v="0"/>
    <n v="60"/>
  </r>
  <r>
    <n v="356"/>
    <x v="5"/>
    <x v="26"/>
    <x v="2"/>
    <x v="2"/>
    <x v="0"/>
    <x v="1"/>
    <n v="2"/>
    <n v="12"/>
    <s v="Card"/>
    <x v="3"/>
    <n v="24"/>
  </r>
  <r>
    <n v="1166"/>
    <x v="4"/>
    <x v="55"/>
    <x v="1"/>
    <x v="2"/>
    <x v="3"/>
    <x v="1"/>
    <n v="2"/>
    <n v="12"/>
    <s v="Cash"/>
    <x v="2"/>
    <n v="24"/>
  </r>
  <r>
    <n v="468"/>
    <x v="3"/>
    <x v="1"/>
    <x v="1"/>
    <x v="1"/>
    <x v="3"/>
    <x v="1"/>
    <n v="5"/>
    <n v="12"/>
    <s v="Cash"/>
    <x v="0"/>
    <n v="60"/>
  </r>
  <r>
    <n v="1971"/>
    <x v="3"/>
    <x v="13"/>
    <x v="2"/>
    <x v="3"/>
    <x v="1"/>
    <x v="3"/>
    <n v="3"/>
    <n v="30"/>
    <s v="Card"/>
    <x v="0"/>
    <n v="90"/>
  </r>
  <r>
    <n v="1704"/>
    <x v="7"/>
    <x v="33"/>
    <x v="0"/>
    <x v="2"/>
    <x v="2"/>
    <x v="2"/>
    <n v="4"/>
    <n v="20"/>
    <s v="Cash"/>
    <x v="0"/>
    <n v="80"/>
  </r>
  <r>
    <n v="623"/>
    <x v="5"/>
    <x v="60"/>
    <x v="1"/>
    <x v="0"/>
    <x v="1"/>
    <x v="1"/>
    <n v="5"/>
    <n v="12"/>
    <s v="Cash"/>
    <x v="0"/>
    <n v="60"/>
  </r>
  <r>
    <n v="757"/>
    <x v="4"/>
    <x v="24"/>
    <x v="0"/>
    <x v="2"/>
    <x v="3"/>
    <x v="1"/>
    <n v="3"/>
    <n v="12"/>
    <s v="Mobile Wallet"/>
    <x v="0"/>
    <n v="36"/>
  </r>
  <r>
    <n v="1691"/>
    <x v="0"/>
    <x v="79"/>
    <x v="1"/>
    <x v="2"/>
    <x v="2"/>
    <x v="2"/>
    <n v="4"/>
    <n v="20"/>
    <s v="Cash"/>
    <x v="3"/>
    <n v="80"/>
  </r>
  <r>
    <n v="882"/>
    <x v="0"/>
    <x v="30"/>
    <x v="1"/>
    <x v="2"/>
    <x v="3"/>
    <x v="2"/>
    <n v="1"/>
    <n v="20"/>
    <s v="Card"/>
    <x v="0"/>
    <n v="20"/>
  </r>
  <r>
    <n v="641"/>
    <x v="0"/>
    <x v="40"/>
    <x v="2"/>
    <x v="2"/>
    <x v="0"/>
    <x v="1"/>
    <n v="3"/>
    <n v="12"/>
    <s v="Cash"/>
    <x v="0"/>
    <n v="36"/>
  </r>
  <r>
    <n v="1091"/>
    <x v="6"/>
    <x v="8"/>
    <x v="0"/>
    <x v="2"/>
    <x v="1"/>
    <x v="1"/>
    <n v="2"/>
    <n v="12"/>
    <s v="Cash"/>
    <x v="1"/>
    <n v="24"/>
  </r>
  <r>
    <n v="36"/>
    <x v="1"/>
    <x v="10"/>
    <x v="2"/>
    <x v="0"/>
    <x v="2"/>
    <x v="1"/>
    <n v="3"/>
    <n v="12"/>
    <s v="Card"/>
    <x v="3"/>
    <n v="36"/>
  </r>
  <r>
    <n v="81"/>
    <x v="5"/>
    <x v="39"/>
    <x v="2"/>
    <x v="4"/>
    <x v="3"/>
    <x v="1"/>
    <n v="2"/>
    <n v="12"/>
    <s v="Cash"/>
    <x v="3"/>
    <n v="24"/>
  </r>
  <r>
    <n v="1075"/>
    <x v="3"/>
    <x v="55"/>
    <x v="1"/>
    <x v="2"/>
    <x v="0"/>
    <x v="0"/>
    <n v="2"/>
    <n v="25"/>
    <s v="Cash"/>
    <x v="1"/>
    <n v="50"/>
  </r>
  <r>
    <n v="1911"/>
    <x v="6"/>
    <x v="37"/>
    <x v="0"/>
    <x v="0"/>
    <x v="1"/>
    <x v="1"/>
    <n v="5"/>
    <n v="12"/>
    <s v="Cash"/>
    <x v="2"/>
    <n v="60"/>
  </r>
  <r>
    <n v="916"/>
    <x v="0"/>
    <x v="24"/>
    <x v="0"/>
    <x v="2"/>
    <x v="3"/>
    <x v="4"/>
    <n v="5"/>
    <n v="8"/>
    <s v="Mobile Wallet"/>
    <x v="0"/>
    <n v="40"/>
  </r>
  <r>
    <n v="1910"/>
    <x v="1"/>
    <x v="33"/>
    <x v="0"/>
    <x v="2"/>
    <x v="3"/>
    <x v="1"/>
    <n v="5"/>
    <n v="12"/>
    <s v="Cash"/>
    <x v="1"/>
    <n v="60"/>
  </r>
  <r>
    <n v="416"/>
    <x v="3"/>
    <x v="2"/>
    <x v="2"/>
    <x v="2"/>
    <x v="2"/>
    <x v="3"/>
    <n v="1"/>
    <n v="30"/>
    <s v="Card"/>
    <x v="2"/>
    <n v="30"/>
  </r>
  <r>
    <n v="1375"/>
    <x v="7"/>
    <x v="30"/>
    <x v="1"/>
    <x v="2"/>
    <x v="2"/>
    <x v="2"/>
    <n v="5"/>
    <n v="20"/>
    <s v="Cash"/>
    <x v="3"/>
    <n v="100"/>
  </r>
  <r>
    <n v="396"/>
    <x v="6"/>
    <x v="22"/>
    <x v="2"/>
    <x v="1"/>
    <x v="1"/>
    <x v="1"/>
    <n v="2"/>
    <n v="12"/>
    <s v="Mobile Wallet"/>
    <x v="1"/>
    <n v="24"/>
  </r>
  <r>
    <n v="1863"/>
    <x v="7"/>
    <x v="79"/>
    <x v="1"/>
    <x v="2"/>
    <x v="0"/>
    <x v="1"/>
    <n v="2"/>
    <n v="12"/>
    <s v="Mobile Wallet"/>
    <x v="1"/>
    <n v="24"/>
  </r>
  <r>
    <n v="1505"/>
    <x v="5"/>
    <x v="88"/>
    <x v="0"/>
    <x v="6"/>
    <x v="3"/>
    <x v="2"/>
    <n v="4"/>
    <n v="20"/>
    <s v="Card"/>
    <x v="2"/>
    <n v="80"/>
  </r>
  <r>
    <n v="1894"/>
    <x v="7"/>
    <x v="55"/>
    <x v="1"/>
    <x v="2"/>
    <x v="3"/>
    <x v="1"/>
    <n v="4"/>
    <n v="12"/>
    <s v="Cash"/>
    <x v="2"/>
    <n v="48"/>
  </r>
  <r>
    <n v="1780"/>
    <x v="2"/>
    <x v="20"/>
    <x v="0"/>
    <x v="4"/>
    <x v="1"/>
    <x v="2"/>
    <n v="4"/>
    <n v="20"/>
    <s v="Mobile Wallet"/>
    <x v="2"/>
    <n v="80"/>
  </r>
  <r>
    <n v="349"/>
    <x v="2"/>
    <x v="10"/>
    <x v="2"/>
    <x v="0"/>
    <x v="1"/>
    <x v="0"/>
    <n v="3"/>
    <n v="25"/>
    <s v="Mobile Wallet"/>
    <x v="2"/>
    <n v="75"/>
  </r>
  <r>
    <n v="1991"/>
    <x v="6"/>
    <x v="56"/>
    <x v="0"/>
    <x v="3"/>
    <x v="1"/>
    <x v="1"/>
    <n v="5"/>
    <n v="12"/>
    <s v="Card"/>
    <x v="0"/>
    <n v="60"/>
  </r>
  <r>
    <n v="429"/>
    <x v="3"/>
    <x v="45"/>
    <x v="2"/>
    <x v="3"/>
    <x v="3"/>
    <x v="1"/>
    <n v="3"/>
    <n v="12"/>
    <s v="Card"/>
    <x v="2"/>
    <n v="36"/>
  </r>
  <r>
    <n v="1879"/>
    <x v="6"/>
    <x v="60"/>
    <x v="1"/>
    <x v="0"/>
    <x v="2"/>
    <x v="0"/>
    <n v="3"/>
    <n v="25"/>
    <s v="Cash"/>
    <x v="0"/>
    <n v="75"/>
  </r>
  <r>
    <n v="538"/>
    <x v="5"/>
    <x v="8"/>
    <x v="0"/>
    <x v="2"/>
    <x v="2"/>
    <x v="1"/>
    <n v="5"/>
    <n v="12"/>
    <s v="Card"/>
    <x v="2"/>
    <n v="60"/>
  </r>
  <r>
    <n v="413"/>
    <x v="0"/>
    <x v="53"/>
    <x v="1"/>
    <x v="6"/>
    <x v="2"/>
    <x v="1"/>
    <n v="5"/>
    <n v="12"/>
    <s v="Mobile Wallet"/>
    <x v="2"/>
    <n v="60"/>
  </r>
  <r>
    <n v="713"/>
    <x v="3"/>
    <x v="14"/>
    <x v="1"/>
    <x v="0"/>
    <x v="2"/>
    <x v="1"/>
    <n v="5"/>
    <n v="12"/>
    <s v="Cash"/>
    <x v="0"/>
    <n v="60"/>
  </r>
  <r>
    <n v="1120"/>
    <x v="0"/>
    <x v="80"/>
    <x v="1"/>
    <x v="3"/>
    <x v="1"/>
    <x v="1"/>
    <n v="5"/>
    <n v="12"/>
    <s v="Card"/>
    <x v="0"/>
    <n v="60"/>
  </r>
  <r>
    <n v="561"/>
    <x v="6"/>
    <x v="28"/>
    <x v="2"/>
    <x v="0"/>
    <x v="2"/>
    <x v="4"/>
    <n v="1"/>
    <n v="8"/>
    <s v="Card"/>
    <x v="2"/>
    <n v="8"/>
  </r>
  <r>
    <n v="1"/>
    <x v="5"/>
    <x v="49"/>
    <x v="2"/>
    <x v="1"/>
    <x v="0"/>
    <x v="1"/>
    <n v="2"/>
    <n v="12"/>
    <s v="Card"/>
    <x v="1"/>
    <n v="24"/>
  </r>
  <r>
    <n v="647"/>
    <x v="1"/>
    <x v="28"/>
    <x v="2"/>
    <x v="0"/>
    <x v="2"/>
    <x v="3"/>
    <n v="3"/>
    <n v="30"/>
    <s v="Mobile Wallet"/>
    <x v="3"/>
    <n v="90"/>
  </r>
  <r>
    <n v="1793"/>
    <x v="5"/>
    <x v="24"/>
    <x v="0"/>
    <x v="2"/>
    <x v="0"/>
    <x v="0"/>
    <n v="3"/>
    <n v="25"/>
    <s v="Mobile Wallet"/>
    <x v="0"/>
    <n v="75"/>
  </r>
  <r>
    <n v="1551"/>
    <x v="1"/>
    <x v="27"/>
    <x v="1"/>
    <x v="5"/>
    <x v="3"/>
    <x v="2"/>
    <n v="2"/>
    <n v="20"/>
    <s v="Card"/>
    <x v="2"/>
    <n v="40"/>
  </r>
  <r>
    <n v="195"/>
    <x v="5"/>
    <x v="9"/>
    <x v="0"/>
    <x v="2"/>
    <x v="3"/>
    <x v="1"/>
    <n v="4"/>
    <n v="12"/>
    <s v="Card"/>
    <x v="0"/>
    <n v="48"/>
  </r>
  <r>
    <n v="139"/>
    <x v="5"/>
    <x v="69"/>
    <x v="1"/>
    <x v="1"/>
    <x v="2"/>
    <x v="1"/>
    <n v="4"/>
    <n v="12"/>
    <s v="Card"/>
    <x v="3"/>
    <n v="48"/>
  </r>
  <r>
    <n v="1062"/>
    <x v="1"/>
    <x v="16"/>
    <x v="0"/>
    <x v="0"/>
    <x v="2"/>
    <x v="1"/>
    <n v="1"/>
    <n v="12"/>
    <s v="Card"/>
    <x v="0"/>
    <n v="12"/>
  </r>
  <r>
    <n v="1720"/>
    <x v="3"/>
    <x v="46"/>
    <x v="1"/>
    <x v="3"/>
    <x v="2"/>
    <x v="1"/>
    <n v="1"/>
    <n v="12"/>
    <s v="Card"/>
    <x v="0"/>
    <n v="12"/>
  </r>
  <r>
    <n v="235"/>
    <x v="6"/>
    <x v="29"/>
    <x v="1"/>
    <x v="1"/>
    <x v="3"/>
    <x v="4"/>
    <n v="5"/>
    <n v="8"/>
    <s v="Card"/>
    <x v="2"/>
    <n v="40"/>
  </r>
  <r>
    <n v="1488"/>
    <x v="3"/>
    <x v="12"/>
    <x v="2"/>
    <x v="3"/>
    <x v="0"/>
    <x v="1"/>
    <n v="4"/>
    <n v="12"/>
    <s v="Card"/>
    <x v="1"/>
    <n v="48"/>
  </r>
  <r>
    <n v="303"/>
    <x v="7"/>
    <x v="11"/>
    <x v="1"/>
    <x v="4"/>
    <x v="0"/>
    <x v="0"/>
    <n v="5"/>
    <n v="25"/>
    <s v="Cash"/>
    <x v="1"/>
    <n v="125"/>
  </r>
  <r>
    <n v="604"/>
    <x v="0"/>
    <x v="16"/>
    <x v="0"/>
    <x v="0"/>
    <x v="3"/>
    <x v="1"/>
    <n v="1"/>
    <n v="12"/>
    <s v="Mobile Wallet"/>
    <x v="2"/>
    <n v="12"/>
  </r>
  <r>
    <n v="1751"/>
    <x v="6"/>
    <x v="31"/>
    <x v="2"/>
    <x v="0"/>
    <x v="0"/>
    <x v="2"/>
    <n v="2"/>
    <n v="20"/>
    <s v="Card"/>
    <x v="1"/>
    <n v="40"/>
  </r>
  <r>
    <n v="503"/>
    <x v="1"/>
    <x v="15"/>
    <x v="0"/>
    <x v="4"/>
    <x v="3"/>
    <x v="0"/>
    <n v="1"/>
    <n v="25"/>
    <s v="Card"/>
    <x v="1"/>
    <n v="25"/>
  </r>
  <r>
    <n v="1433"/>
    <x v="0"/>
    <x v="85"/>
    <x v="2"/>
    <x v="6"/>
    <x v="3"/>
    <x v="4"/>
    <n v="5"/>
    <n v="8"/>
    <s v="Mobile Wallet"/>
    <x v="3"/>
    <n v="40"/>
  </r>
  <r>
    <n v="1872"/>
    <x v="1"/>
    <x v="16"/>
    <x v="0"/>
    <x v="0"/>
    <x v="0"/>
    <x v="1"/>
    <n v="4"/>
    <n v="12"/>
    <s v="Card"/>
    <x v="1"/>
    <n v="48"/>
  </r>
  <r>
    <n v="600"/>
    <x v="0"/>
    <x v="2"/>
    <x v="2"/>
    <x v="2"/>
    <x v="0"/>
    <x v="1"/>
    <n v="3"/>
    <n v="12"/>
    <s v="Cash"/>
    <x v="1"/>
    <n v="36"/>
  </r>
  <r>
    <n v="1885"/>
    <x v="3"/>
    <x v="4"/>
    <x v="0"/>
    <x v="1"/>
    <x v="2"/>
    <x v="2"/>
    <n v="2"/>
    <n v="20"/>
    <s v="Card"/>
    <x v="1"/>
    <n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300474-4851-49C2-B2D1-7E201812CB3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6" firstHeaderRow="1" firstDataRow="1" firstDataCol="1"/>
  <pivotFields count="14">
    <pivotField showAll="0"/>
    <pivotField showAll="0"/>
    <pivotField numFmtId="14" showAll="0">
      <items count="93">
        <item x="58"/>
        <item x="61"/>
        <item x="27"/>
        <item x="69"/>
        <item x="30"/>
        <item x="60"/>
        <item x="86"/>
        <item x="7"/>
        <item x="21"/>
        <item x="91"/>
        <item x="1"/>
        <item x="79"/>
        <item x="14"/>
        <item x="57"/>
        <item x="46"/>
        <item x="53"/>
        <item x="89"/>
        <item x="29"/>
        <item x="55"/>
        <item x="25"/>
        <item x="5"/>
        <item x="54"/>
        <item x="90"/>
        <item x="6"/>
        <item x="64"/>
        <item x="71"/>
        <item x="34"/>
        <item x="11"/>
        <item x="80"/>
        <item x="62"/>
        <item x="63"/>
        <item x="51"/>
        <item x="8"/>
        <item x="16"/>
        <item x="87"/>
        <item x="56"/>
        <item x="88"/>
        <item x="83"/>
        <item x="82"/>
        <item x="42"/>
        <item x="59"/>
        <item x="15"/>
        <item x="3"/>
        <item x="50"/>
        <item x="35"/>
        <item x="66"/>
        <item x="33"/>
        <item x="0"/>
        <item x="20"/>
        <item x="84"/>
        <item x="81"/>
        <item x="48"/>
        <item x="4"/>
        <item x="9"/>
        <item x="18"/>
        <item x="47"/>
        <item x="72"/>
        <item x="70"/>
        <item x="65"/>
        <item x="38"/>
        <item x="24"/>
        <item x="37"/>
        <item x="41"/>
        <item x="45"/>
        <item x="85"/>
        <item x="43"/>
        <item x="49"/>
        <item x="2"/>
        <item x="23"/>
        <item x="39"/>
        <item x="75"/>
        <item x="67"/>
        <item x="52"/>
        <item x="44"/>
        <item x="26"/>
        <item x="10"/>
        <item x="78"/>
        <item x="13"/>
        <item x="73"/>
        <item x="32"/>
        <item x="74"/>
        <item x="36"/>
        <item x="28"/>
        <item x="77"/>
        <item x="12"/>
        <item x="19"/>
        <item x="17"/>
        <item x="22"/>
        <item x="40"/>
        <item x="31"/>
        <item x="68"/>
        <item x="76"/>
        <item t="default"/>
      </items>
    </pivotField>
    <pivotField showAll="0">
      <items count="4">
        <item h="1" x="1"/>
        <item h="1" x="0"/>
        <item x="2"/>
        <item t="default"/>
      </items>
    </pivotField>
    <pivotField axis="axisRow" showAll="0">
      <items count="8">
        <item x="4"/>
        <item x="3"/>
        <item x="6"/>
        <item x="5"/>
        <item x="1"/>
        <item x="2"/>
        <item x="0"/>
        <item t="default"/>
      </items>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8">
    <i>
      <x/>
    </i>
    <i>
      <x v="1"/>
    </i>
    <i>
      <x v="2"/>
    </i>
    <i>
      <x v="3"/>
    </i>
    <i>
      <x v="4"/>
    </i>
    <i>
      <x v="5"/>
    </i>
    <i>
      <x v="6"/>
    </i>
    <i t="grand">
      <x/>
    </i>
  </rowItems>
  <colItems count="1">
    <i/>
  </colItems>
  <dataFields count="1">
    <dataField name="Sum of Total_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A704ED-ABAE-45AF-A775-98D140FE5CC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9" firstHeaderRow="1" firstDataRow="1" firstDataCol="1"/>
  <pivotFields count="14">
    <pivotField showAll="0"/>
    <pivotField axis="axisRow" showAll="0" sortType="ascending">
      <items count="9">
        <item x="4"/>
        <item x="0"/>
        <item x="5"/>
        <item x="3"/>
        <item x="2"/>
        <item x="7"/>
        <item x="1"/>
        <item x="6"/>
        <item t="default"/>
      </items>
      <autoSortScope>
        <pivotArea dataOnly="0" outline="0" fieldPosition="0">
          <references count="1">
            <reference field="4294967294" count="1" selected="0">
              <x v="0"/>
            </reference>
          </references>
        </pivotArea>
      </autoSortScope>
    </pivotField>
    <pivotField numFmtId="14" showAll="0">
      <items count="93">
        <item x="58"/>
        <item x="61"/>
        <item x="27"/>
        <item x="69"/>
        <item x="30"/>
        <item x="60"/>
        <item x="86"/>
        <item x="7"/>
        <item x="21"/>
        <item x="91"/>
        <item x="1"/>
        <item x="79"/>
        <item x="14"/>
        <item x="57"/>
        <item x="46"/>
        <item x="53"/>
        <item x="89"/>
        <item x="29"/>
        <item x="55"/>
        <item x="25"/>
        <item x="5"/>
        <item x="54"/>
        <item x="90"/>
        <item x="6"/>
        <item x="64"/>
        <item x="71"/>
        <item x="34"/>
        <item x="11"/>
        <item x="80"/>
        <item x="62"/>
        <item x="63"/>
        <item x="51"/>
        <item x="8"/>
        <item x="16"/>
        <item x="87"/>
        <item x="56"/>
        <item x="88"/>
        <item x="83"/>
        <item x="82"/>
        <item x="42"/>
        <item x="59"/>
        <item x="15"/>
        <item x="3"/>
        <item x="50"/>
        <item x="35"/>
        <item x="66"/>
        <item x="33"/>
        <item x="0"/>
        <item x="20"/>
        <item x="84"/>
        <item x="81"/>
        <item x="48"/>
        <item x="4"/>
        <item x="9"/>
        <item x="18"/>
        <item x="47"/>
        <item x="72"/>
        <item x="70"/>
        <item x="65"/>
        <item x="38"/>
        <item x="24"/>
        <item x="37"/>
        <item x="41"/>
        <item x="45"/>
        <item x="85"/>
        <item x="43"/>
        <item x="49"/>
        <item x="2"/>
        <item x="23"/>
        <item x="39"/>
        <item x="75"/>
        <item x="67"/>
        <item x="52"/>
        <item x="44"/>
        <item x="26"/>
        <item x="10"/>
        <item x="78"/>
        <item x="13"/>
        <item x="73"/>
        <item x="32"/>
        <item x="74"/>
        <item x="36"/>
        <item x="28"/>
        <item x="77"/>
        <item x="12"/>
        <item x="19"/>
        <item x="17"/>
        <item x="22"/>
        <item x="40"/>
        <item x="31"/>
        <item x="68"/>
        <item x="76"/>
        <item t="default"/>
      </items>
    </pivotField>
    <pivotField showAll="0">
      <items count="4">
        <item h="1" x="1"/>
        <item h="1" x="0"/>
        <item x="2"/>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9">
    <i>
      <x v="7"/>
    </i>
    <i>
      <x v="2"/>
    </i>
    <i>
      <x v="6"/>
    </i>
    <i>
      <x v="5"/>
    </i>
    <i>
      <x v="4"/>
    </i>
    <i>
      <x v="1"/>
    </i>
    <i>
      <x/>
    </i>
    <i>
      <x v="3"/>
    </i>
    <i t="grand">
      <x/>
    </i>
  </rowItems>
  <colItems count="1">
    <i/>
  </colItems>
  <dataFields count="1">
    <dataField name="Sum of Total_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550497-5CCB-4C8E-A20A-8D9FFDFCBC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numFmtId="14" showAll="0">
      <items count="93">
        <item x="58"/>
        <item x="61"/>
        <item x="27"/>
        <item x="69"/>
        <item x="30"/>
        <item x="60"/>
        <item x="86"/>
        <item x="7"/>
        <item x="21"/>
        <item x="91"/>
        <item x="1"/>
        <item x="79"/>
        <item x="14"/>
        <item x="57"/>
        <item x="46"/>
        <item x="53"/>
        <item x="89"/>
        <item x="29"/>
        <item x="55"/>
        <item x="25"/>
        <item x="5"/>
        <item x="54"/>
        <item x="90"/>
        <item x="6"/>
        <item x="64"/>
        <item x="71"/>
        <item x="34"/>
        <item x="11"/>
        <item x="80"/>
        <item x="62"/>
        <item x="63"/>
        <item x="51"/>
        <item x="8"/>
        <item x="16"/>
        <item x="87"/>
        <item x="56"/>
        <item x="88"/>
        <item x="83"/>
        <item x="82"/>
        <item x="42"/>
        <item x="59"/>
        <item x="15"/>
        <item x="3"/>
        <item x="50"/>
        <item x="35"/>
        <item x="66"/>
        <item x="33"/>
        <item x="0"/>
        <item x="20"/>
        <item x="84"/>
        <item x="81"/>
        <item x="48"/>
        <item x="4"/>
        <item x="9"/>
        <item x="18"/>
        <item x="47"/>
        <item x="72"/>
        <item x="70"/>
        <item x="65"/>
        <item x="38"/>
        <item x="24"/>
        <item x="37"/>
        <item x="41"/>
        <item x="45"/>
        <item x="85"/>
        <item x="43"/>
        <item x="49"/>
        <item x="2"/>
        <item x="23"/>
        <item x="39"/>
        <item x="75"/>
        <item x="67"/>
        <item x="52"/>
        <item x="44"/>
        <item x="26"/>
        <item x="10"/>
        <item x="78"/>
        <item x="13"/>
        <item x="73"/>
        <item x="32"/>
        <item x="74"/>
        <item x="36"/>
        <item x="28"/>
        <item x="77"/>
        <item x="12"/>
        <item x="19"/>
        <item x="17"/>
        <item x="22"/>
        <item x="40"/>
        <item x="31"/>
        <item x="68"/>
        <item x="76"/>
        <item t="default"/>
      </items>
    </pivotField>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_Revenue" fld="11" baseField="0" baseItem="0"/>
  </dataFields>
  <formats count="2">
    <format dxfId="35">
      <pivotArea dataOnly="0" labelOnly="1" outline="0" axis="axisValues" fieldPosition="0"/>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119B39-2276-402E-998F-B4DCB98153B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4">
    <pivotField dataField="1" showAll="0"/>
    <pivotField showAll="0"/>
    <pivotField numFmtId="14" showAll="0">
      <items count="93">
        <item x="58"/>
        <item x="61"/>
        <item x="27"/>
        <item x="69"/>
        <item x="30"/>
        <item x="60"/>
        <item x="86"/>
        <item x="7"/>
        <item x="21"/>
        <item x="91"/>
        <item x="1"/>
        <item x="79"/>
        <item x="14"/>
        <item x="57"/>
        <item x="46"/>
        <item x="53"/>
        <item x="89"/>
        <item x="29"/>
        <item x="55"/>
        <item x="25"/>
        <item x="5"/>
        <item x="54"/>
        <item x="90"/>
        <item x="6"/>
        <item x="64"/>
        <item x="71"/>
        <item x="34"/>
        <item x="11"/>
        <item x="80"/>
        <item x="62"/>
        <item x="63"/>
        <item x="51"/>
        <item x="8"/>
        <item x="16"/>
        <item x="87"/>
        <item x="56"/>
        <item x="88"/>
        <item x="83"/>
        <item x="82"/>
        <item x="42"/>
        <item x="59"/>
        <item x="15"/>
        <item x="3"/>
        <item x="50"/>
        <item x="35"/>
        <item x="66"/>
        <item x="33"/>
        <item x="0"/>
        <item x="20"/>
        <item x="84"/>
        <item x="81"/>
        <item x="48"/>
        <item x="4"/>
        <item x="9"/>
        <item x="18"/>
        <item x="47"/>
        <item x="72"/>
        <item x="70"/>
        <item x="65"/>
        <item x="38"/>
        <item x="24"/>
        <item x="37"/>
        <item x="41"/>
        <item x="45"/>
        <item x="85"/>
        <item x="43"/>
        <item x="49"/>
        <item x="2"/>
        <item x="23"/>
        <item x="39"/>
        <item x="75"/>
        <item x="67"/>
        <item x="52"/>
        <item x="44"/>
        <item x="26"/>
        <item x="10"/>
        <item x="78"/>
        <item x="13"/>
        <item x="73"/>
        <item x="32"/>
        <item x="74"/>
        <item x="36"/>
        <item x="28"/>
        <item x="77"/>
        <item x="12"/>
        <item x="19"/>
        <item x="17"/>
        <item x="22"/>
        <item x="40"/>
        <item x="31"/>
        <item x="68"/>
        <item x="76"/>
        <item t="default"/>
      </items>
    </pivotField>
    <pivotField showAll="0">
      <items count="4">
        <item h="1" x="1"/>
        <item h="1" x="0"/>
        <item x="2"/>
        <item t="default"/>
      </items>
    </pivotField>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Sales_ID" fld="0" subtotal="count" baseField="0" baseItem="0" numFmtId="164"/>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979BC0-FD47-4EA4-9A30-D9A7D09D2CE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B67" firstHeaderRow="1" firstDataRow="1" firstDataCol="1"/>
  <pivotFields count="14">
    <pivotField showAll="0"/>
    <pivotField showAll="0"/>
    <pivotField numFmtId="14" showAll="0">
      <items count="93">
        <item x="58"/>
        <item x="61"/>
        <item x="27"/>
        <item x="69"/>
        <item x="30"/>
        <item x="60"/>
        <item x="86"/>
        <item x="7"/>
        <item x="21"/>
        <item x="91"/>
        <item x="1"/>
        <item x="79"/>
        <item x="14"/>
        <item x="57"/>
        <item x="46"/>
        <item x="53"/>
        <item x="89"/>
        <item x="29"/>
        <item x="55"/>
        <item x="25"/>
        <item x="5"/>
        <item x="54"/>
        <item x="90"/>
        <item x="6"/>
        <item x="64"/>
        <item x="71"/>
        <item x="34"/>
        <item x="11"/>
        <item x="80"/>
        <item x="62"/>
        <item x="63"/>
        <item x="51"/>
        <item x="8"/>
        <item x="16"/>
        <item x="87"/>
        <item x="56"/>
        <item x="88"/>
        <item x="83"/>
        <item x="82"/>
        <item x="42"/>
        <item x="59"/>
        <item x="15"/>
        <item x="3"/>
        <item x="50"/>
        <item x="35"/>
        <item x="66"/>
        <item x="33"/>
        <item x="0"/>
        <item x="20"/>
        <item x="84"/>
        <item x="81"/>
        <item x="48"/>
        <item x="4"/>
        <item x="9"/>
        <item x="18"/>
        <item x="47"/>
        <item x="72"/>
        <item x="70"/>
        <item x="65"/>
        <item x="38"/>
        <item x="24"/>
        <item x="37"/>
        <item x="41"/>
        <item x="45"/>
        <item x="85"/>
        <item x="43"/>
        <item x="49"/>
        <item x="2"/>
        <item x="23"/>
        <item x="39"/>
        <item x="75"/>
        <item x="67"/>
        <item x="52"/>
        <item x="44"/>
        <item x="26"/>
        <item x="10"/>
        <item x="78"/>
        <item x="13"/>
        <item x="73"/>
        <item x="32"/>
        <item x="74"/>
        <item x="36"/>
        <item x="28"/>
        <item x="77"/>
        <item x="12"/>
        <item x="19"/>
        <item x="17"/>
        <item x="22"/>
        <item x="40"/>
        <item x="31"/>
        <item x="68"/>
        <item x="76"/>
        <item t="default"/>
      </items>
    </pivotField>
    <pivotField showAll="0"/>
    <pivotField showAll="0"/>
    <pivotField showAll="0"/>
    <pivotField axis="axisRow" showAll="0">
      <items count="6">
        <item x="2"/>
        <item x="3"/>
        <item x="1"/>
        <item x="4"/>
        <item x="0"/>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i>
    <i>
      <x v="1"/>
    </i>
    <i>
      <x v="2"/>
    </i>
    <i>
      <x v="3"/>
    </i>
    <i>
      <x v="4"/>
    </i>
    <i t="grand">
      <x/>
    </i>
  </rowItems>
  <colItems count="1">
    <i/>
  </colItems>
  <dataFields count="1">
    <dataField name="Sum of Total_Revenue"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FA7A5C-992A-4FE3-8CED-BAAE8BDA426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B52" firstHeaderRow="1" firstDataRow="1" firstDataCol="1"/>
  <pivotFields count="14">
    <pivotField showAll="0"/>
    <pivotField showAll="0"/>
    <pivotField numFmtId="14" showAll="0">
      <items count="93">
        <item x="58"/>
        <item x="61"/>
        <item x="27"/>
        <item x="69"/>
        <item x="30"/>
        <item x="60"/>
        <item x="86"/>
        <item x="7"/>
        <item x="21"/>
        <item x="91"/>
        <item x="1"/>
        <item x="79"/>
        <item x="14"/>
        <item x="57"/>
        <item x="46"/>
        <item x="53"/>
        <item x="89"/>
        <item x="29"/>
        <item x="55"/>
        <item x="25"/>
        <item x="5"/>
        <item x="54"/>
        <item x="90"/>
        <item x="6"/>
        <item x="64"/>
        <item x="71"/>
        <item x="34"/>
        <item x="11"/>
        <item x="80"/>
        <item x="62"/>
        <item x="63"/>
        <item x="51"/>
        <item x="8"/>
        <item x="16"/>
        <item x="87"/>
        <item x="56"/>
        <item x="88"/>
        <item x="83"/>
        <item x="82"/>
        <item x="42"/>
        <item x="59"/>
        <item x="15"/>
        <item x="3"/>
        <item x="50"/>
        <item x="35"/>
        <item x="66"/>
        <item x="33"/>
        <item x="0"/>
        <item x="20"/>
        <item x="84"/>
        <item x="81"/>
        <item x="48"/>
        <item x="4"/>
        <item x="9"/>
        <item x="18"/>
        <item x="47"/>
        <item x="72"/>
        <item x="70"/>
        <item x="65"/>
        <item x="38"/>
        <item x="24"/>
        <item x="37"/>
        <item x="41"/>
        <item x="45"/>
        <item x="85"/>
        <item x="43"/>
        <item x="49"/>
        <item x="2"/>
        <item x="23"/>
        <item x="39"/>
        <item x="75"/>
        <item x="67"/>
        <item x="52"/>
        <item x="44"/>
        <item x="26"/>
        <item x="10"/>
        <item x="78"/>
        <item x="13"/>
        <item x="73"/>
        <item x="32"/>
        <item x="74"/>
        <item x="36"/>
        <item x="28"/>
        <item x="77"/>
        <item x="12"/>
        <item x="19"/>
        <item x="17"/>
        <item x="22"/>
        <item x="40"/>
        <item x="31"/>
        <item x="68"/>
        <item x="76"/>
        <item t="default"/>
      </items>
    </pivotField>
    <pivotField showAll="0">
      <items count="4">
        <item h="1" x="1"/>
        <item h="1" x="0"/>
        <item x="2"/>
        <item t="default"/>
      </items>
    </pivotField>
    <pivotField showAll="0"/>
    <pivotField showAll="0"/>
    <pivotField showAll="0"/>
    <pivotField showAll="0"/>
    <pivotField showAll="0"/>
    <pivotField showAll="0"/>
    <pivotField axis="axisRow" showAll="0">
      <items count="5">
        <item x="0"/>
        <item x="3"/>
        <item x="1"/>
        <item x="2"/>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5">
    <i>
      <x/>
    </i>
    <i>
      <x v="1"/>
    </i>
    <i>
      <x v="2"/>
    </i>
    <i>
      <x v="3"/>
    </i>
    <i t="grand">
      <x/>
    </i>
  </rowItems>
  <colItems count="1">
    <i/>
  </colItems>
  <dataFields count="1">
    <dataField name="Sum of Total_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5C6871-CCAB-4B5C-BDDA-E41CE7737A1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D12" firstHeaderRow="0" firstDataRow="1" firstDataCol="1"/>
  <pivotFields count="14">
    <pivotField dataField="1" showAll="0"/>
    <pivotField showAll="0"/>
    <pivotField numFmtId="14" showAll="0">
      <items count="93">
        <item x="58"/>
        <item x="61"/>
        <item x="27"/>
        <item x="69"/>
        <item x="30"/>
        <item x="60"/>
        <item x="86"/>
        <item x="7"/>
        <item x="21"/>
        <item x="91"/>
        <item x="1"/>
        <item x="79"/>
        <item x="14"/>
        <item x="57"/>
        <item x="46"/>
        <item x="53"/>
        <item x="89"/>
        <item x="29"/>
        <item x="55"/>
        <item x="25"/>
        <item x="5"/>
        <item x="54"/>
        <item x="90"/>
        <item x="6"/>
        <item x="64"/>
        <item x="71"/>
        <item x="34"/>
        <item x="11"/>
        <item x="80"/>
        <item x="62"/>
        <item x="63"/>
        <item x="51"/>
        <item x="8"/>
        <item x="16"/>
        <item x="87"/>
        <item x="56"/>
        <item x="88"/>
        <item x="83"/>
        <item x="82"/>
        <item x="42"/>
        <item x="59"/>
        <item x="15"/>
        <item x="3"/>
        <item x="50"/>
        <item x="35"/>
        <item x="66"/>
        <item x="33"/>
        <item x="0"/>
        <item x="20"/>
        <item x="84"/>
        <item x="81"/>
        <item x="48"/>
        <item x="4"/>
        <item x="9"/>
        <item x="18"/>
        <item x="47"/>
        <item x="72"/>
        <item x="70"/>
        <item x="65"/>
        <item x="38"/>
        <item x="24"/>
        <item x="37"/>
        <item x="41"/>
        <item x="45"/>
        <item x="85"/>
        <item x="43"/>
        <item x="49"/>
        <item x="2"/>
        <item x="23"/>
        <item x="39"/>
        <item x="75"/>
        <item x="67"/>
        <item x="52"/>
        <item x="44"/>
        <item x="26"/>
        <item x="10"/>
        <item x="78"/>
        <item x="13"/>
        <item x="73"/>
        <item x="32"/>
        <item x="74"/>
        <item x="36"/>
        <item x="28"/>
        <item x="77"/>
        <item x="12"/>
        <item x="19"/>
        <item x="17"/>
        <item x="22"/>
        <item x="40"/>
        <item x="31"/>
        <item x="68"/>
        <item x="76"/>
        <item t="default"/>
      </items>
    </pivotField>
    <pivotField axis="axisRow" showAll="0">
      <items count="4">
        <item h="1" x="1"/>
        <item h="1" x="0"/>
        <item x="2"/>
        <item t="default"/>
      </items>
    </pivotField>
    <pivotField showAll="0"/>
    <pivotField showAll="0"/>
    <pivotField showAll="0"/>
    <pivotField dataField="1"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
    <i>
      <x v="2"/>
    </i>
    <i t="grand">
      <x/>
    </i>
  </rowItems>
  <colFields count="1">
    <field x="-2"/>
  </colFields>
  <colItems count="3">
    <i>
      <x/>
    </i>
    <i i="1">
      <x v="1"/>
    </i>
    <i i="2">
      <x v="2"/>
    </i>
  </colItems>
  <dataFields count="3">
    <dataField name="Count of Sales_ID" fld="0" subtotal="count" baseField="0" baseItem="0"/>
    <dataField name="Sum of Tickets_Sold" fld="7" baseField="0" baseItem="0"/>
    <dataField name="Sum of Total_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FE1A5D-9263-45BA-A144-54F59C24ADF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4">
    <pivotField showAll="0"/>
    <pivotField showAll="0"/>
    <pivotField numFmtId="14" showAll="0">
      <items count="93">
        <item x="58"/>
        <item x="61"/>
        <item x="27"/>
        <item x="69"/>
        <item x="30"/>
        <item x="60"/>
        <item x="86"/>
        <item x="7"/>
        <item x="21"/>
        <item x="91"/>
        <item x="1"/>
        <item x="79"/>
        <item x="14"/>
        <item x="57"/>
        <item x="46"/>
        <item x="53"/>
        <item x="89"/>
        <item x="29"/>
        <item x="55"/>
        <item x="25"/>
        <item x="5"/>
        <item x="54"/>
        <item x="90"/>
        <item x="6"/>
        <item x="64"/>
        <item x="71"/>
        <item x="34"/>
        <item x="11"/>
        <item x="80"/>
        <item x="62"/>
        <item x="63"/>
        <item x="51"/>
        <item x="8"/>
        <item x="16"/>
        <item x="87"/>
        <item x="56"/>
        <item x="88"/>
        <item x="83"/>
        <item x="82"/>
        <item x="42"/>
        <item x="59"/>
        <item x="15"/>
        <item x="3"/>
        <item x="50"/>
        <item x="35"/>
        <item x="66"/>
        <item x="33"/>
        <item x="0"/>
        <item x="20"/>
        <item x="84"/>
        <item x="81"/>
        <item x="48"/>
        <item x="4"/>
        <item x="9"/>
        <item x="18"/>
        <item x="47"/>
        <item x="72"/>
        <item x="70"/>
        <item x="65"/>
        <item x="38"/>
        <item x="24"/>
        <item x="37"/>
        <item x="41"/>
        <item x="45"/>
        <item x="85"/>
        <item x="43"/>
        <item x="49"/>
        <item x="2"/>
        <item x="23"/>
        <item x="39"/>
        <item x="75"/>
        <item x="67"/>
        <item x="52"/>
        <item x="44"/>
        <item x="26"/>
        <item x="10"/>
        <item x="78"/>
        <item x="13"/>
        <item x="73"/>
        <item x="32"/>
        <item x="74"/>
        <item x="36"/>
        <item x="28"/>
        <item x="77"/>
        <item x="12"/>
        <item x="19"/>
        <item x="17"/>
        <item x="22"/>
        <item x="40"/>
        <item x="31"/>
        <item x="68"/>
        <item x="76"/>
        <item t="default"/>
      </items>
    </pivotField>
    <pivotField showAll="0">
      <items count="4">
        <item h="1" x="1"/>
        <item h="1" x="0"/>
        <item x="2"/>
        <item t="default"/>
      </items>
    </pivotField>
    <pivotField showAll="0"/>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ickets_Sold" fld="7" baseField="0" baseItem="0" numFmtId="164"/>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16D45F-6511-4F71-8E0E-F04D38A0154B}"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B80" firstHeaderRow="1" firstDataRow="1" firstDataCol="1"/>
  <pivotFields count="14">
    <pivotField dataField="1" showAll="0"/>
    <pivotField showAll="0"/>
    <pivotField numFmtId="14" showAll="0">
      <items count="93">
        <item x="58"/>
        <item x="61"/>
        <item x="27"/>
        <item x="69"/>
        <item x="30"/>
        <item x="60"/>
        <item x="86"/>
        <item x="7"/>
        <item x="21"/>
        <item x="91"/>
        <item x="1"/>
        <item x="79"/>
        <item x="14"/>
        <item x="57"/>
        <item x="46"/>
        <item x="53"/>
        <item x="89"/>
        <item x="29"/>
        <item x="55"/>
        <item x="25"/>
        <item x="5"/>
        <item x="54"/>
        <item x="90"/>
        <item x="6"/>
        <item x="64"/>
        <item x="71"/>
        <item x="34"/>
        <item x="11"/>
        <item x="80"/>
        <item x="62"/>
        <item x="63"/>
        <item x="51"/>
        <item x="8"/>
        <item x="16"/>
        <item x="87"/>
        <item x="56"/>
        <item x="88"/>
        <item x="83"/>
        <item x="82"/>
        <item x="42"/>
        <item x="59"/>
        <item x="15"/>
        <item x="3"/>
        <item x="50"/>
        <item x="35"/>
        <item x="66"/>
        <item x="33"/>
        <item x="0"/>
        <item x="20"/>
        <item x="84"/>
        <item x="81"/>
        <item x="48"/>
        <item x="4"/>
        <item x="9"/>
        <item x="18"/>
        <item x="47"/>
        <item x="72"/>
        <item x="70"/>
        <item x="65"/>
        <item x="38"/>
        <item x="24"/>
        <item x="37"/>
        <item x="41"/>
        <item x="45"/>
        <item x="85"/>
        <item x="43"/>
        <item x="49"/>
        <item x="2"/>
        <item x="23"/>
        <item x="39"/>
        <item x="75"/>
        <item x="67"/>
        <item x="52"/>
        <item x="44"/>
        <item x="26"/>
        <item x="10"/>
        <item x="78"/>
        <item x="13"/>
        <item x="73"/>
        <item x="32"/>
        <item x="74"/>
        <item x="36"/>
        <item x="28"/>
        <item x="77"/>
        <item x="12"/>
        <item x="19"/>
        <item x="17"/>
        <item x="22"/>
        <item x="40"/>
        <item x="31"/>
        <item x="68"/>
        <item x="76"/>
        <item t="default"/>
      </items>
    </pivotField>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v="1"/>
    </i>
    <i>
      <x v="2"/>
    </i>
    <i>
      <x/>
    </i>
    <i>
      <x v="3"/>
    </i>
    <i t="grand">
      <x/>
    </i>
  </rowItems>
  <colItems count="1">
    <i/>
  </colItems>
  <dataFields count="1">
    <dataField name="Count of Sales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273DAD-CA36-4D0C-8D8A-F6EC5E17D8C9}" name="PivotTable1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14">
    <pivotField dataField="1" showAll="0"/>
    <pivotField showAll="0"/>
    <pivotField numFmtId="14" showAll="0">
      <items count="93">
        <item x="58"/>
        <item x="61"/>
        <item x="27"/>
        <item x="69"/>
        <item x="30"/>
        <item x="60"/>
        <item x="86"/>
        <item x="7"/>
        <item x="21"/>
        <item x="91"/>
        <item x="1"/>
        <item x="79"/>
        <item x="14"/>
        <item x="57"/>
        <item x="46"/>
        <item x="53"/>
        <item x="89"/>
        <item x="29"/>
        <item x="55"/>
        <item x="25"/>
        <item x="5"/>
        <item x="54"/>
        <item x="90"/>
        <item x="6"/>
        <item x="64"/>
        <item x="71"/>
        <item x="34"/>
        <item x="11"/>
        <item x="80"/>
        <item x="62"/>
        <item x="63"/>
        <item x="51"/>
        <item x="8"/>
        <item x="16"/>
        <item x="87"/>
        <item x="56"/>
        <item x="88"/>
        <item x="83"/>
        <item x="82"/>
        <item x="42"/>
        <item x="59"/>
        <item x="15"/>
        <item x="3"/>
        <item x="50"/>
        <item x="35"/>
        <item x="66"/>
        <item x="33"/>
        <item x="0"/>
        <item x="20"/>
        <item x="84"/>
        <item x="81"/>
        <item x="48"/>
        <item x="4"/>
        <item x="9"/>
        <item x="18"/>
        <item x="47"/>
        <item x="72"/>
        <item x="70"/>
        <item x="65"/>
        <item x="38"/>
        <item x="24"/>
        <item x="37"/>
        <item x="41"/>
        <item x="45"/>
        <item x="85"/>
        <item x="43"/>
        <item x="49"/>
        <item x="2"/>
        <item x="23"/>
        <item x="39"/>
        <item x="75"/>
        <item x="67"/>
        <item x="52"/>
        <item x="44"/>
        <item x="26"/>
        <item x="10"/>
        <item x="78"/>
        <item x="13"/>
        <item x="73"/>
        <item x="32"/>
        <item x="74"/>
        <item x="36"/>
        <item x="28"/>
        <item x="77"/>
        <item x="12"/>
        <item x="19"/>
        <item x="17"/>
        <item x="22"/>
        <item x="40"/>
        <item x="31"/>
        <item x="68"/>
        <item x="76"/>
        <item t="default"/>
      </items>
    </pivotField>
    <pivotField showAll="0"/>
    <pivotField showAll="0"/>
    <pivotField showAll="0"/>
    <pivotField showAll="0"/>
    <pivotField dataField="1"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3">
    <i>
      <x/>
    </i>
    <i i="1">
      <x v="1"/>
    </i>
    <i i="2">
      <x v="2"/>
    </i>
  </rowItems>
  <colItems count="1">
    <i/>
  </colItems>
  <dataFields count="3">
    <dataField name="Sum of Total_Revenue" fld="11" baseField="0" baseItem="0" numFmtId="166"/>
    <dataField name="Count of Sales_ID" fld="0" subtotal="count" baseField="0" baseItem="0" numFmtId="164"/>
    <dataField name="Sum of Tickets_Sold" fld="7" baseField="0" baseItem="0" numFmtId="164"/>
  </dataFields>
  <formats count="3">
    <format dxfId="33">
      <pivotArea outline="0" collapsedLevelsAreSubtotals="1" fieldPosition="0"/>
    </format>
    <format dxfId="32">
      <pivotArea outline="0" collapsedLevelsAreSubtotals="1" fieldPosition="0">
        <references count="1">
          <reference field="4294967294" count="1" selected="0">
            <x v="1"/>
          </reference>
        </references>
      </pivotArea>
    </format>
    <format dxfId="3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0902B6A-D268-4E67-A2E5-5BCDAA201D6C}" sourceName="Month">
  <pivotTables>
    <pivotTable tabId="6" name="PivotTable13"/>
    <pivotTable tabId="6" name="PivotTable11"/>
    <pivotTable tabId="6" name="PivotTable12"/>
    <pivotTable tabId="6" name="PivotTable15"/>
    <pivotTable tabId="6" name="PivotTable16"/>
    <pivotTable tabId="6" name="PivotTable17"/>
  </pivotTables>
  <data>
    <tabular pivotCacheId="613062239">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13B28BD-06E8-46BD-988C-B281CF279CB1}"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DC1DDF7-3266-476C-8995-E824477C975B}" cache="Slicer_Month" caption="Month" columnCount="3" showCaption="0"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2A696ACF-80C0-4760-B1E3-FFA7431BAFEA}" cache="Slicer_Month" caption="Month" columnCount="3"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BF12ED-E669-45DF-B904-F82571AB8E71}" name="Nana" displayName="Nana" ref="A1:J2001" totalsRowShown="0">
  <autoFilter ref="A1:J2001" xr:uid="{76BFE143-DABE-47FC-85AB-EB14C25E666C}"/>
  <tableColumns count="10">
    <tableColumn id="1" xr3:uid="{D52E3151-DCD7-41B2-BF46-E57B65A8DEDB}" name="Sales_ID"/>
    <tableColumn id="2" xr3:uid="{03540D90-0199-46C5-A4F8-990243C18FD0}" name="Movie_Name"/>
    <tableColumn id="3" xr3:uid="{6B686FE1-C068-4419-954B-C71111C9D6E1}" name="Show_Date" dataDxfId="38"/>
    <tableColumn id="4" xr3:uid="{66A6A12E-B2D0-417B-A31C-1F51838DF175}" name="Show_Time"/>
    <tableColumn id="5" xr3:uid="{7B401EC5-E268-4679-9D82-C5FF9A7C28A0}" name="Ticket_Category"/>
    <tableColumn id="6" xr3:uid="{0563B124-129A-45B0-9BA6-7F895B41C110}" name="Tickets_Sold"/>
    <tableColumn id="7" xr3:uid="{2B963CCE-DE0E-457B-8E5D-1A1411B9B7CD}" name="Ticket_Price"/>
    <tableColumn id="8" xr3:uid="{3F5BE2AE-B8BC-40DC-BC33-285A9D40382A}" name="Payment_Method"/>
    <tableColumn id="9" xr3:uid="{6C758775-F6A2-44EF-8AFA-24F7C55C62A4}" name="Cinema_Branch"/>
    <tableColumn id="10" xr3:uid="{14B3BD39-0AF5-4AF3-BB48-3D1739411C0A}" name="Total_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BFE143-DABE-47FC-85AB-EB14C25E666C}" name="FMData" displayName="FMData" ref="A1:L2001" totalsRowShown="0">
  <autoFilter ref="A1:L2001" xr:uid="{76BFE143-DABE-47FC-85AB-EB14C25E666C}"/>
  <tableColumns count="12">
    <tableColumn id="1" xr3:uid="{5F58D5AE-20D6-4AA7-B064-7E12B84C8F19}" name="Sales_ID"/>
    <tableColumn id="2" xr3:uid="{01A4910D-F5E0-40DD-9D6A-2BFACFD20734}" name="Movie_Name"/>
    <tableColumn id="3" xr3:uid="{92A9080D-39FC-4423-9565-113A514FFAD8}" name="Show_Date" dataDxfId="30"/>
    <tableColumn id="11" xr3:uid="{4C6A1456-346C-4660-AD8F-1C3EE609EDF7}" name="Month" dataDxfId="29">
      <calculatedColumnFormula>TEXT(FMData[[#This Row],[Show_Date]],"mmm")</calculatedColumnFormula>
    </tableColumn>
    <tableColumn id="12" xr3:uid="{FC7EEACA-B3B9-4530-B623-732B03E96F39}" name="Weekday" dataDxfId="28">
      <calculatedColumnFormula>TEXT(FMData[[#This Row],[Show_Date]],"ddd")</calculatedColumnFormula>
    </tableColumn>
    <tableColumn id="4" xr3:uid="{79E3B370-402F-4194-B7CB-F5108B37A6D1}" name="Show_Time"/>
    <tableColumn id="5" xr3:uid="{7AF10D8A-C7C6-4504-A25D-152BA9E88496}" name="Ticket_Category"/>
    <tableColumn id="6" xr3:uid="{7B997A98-77D7-409D-8283-2630E8D98E8C}" name="Tickets_Sold"/>
    <tableColumn id="7" xr3:uid="{D98CEE72-1B4F-438E-A90C-7119C4A00B57}" name="Ticket_Price"/>
    <tableColumn id="8" xr3:uid="{B7301A5F-C1DB-4879-9EF9-FE5DE6E3310E}" name="Payment_Method"/>
    <tableColumn id="9" xr3:uid="{42974CAB-2457-4853-9EFD-A838D4FEBB21}" name="Cinema_Branch"/>
    <tableColumn id="10" xr3:uid="{834693CD-680A-4E6C-93D0-94221B64C0F6}" name="Total_Revenu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6E769-6179-4F4C-A7E3-50636EA3473A}">
  <dimension ref="A1:J2001"/>
  <sheetViews>
    <sheetView workbookViewId="0">
      <selection activeCell="B4" sqref="B4"/>
    </sheetView>
  </sheetViews>
  <sheetFormatPr defaultRowHeight="14.4" x14ac:dyDescent="0.3"/>
  <cols>
    <col min="1" max="1" width="9.77734375" customWidth="1"/>
    <col min="2" max="2" width="26.21875" bestFit="1" customWidth="1"/>
    <col min="3" max="3" width="14.5546875" style="1" customWidth="1"/>
    <col min="4" max="4" width="11.77734375" customWidth="1"/>
    <col min="5" max="5" width="16.21875" customWidth="1"/>
    <col min="6" max="6" width="13.21875" customWidth="1"/>
    <col min="7" max="7" width="12.88671875" customWidth="1"/>
    <col min="8" max="8" width="18" customWidth="1"/>
    <col min="9" max="9" width="15.88671875" customWidth="1"/>
    <col min="10" max="10" width="15.21875" customWidth="1"/>
  </cols>
  <sheetData>
    <row r="1" spans="1:10" x14ac:dyDescent="0.3">
      <c r="A1" t="s">
        <v>0</v>
      </c>
      <c r="B1" t="s">
        <v>1</v>
      </c>
      <c r="C1" s="1" t="s">
        <v>2</v>
      </c>
      <c r="D1" t="s">
        <v>3</v>
      </c>
      <c r="E1" t="s">
        <v>4</v>
      </c>
      <c r="F1" t="s">
        <v>5</v>
      </c>
      <c r="G1" t="s">
        <v>6</v>
      </c>
      <c r="H1" t="s">
        <v>7</v>
      </c>
      <c r="I1" t="s">
        <v>8</v>
      </c>
      <c r="J1" t="s">
        <v>9</v>
      </c>
    </row>
    <row r="2" spans="1:10" x14ac:dyDescent="0.3">
      <c r="A2">
        <v>1354</v>
      </c>
      <c r="B2" t="s">
        <v>10</v>
      </c>
      <c r="C2" s="1">
        <v>45886</v>
      </c>
      <c r="D2" t="s">
        <v>11</v>
      </c>
      <c r="E2" t="s">
        <v>12</v>
      </c>
      <c r="F2">
        <v>4</v>
      </c>
      <c r="G2">
        <v>25</v>
      </c>
      <c r="H2" t="s">
        <v>13</v>
      </c>
      <c r="I2" t="s">
        <v>14</v>
      </c>
      <c r="J2">
        <v>100</v>
      </c>
    </row>
    <row r="3" spans="1:10" x14ac:dyDescent="0.3">
      <c r="A3">
        <v>1890</v>
      </c>
      <c r="B3" t="s">
        <v>15</v>
      </c>
      <c r="C3" s="1">
        <v>45849</v>
      </c>
      <c r="D3" t="s">
        <v>16</v>
      </c>
      <c r="E3" t="s">
        <v>17</v>
      </c>
      <c r="F3">
        <v>5</v>
      </c>
      <c r="G3">
        <v>12</v>
      </c>
      <c r="H3" t="s">
        <v>13</v>
      </c>
      <c r="I3" t="s">
        <v>18</v>
      </c>
      <c r="J3">
        <v>60</v>
      </c>
    </row>
    <row r="4" spans="1:10" x14ac:dyDescent="0.3">
      <c r="A4">
        <v>386</v>
      </c>
      <c r="B4" t="s">
        <v>19</v>
      </c>
      <c r="C4" s="1">
        <v>45906</v>
      </c>
      <c r="D4" t="s">
        <v>20</v>
      </c>
      <c r="E4" t="s">
        <v>12</v>
      </c>
      <c r="F4">
        <v>1</v>
      </c>
      <c r="G4">
        <v>25</v>
      </c>
      <c r="H4" t="s">
        <v>21</v>
      </c>
      <c r="I4" t="s">
        <v>18</v>
      </c>
      <c r="J4">
        <v>25</v>
      </c>
    </row>
    <row r="5" spans="1:10" x14ac:dyDescent="0.3">
      <c r="A5">
        <v>1406</v>
      </c>
      <c r="B5" t="s">
        <v>19</v>
      </c>
      <c r="C5" s="1">
        <v>45881</v>
      </c>
      <c r="D5" t="s">
        <v>11</v>
      </c>
      <c r="E5" t="s">
        <v>22</v>
      </c>
      <c r="F5">
        <v>5</v>
      </c>
      <c r="G5">
        <v>20</v>
      </c>
      <c r="H5" t="s">
        <v>23</v>
      </c>
      <c r="I5" t="s">
        <v>18</v>
      </c>
      <c r="J5">
        <v>100</v>
      </c>
    </row>
    <row r="6" spans="1:10" x14ac:dyDescent="0.3">
      <c r="A6">
        <v>1425</v>
      </c>
      <c r="B6" t="s">
        <v>19</v>
      </c>
      <c r="C6" s="1">
        <v>45891</v>
      </c>
      <c r="D6" t="s">
        <v>11</v>
      </c>
      <c r="E6" t="s">
        <v>22</v>
      </c>
      <c r="F6">
        <v>2</v>
      </c>
      <c r="G6">
        <v>20</v>
      </c>
      <c r="H6" t="s">
        <v>21</v>
      </c>
      <c r="I6" t="s">
        <v>14</v>
      </c>
      <c r="J6">
        <v>40</v>
      </c>
    </row>
    <row r="7" spans="1:10" x14ac:dyDescent="0.3">
      <c r="A7">
        <v>39</v>
      </c>
      <c r="B7" t="s">
        <v>24</v>
      </c>
      <c r="C7" s="1">
        <v>45859</v>
      </c>
      <c r="D7" t="s">
        <v>20</v>
      </c>
      <c r="E7" t="s">
        <v>17</v>
      </c>
      <c r="F7">
        <v>4</v>
      </c>
      <c r="G7">
        <v>12</v>
      </c>
      <c r="H7" t="s">
        <v>13</v>
      </c>
      <c r="I7" t="s">
        <v>25</v>
      </c>
      <c r="J7">
        <v>48</v>
      </c>
    </row>
    <row r="8" spans="1:10" x14ac:dyDescent="0.3">
      <c r="A8">
        <v>1412</v>
      </c>
      <c r="B8" t="s">
        <v>26</v>
      </c>
      <c r="C8" s="1">
        <v>45906</v>
      </c>
      <c r="D8" t="s">
        <v>11</v>
      </c>
      <c r="E8" t="s">
        <v>17</v>
      </c>
      <c r="F8">
        <v>2</v>
      </c>
      <c r="G8">
        <v>12</v>
      </c>
      <c r="H8" t="s">
        <v>23</v>
      </c>
      <c r="I8" t="s">
        <v>25</v>
      </c>
      <c r="J8">
        <v>24</v>
      </c>
    </row>
    <row r="9" spans="1:10" x14ac:dyDescent="0.3">
      <c r="A9">
        <v>1845</v>
      </c>
      <c r="B9" t="s">
        <v>10</v>
      </c>
      <c r="C9" s="1">
        <v>45862</v>
      </c>
      <c r="D9" t="s">
        <v>20</v>
      </c>
      <c r="E9" t="s">
        <v>17</v>
      </c>
      <c r="F9">
        <v>1</v>
      </c>
      <c r="G9">
        <v>12</v>
      </c>
      <c r="H9" t="s">
        <v>21</v>
      </c>
      <c r="I9" t="s">
        <v>27</v>
      </c>
      <c r="J9">
        <v>12</v>
      </c>
    </row>
    <row r="10" spans="1:10" x14ac:dyDescent="0.3">
      <c r="A10">
        <v>1285</v>
      </c>
      <c r="B10" t="s">
        <v>28</v>
      </c>
      <c r="C10" s="1">
        <v>45846</v>
      </c>
      <c r="D10" t="s">
        <v>20</v>
      </c>
      <c r="E10" t="s">
        <v>17</v>
      </c>
      <c r="F10">
        <v>4</v>
      </c>
      <c r="G10">
        <v>12</v>
      </c>
      <c r="H10" t="s">
        <v>21</v>
      </c>
      <c r="I10" t="s">
        <v>27</v>
      </c>
      <c r="J10">
        <v>48</v>
      </c>
    </row>
    <row r="11" spans="1:10" x14ac:dyDescent="0.3">
      <c r="A11">
        <v>1223</v>
      </c>
      <c r="B11" t="s">
        <v>24</v>
      </c>
      <c r="C11" s="1">
        <v>45871</v>
      </c>
      <c r="D11" t="s">
        <v>20</v>
      </c>
      <c r="E11" t="s">
        <v>17</v>
      </c>
      <c r="F11">
        <v>5</v>
      </c>
      <c r="G11">
        <v>12</v>
      </c>
      <c r="H11" t="s">
        <v>23</v>
      </c>
      <c r="I11" t="s">
        <v>18</v>
      </c>
      <c r="J11">
        <v>60</v>
      </c>
    </row>
    <row r="12" spans="1:10" x14ac:dyDescent="0.3">
      <c r="A12">
        <v>1471</v>
      </c>
      <c r="B12" t="s">
        <v>15</v>
      </c>
      <c r="C12" s="1">
        <v>45892</v>
      </c>
      <c r="D12" t="s">
        <v>16</v>
      </c>
      <c r="E12" t="s">
        <v>17</v>
      </c>
      <c r="F12">
        <v>1</v>
      </c>
      <c r="G12">
        <v>12</v>
      </c>
      <c r="H12" t="s">
        <v>21</v>
      </c>
      <c r="I12" t="s">
        <v>14</v>
      </c>
      <c r="J12">
        <v>12</v>
      </c>
    </row>
    <row r="13" spans="1:10" x14ac:dyDescent="0.3">
      <c r="A13">
        <v>506</v>
      </c>
      <c r="B13" t="s">
        <v>24</v>
      </c>
      <c r="C13" s="1">
        <v>45914</v>
      </c>
      <c r="D13" t="s">
        <v>11</v>
      </c>
      <c r="E13" t="s">
        <v>17</v>
      </c>
      <c r="F13">
        <v>4</v>
      </c>
      <c r="G13">
        <v>12</v>
      </c>
      <c r="H13" t="s">
        <v>13</v>
      </c>
      <c r="I13" t="s">
        <v>27</v>
      </c>
      <c r="J13">
        <v>48</v>
      </c>
    </row>
    <row r="14" spans="1:10" x14ac:dyDescent="0.3">
      <c r="A14">
        <v>357</v>
      </c>
      <c r="B14" t="s">
        <v>24</v>
      </c>
      <c r="C14" s="1">
        <v>45866</v>
      </c>
      <c r="D14" t="s">
        <v>11</v>
      </c>
      <c r="E14" t="s">
        <v>29</v>
      </c>
      <c r="F14">
        <v>4</v>
      </c>
      <c r="G14">
        <v>30</v>
      </c>
      <c r="H14" t="s">
        <v>21</v>
      </c>
      <c r="I14" t="s">
        <v>18</v>
      </c>
      <c r="J14">
        <v>120</v>
      </c>
    </row>
    <row r="15" spans="1:10" x14ac:dyDescent="0.3">
      <c r="A15">
        <v>774</v>
      </c>
      <c r="B15" t="s">
        <v>24</v>
      </c>
      <c r="C15" s="1">
        <v>45923</v>
      </c>
      <c r="D15" t="s">
        <v>11</v>
      </c>
      <c r="E15" t="s">
        <v>17</v>
      </c>
      <c r="F15">
        <v>1</v>
      </c>
      <c r="G15">
        <v>12</v>
      </c>
      <c r="H15" t="s">
        <v>23</v>
      </c>
      <c r="I15" t="s">
        <v>14</v>
      </c>
      <c r="J15">
        <v>12</v>
      </c>
    </row>
    <row r="16" spans="1:10" x14ac:dyDescent="0.3">
      <c r="A16">
        <v>639</v>
      </c>
      <c r="B16" t="s">
        <v>24</v>
      </c>
      <c r="C16" s="1">
        <v>45916</v>
      </c>
      <c r="D16" t="s">
        <v>11</v>
      </c>
      <c r="E16" t="s">
        <v>29</v>
      </c>
      <c r="F16">
        <v>5</v>
      </c>
      <c r="G16">
        <v>30</v>
      </c>
      <c r="H16" t="s">
        <v>23</v>
      </c>
      <c r="I16" t="s">
        <v>27</v>
      </c>
      <c r="J16">
        <v>150</v>
      </c>
    </row>
    <row r="17" spans="1:10" x14ac:dyDescent="0.3">
      <c r="A17">
        <v>1153</v>
      </c>
      <c r="B17" t="s">
        <v>24</v>
      </c>
      <c r="C17" s="1">
        <v>45851</v>
      </c>
      <c r="D17" t="s">
        <v>11</v>
      </c>
      <c r="E17" t="s">
        <v>30</v>
      </c>
      <c r="F17">
        <v>2</v>
      </c>
      <c r="G17">
        <v>8</v>
      </c>
      <c r="H17" t="s">
        <v>23</v>
      </c>
      <c r="I17" t="s">
        <v>14</v>
      </c>
      <c r="J17">
        <v>16</v>
      </c>
    </row>
    <row r="18" spans="1:10" x14ac:dyDescent="0.3">
      <c r="A18">
        <v>1016</v>
      </c>
      <c r="B18" t="s">
        <v>24</v>
      </c>
      <c r="C18" s="1">
        <v>45880</v>
      </c>
      <c r="D18" t="s">
        <v>16</v>
      </c>
      <c r="E18" t="s">
        <v>17</v>
      </c>
      <c r="F18">
        <v>1</v>
      </c>
      <c r="G18">
        <v>12</v>
      </c>
      <c r="H18" t="s">
        <v>23</v>
      </c>
      <c r="I18" t="s">
        <v>14</v>
      </c>
      <c r="J18">
        <v>12</v>
      </c>
    </row>
    <row r="19" spans="1:10" x14ac:dyDescent="0.3">
      <c r="A19">
        <v>1098</v>
      </c>
      <c r="B19" t="s">
        <v>24</v>
      </c>
      <c r="C19" s="1">
        <v>45872</v>
      </c>
      <c r="D19" t="s">
        <v>16</v>
      </c>
      <c r="E19" t="s">
        <v>17</v>
      </c>
      <c r="F19">
        <v>4</v>
      </c>
      <c r="G19">
        <v>12</v>
      </c>
      <c r="H19" t="s">
        <v>13</v>
      </c>
      <c r="I19" t="s">
        <v>14</v>
      </c>
      <c r="J19">
        <v>48</v>
      </c>
    </row>
    <row r="20" spans="1:10" x14ac:dyDescent="0.3">
      <c r="A20">
        <v>352</v>
      </c>
      <c r="B20" t="s">
        <v>24</v>
      </c>
      <c r="C20" s="1">
        <v>45851</v>
      </c>
      <c r="D20" t="s">
        <v>11</v>
      </c>
      <c r="E20" t="s">
        <v>29</v>
      </c>
      <c r="F20">
        <v>1</v>
      </c>
      <c r="G20">
        <v>30</v>
      </c>
      <c r="H20" t="s">
        <v>23</v>
      </c>
      <c r="I20" t="s">
        <v>27</v>
      </c>
      <c r="J20">
        <v>30</v>
      </c>
    </row>
    <row r="21" spans="1:10" x14ac:dyDescent="0.3">
      <c r="A21">
        <v>9</v>
      </c>
      <c r="B21" t="s">
        <v>28</v>
      </c>
      <c r="C21" s="1">
        <v>45925</v>
      </c>
      <c r="D21" t="s">
        <v>11</v>
      </c>
      <c r="E21" t="s">
        <v>17</v>
      </c>
      <c r="F21">
        <v>4</v>
      </c>
      <c r="G21">
        <v>12</v>
      </c>
      <c r="H21" t="s">
        <v>23</v>
      </c>
      <c r="I21" t="s">
        <v>18</v>
      </c>
      <c r="J21">
        <v>48</v>
      </c>
    </row>
    <row r="22" spans="1:10" x14ac:dyDescent="0.3">
      <c r="A22">
        <v>182</v>
      </c>
      <c r="B22" t="s">
        <v>28</v>
      </c>
      <c r="C22" s="1">
        <v>45893</v>
      </c>
      <c r="D22" t="s">
        <v>11</v>
      </c>
      <c r="E22" t="s">
        <v>17</v>
      </c>
      <c r="F22">
        <v>1</v>
      </c>
      <c r="G22">
        <v>12</v>
      </c>
      <c r="H22" t="s">
        <v>21</v>
      </c>
      <c r="I22" t="s">
        <v>14</v>
      </c>
      <c r="J22">
        <v>12</v>
      </c>
    </row>
    <row r="23" spans="1:10" x14ac:dyDescent="0.3">
      <c r="A23">
        <v>1353</v>
      </c>
      <c r="B23" t="s">
        <v>28</v>
      </c>
      <c r="C23" s="1">
        <v>45886</v>
      </c>
      <c r="D23" t="s">
        <v>11</v>
      </c>
      <c r="E23" t="s">
        <v>29</v>
      </c>
      <c r="F23">
        <v>1</v>
      </c>
      <c r="G23">
        <v>30</v>
      </c>
      <c r="H23" t="s">
        <v>13</v>
      </c>
      <c r="I23" t="s">
        <v>18</v>
      </c>
      <c r="J23">
        <v>30</v>
      </c>
    </row>
    <row r="24" spans="1:10" x14ac:dyDescent="0.3">
      <c r="A24">
        <v>1724</v>
      </c>
      <c r="B24" t="s">
        <v>26</v>
      </c>
      <c r="C24" s="1">
        <v>45924</v>
      </c>
      <c r="D24" t="s">
        <v>11</v>
      </c>
      <c r="E24" t="s">
        <v>17</v>
      </c>
      <c r="F24">
        <v>4</v>
      </c>
      <c r="G24">
        <v>12</v>
      </c>
      <c r="H24" t="s">
        <v>23</v>
      </c>
      <c r="I24" t="s">
        <v>25</v>
      </c>
      <c r="J24">
        <v>48</v>
      </c>
    </row>
    <row r="25" spans="1:10" x14ac:dyDescent="0.3">
      <c r="A25">
        <v>884</v>
      </c>
      <c r="B25" t="s">
        <v>19</v>
      </c>
      <c r="C25" s="1">
        <v>45881</v>
      </c>
      <c r="D25" t="s">
        <v>11</v>
      </c>
      <c r="E25" t="s">
        <v>17</v>
      </c>
      <c r="F25">
        <v>1</v>
      </c>
      <c r="G25">
        <v>12</v>
      </c>
      <c r="H25" t="s">
        <v>23</v>
      </c>
      <c r="I25" t="s">
        <v>18</v>
      </c>
      <c r="J25">
        <v>12</v>
      </c>
    </row>
    <row r="26" spans="1:10" x14ac:dyDescent="0.3">
      <c r="A26">
        <v>958</v>
      </c>
      <c r="B26" t="s">
        <v>24</v>
      </c>
      <c r="C26" s="1">
        <v>45887</v>
      </c>
      <c r="D26" t="s">
        <v>11</v>
      </c>
      <c r="E26" t="s">
        <v>22</v>
      </c>
      <c r="F26">
        <v>2</v>
      </c>
      <c r="G26">
        <v>20</v>
      </c>
      <c r="H26" t="s">
        <v>13</v>
      </c>
      <c r="I26" t="s">
        <v>18</v>
      </c>
      <c r="J26">
        <v>40</v>
      </c>
    </row>
    <row r="27" spans="1:10" x14ac:dyDescent="0.3">
      <c r="A27">
        <v>267</v>
      </c>
      <c r="B27" t="s">
        <v>31</v>
      </c>
      <c r="C27" s="1">
        <v>45851</v>
      </c>
      <c r="D27" t="s">
        <v>16</v>
      </c>
      <c r="E27" t="s">
        <v>12</v>
      </c>
      <c r="F27">
        <v>1</v>
      </c>
      <c r="G27">
        <v>25</v>
      </c>
      <c r="H27" t="s">
        <v>23</v>
      </c>
      <c r="I27" t="s">
        <v>25</v>
      </c>
      <c r="J27">
        <v>25</v>
      </c>
    </row>
    <row r="28" spans="1:10" x14ac:dyDescent="0.3">
      <c r="A28">
        <v>1192</v>
      </c>
      <c r="B28" t="s">
        <v>32</v>
      </c>
      <c r="C28" s="1">
        <v>45847</v>
      </c>
      <c r="D28" t="s">
        <v>16</v>
      </c>
      <c r="E28" t="s">
        <v>29</v>
      </c>
      <c r="F28">
        <v>3</v>
      </c>
      <c r="G28">
        <v>30</v>
      </c>
      <c r="H28" t="s">
        <v>13</v>
      </c>
      <c r="I28" t="s">
        <v>18</v>
      </c>
      <c r="J28">
        <v>90</v>
      </c>
    </row>
    <row r="29" spans="1:10" x14ac:dyDescent="0.3">
      <c r="A29">
        <v>1009</v>
      </c>
      <c r="B29" t="s">
        <v>31</v>
      </c>
      <c r="C29" s="1">
        <v>45926</v>
      </c>
      <c r="D29" t="s">
        <v>16</v>
      </c>
      <c r="E29" t="s">
        <v>30</v>
      </c>
      <c r="F29">
        <v>2</v>
      </c>
      <c r="G29">
        <v>8</v>
      </c>
      <c r="H29" t="s">
        <v>13</v>
      </c>
      <c r="I29" t="s">
        <v>25</v>
      </c>
      <c r="J29">
        <v>16</v>
      </c>
    </row>
    <row r="30" spans="1:10" x14ac:dyDescent="0.3">
      <c r="A30">
        <v>94</v>
      </c>
      <c r="B30" t="s">
        <v>10</v>
      </c>
      <c r="C30" s="1">
        <v>45862</v>
      </c>
      <c r="D30" t="s">
        <v>20</v>
      </c>
      <c r="E30" t="s">
        <v>12</v>
      </c>
      <c r="F30">
        <v>3</v>
      </c>
      <c r="G30">
        <v>25</v>
      </c>
      <c r="H30" t="s">
        <v>21</v>
      </c>
      <c r="I30" t="s">
        <v>27</v>
      </c>
      <c r="J30">
        <v>75</v>
      </c>
    </row>
    <row r="31" spans="1:10" x14ac:dyDescent="0.3">
      <c r="A31">
        <v>1041</v>
      </c>
      <c r="B31" t="s">
        <v>15</v>
      </c>
      <c r="C31" s="1">
        <v>45907</v>
      </c>
      <c r="D31" t="s">
        <v>11</v>
      </c>
      <c r="E31" t="s">
        <v>17</v>
      </c>
      <c r="F31">
        <v>2</v>
      </c>
      <c r="G31">
        <v>12</v>
      </c>
      <c r="H31" t="s">
        <v>21</v>
      </c>
      <c r="I31" t="s">
        <v>25</v>
      </c>
      <c r="J31">
        <v>24</v>
      </c>
    </row>
    <row r="32" spans="1:10" x14ac:dyDescent="0.3">
      <c r="A32">
        <v>1244</v>
      </c>
      <c r="B32" t="s">
        <v>28</v>
      </c>
      <c r="C32" s="1">
        <v>45871</v>
      </c>
      <c r="D32" t="s">
        <v>20</v>
      </c>
      <c r="E32" t="s">
        <v>30</v>
      </c>
      <c r="F32">
        <v>5</v>
      </c>
      <c r="G32">
        <v>8</v>
      </c>
      <c r="H32" t="s">
        <v>13</v>
      </c>
      <c r="I32" t="s">
        <v>27</v>
      </c>
      <c r="J32">
        <v>40</v>
      </c>
    </row>
    <row r="33" spans="1:10" x14ac:dyDescent="0.3">
      <c r="A33">
        <v>1147</v>
      </c>
      <c r="B33" t="s">
        <v>28</v>
      </c>
      <c r="C33" s="1">
        <v>45887</v>
      </c>
      <c r="D33" t="s">
        <v>20</v>
      </c>
      <c r="E33" t="s">
        <v>22</v>
      </c>
      <c r="F33">
        <v>1</v>
      </c>
      <c r="G33">
        <v>20</v>
      </c>
      <c r="H33" t="s">
        <v>13</v>
      </c>
      <c r="I33" t="s">
        <v>14</v>
      </c>
      <c r="J33">
        <v>20</v>
      </c>
    </row>
    <row r="34" spans="1:10" x14ac:dyDescent="0.3">
      <c r="A34">
        <v>163</v>
      </c>
      <c r="B34" t="s">
        <v>19</v>
      </c>
      <c r="C34" s="1">
        <v>45899</v>
      </c>
      <c r="D34" t="s">
        <v>20</v>
      </c>
      <c r="E34" t="s">
        <v>17</v>
      </c>
      <c r="F34">
        <v>1</v>
      </c>
      <c r="G34">
        <v>12</v>
      </c>
      <c r="H34" t="s">
        <v>13</v>
      </c>
      <c r="I34" t="s">
        <v>14</v>
      </c>
      <c r="J34">
        <v>12</v>
      </c>
    </row>
    <row r="35" spans="1:10" x14ac:dyDescent="0.3">
      <c r="A35">
        <v>1052</v>
      </c>
      <c r="B35" t="s">
        <v>24</v>
      </c>
      <c r="C35" s="1">
        <v>45858</v>
      </c>
      <c r="D35" t="s">
        <v>20</v>
      </c>
      <c r="E35" t="s">
        <v>17</v>
      </c>
      <c r="F35">
        <v>5</v>
      </c>
      <c r="G35">
        <v>12</v>
      </c>
      <c r="H35" t="s">
        <v>13</v>
      </c>
      <c r="I35" t="s">
        <v>25</v>
      </c>
      <c r="J35">
        <v>60</v>
      </c>
    </row>
    <row r="36" spans="1:10" x14ac:dyDescent="0.3">
      <c r="A36">
        <v>507</v>
      </c>
      <c r="B36" t="s">
        <v>19</v>
      </c>
      <c r="C36" s="1">
        <v>45913</v>
      </c>
      <c r="D36" t="s">
        <v>20</v>
      </c>
      <c r="E36" t="s">
        <v>22</v>
      </c>
      <c r="F36">
        <v>1</v>
      </c>
      <c r="G36">
        <v>20</v>
      </c>
      <c r="H36" t="s">
        <v>13</v>
      </c>
      <c r="I36" t="s">
        <v>14</v>
      </c>
      <c r="J36">
        <v>20</v>
      </c>
    </row>
    <row r="37" spans="1:10" x14ac:dyDescent="0.3">
      <c r="A37">
        <v>370</v>
      </c>
      <c r="B37" t="s">
        <v>28</v>
      </c>
      <c r="C37" s="1">
        <v>45841</v>
      </c>
      <c r="D37" t="s">
        <v>20</v>
      </c>
      <c r="E37" t="s">
        <v>30</v>
      </c>
      <c r="F37">
        <v>4</v>
      </c>
      <c r="G37">
        <v>8</v>
      </c>
      <c r="H37" t="s">
        <v>23</v>
      </c>
      <c r="I37" t="s">
        <v>27</v>
      </c>
      <c r="J37">
        <v>32</v>
      </c>
    </row>
    <row r="38" spans="1:10" x14ac:dyDescent="0.3">
      <c r="A38">
        <v>1191</v>
      </c>
      <c r="B38" t="s">
        <v>32</v>
      </c>
      <c r="C38" s="1">
        <v>45921</v>
      </c>
      <c r="D38" t="s">
        <v>20</v>
      </c>
      <c r="E38" t="s">
        <v>17</v>
      </c>
      <c r="F38">
        <v>1</v>
      </c>
      <c r="G38">
        <v>12</v>
      </c>
      <c r="H38" t="s">
        <v>23</v>
      </c>
      <c r="I38" t="s">
        <v>27</v>
      </c>
      <c r="J38">
        <v>12</v>
      </c>
    </row>
    <row r="39" spans="1:10" x14ac:dyDescent="0.3">
      <c r="A39">
        <v>316</v>
      </c>
      <c r="B39" t="s">
        <v>19</v>
      </c>
      <c r="C39" s="1">
        <v>45856</v>
      </c>
      <c r="D39" t="s">
        <v>33</v>
      </c>
      <c r="E39" t="s">
        <v>17</v>
      </c>
      <c r="F39">
        <v>3</v>
      </c>
      <c r="G39">
        <v>12</v>
      </c>
      <c r="H39" t="s">
        <v>23</v>
      </c>
      <c r="I39" t="s">
        <v>18</v>
      </c>
      <c r="J39">
        <v>36</v>
      </c>
    </row>
    <row r="40" spans="1:10" x14ac:dyDescent="0.3">
      <c r="A40">
        <v>1172</v>
      </c>
      <c r="B40" t="s">
        <v>32</v>
      </c>
      <c r="C40" s="1">
        <v>45843</v>
      </c>
      <c r="D40" t="s">
        <v>11</v>
      </c>
      <c r="E40" t="s">
        <v>17</v>
      </c>
      <c r="F40">
        <v>1</v>
      </c>
      <c r="G40">
        <v>12</v>
      </c>
      <c r="H40" t="s">
        <v>23</v>
      </c>
      <c r="I40" t="s">
        <v>18</v>
      </c>
      <c r="J40">
        <v>12</v>
      </c>
    </row>
    <row r="41" spans="1:10" x14ac:dyDescent="0.3">
      <c r="A41">
        <v>184</v>
      </c>
      <c r="B41" t="s">
        <v>32</v>
      </c>
      <c r="C41" s="1">
        <v>45928</v>
      </c>
      <c r="D41" t="s">
        <v>11</v>
      </c>
      <c r="E41" t="s">
        <v>17</v>
      </c>
      <c r="F41">
        <v>2</v>
      </c>
      <c r="G41">
        <v>12</v>
      </c>
      <c r="H41" t="s">
        <v>23</v>
      </c>
      <c r="I41" t="s">
        <v>25</v>
      </c>
      <c r="J41">
        <v>24</v>
      </c>
    </row>
    <row r="42" spans="1:10" x14ac:dyDescent="0.3">
      <c r="A42">
        <v>1766</v>
      </c>
      <c r="B42" t="s">
        <v>19</v>
      </c>
      <c r="C42" s="1">
        <v>45918</v>
      </c>
      <c r="D42" t="s">
        <v>11</v>
      </c>
      <c r="E42" t="s">
        <v>17</v>
      </c>
      <c r="F42">
        <v>1</v>
      </c>
      <c r="G42">
        <v>12</v>
      </c>
      <c r="H42" t="s">
        <v>23</v>
      </c>
      <c r="I42" t="s">
        <v>14</v>
      </c>
      <c r="J42">
        <v>12</v>
      </c>
    </row>
    <row r="43" spans="1:10" x14ac:dyDescent="0.3">
      <c r="A43">
        <v>1073</v>
      </c>
      <c r="B43" t="s">
        <v>26</v>
      </c>
      <c r="C43" s="1">
        <v>45885</v>
      </c>
      <c r="D43" t="s">
        <v>11</v>
      </c>
      <c r="E43" t="s">
        <v>17</v>
      </c>
      <c r="F43">
        <v>2</v>
      </c>
      <c r="G43">
        <v>12</v>
      </c>
      <c r="H43" t="s">
        <v>21</v>
      </c>
      <c r="I43" t="s">
        <v>14</v>
      </c>
      <c r="J43">
        <v>24</v>
      </c>
    </row>
    <row r="44" spans="1:10" x14ac:dyDescent="0.3">
      <c r="A44">
        <v>826</v>
      </c>
      <c r="B44" t="s">
        <v>31</v>
      </c>
      <c r="C44" s="1">
        <v>45865</v>
      </c>
      <c r="D44" t="s">
        <v>11</v>
      </c>
      <c r="E44" t="s">
        <v>22</v>
      </c>
      <c r="F44">
        <v>1</v>
      </c>
      <c r="G44">
        <v>20</v>
      </c>
      <c r="H44" t="s">
        <v>13</v>
      </c>
      <c r="I44" t="s">
        <v>14</v>
      </c>
      <c r="J44">
        <v>20</v>
      </c>
    </row>
    <row r="45" spans="1:10" x14ac:dyDescent="0.3">
      <c r="A45">
        <v>1446</v>
      </c>
      <c r="B45" t="s">
        <v>24</v>
      </c>
      <c r="C45" s="1">
        <v>45883</v>
      </c>
      <c r="D45" t="s">
        <v>11</v>
      </c>
      <c r="E45" t="s">
        <v>12</v>
      </c>
      <c r="F45">
        <v>5</v>
      </c>
      <c r="G45">
        <v>25</v>
      </c>
      <c r="H45" t="s">
        <v>23</v>
      </c>
      <c r="I45" t="s">
        <v>18</v>
      </c>
      <c r="J45">
        <v>125</v>
      </c>
    </row>
    <row r="46" spans="1:10" x14ac:dyDescent="0.3">
      <c r="A46">
        <v>50</v>
      </c>
      <c r="B46" t="s">
        <v>10</v>
      </c>
      <c r="C46" s="1">
        <v>45899</v>
      </c>
      <c r="D46" t="s">
        <v>11</v>
      </c>
      <c r="E46" t="s">
        <v>17</v>
      </c>
      <c r="F46">
        <v>3</v>
      </c>
      <c r="G46">
        <v>12</v>
      </c>
      <c r="H46" t="s">
        <v>21</v>
      </c>
      <c r="I46" t="s">
        <v>18</v>
      </c>
      <c r="J46">
        <v>36</v>
      </c>
    </row>
    <row r="47" spans="1:10" x14ac:dyDescent="0.3">
      <c r="A47">
        <v>874</v>
      </c>
      <c r="B47" t="s">
        <v>24</v>
      </c>
      <c r="C47" s="1">
        <v>45886</v>
      </c>
      <c r="D47" t="s">
        <v>11</v>
      </c>
      <c r="E47" t="s">
        <v>17</v>
      </c>
      <c r="F47">
        <v>4</v>
      </c>
      <c r="G47">
        <v>12</v>
      </c>
      <c r="H47" t="s">
        <v>13</v>
      </c>
      <c r="I47" t="s">
        <v>18</v>
      </c>
      <c r="J47">
        <v>48</v>
      </c>
    </row>
    <row r="48" spans="1:10" x14ac:dyDescent="0.3">
      <c r="A48">
        <v>749</v>
      </c>
      <c r="B48" t="s">
        <v>24</v>
      </c>
      <c r="C48" s="1">
        <v>45920</v>
      </c>
      <c r="D48" t="s">
        <v>11</v>
      </c>
      <c r="E48" t="s">
        <v>22</v>
      </c>
      <c r="F48">
        <v>5</v>
      </c>
      <c r="G48">
        <v>20</v>
      </c>
      <c r="H48" t="s">
        <v>13</v>
      </c>
      <c r="I48" t="s">
        <v>14</v>
      </c>
      <c r="J48">
        <v>100</v>
      </c>
    </row>
    <row r="49" spans="1:10" x14ac:dyDescent="0.3">
      <c r="A49">
        <v>1011</v>
      </c>
      <c r="B49" t="s">
        <v>15</v>
      </c>
      <c r="C49" s="1">
        <v>45900</v>
      </c>
      <c r="D49" t="s">
        <v>11</v>
      </c>
      <c r="E49" t="s">
        <v>12</v>
      </c>
      <c r="F49">
        <v>1</v>
      </c>
      <c r="G49">
        <v>25</v>
      </c>
      <c r="H49" t="s">
        <v>21</v>
      </c>
      <c r="I49" t="s">
        <v>27</v>
      </c>
      <c r="J49">
        <v>25</v>
      </c>
    </row>
    <row r="50" spans="1:10" x14ac:dyDescent="0.3">
      <c r="A50">
        <v>897</v>
      </c>
      <c r="B50" t="s">
        <v>10</v>
      </c>
      <c r="C50" s="1">
        <v>45886</v>
      </c>
      <c r="D50" t="s">
        <v>11</v>
      </c>
      <c r="E50" t="s">
        <v>12</v>
      </c>
      <c r="F50">
        <v>5</v>
      </c>
      <c r="G50">
        <v>25</v>
      </c>
      <c r="H50" t="s">
        <v>21</v>
      </c>
      <c r="I50" t="s">
        <v>14</v>
      </c>
      <c r="J50">
        <v>125</v>
      </c>
    </row>
    <row r="51" spans="1:10" x14ac:dyDescent="0.3">
      <c r="A51">
        <v>38</v>
      </c>
      <c r="B51" t="s">
        <v>24</v>
      </c>
      <c r="C51" s="1">
        <v>45865</v>
      </c>
      <c r="D51" t="s">
        <v>11</v>
      </c>
      <c r="E51" t="s">
        <v>17</v>
      </c>
      <c r="F51">
        <v>2</v>
      </c>
      <c r="G51">
        <v>12</v>
      </c>
      <c r="H51" t="s">
        <v>21</v>
      </c>
      <c r="I51" t="s">
        <v>27</v>
      </c>
      <c r="J51">
        <v>24</v>
      </c>
    </row>
    <row r="52" spans="1:10" x14ac:dyDescent="0.3">
      <c r="A52">
        <v>406</v>
      </c>
      <c r="B52" t="s">
        <v>24</v>
      </c>
      <c r="C52" s="1">
        <v>45898</v>
      </c>
      <c r="D52" t="s">
        <v>11</v>
      </c>
      <c r="E52" t="s">
        <v>12</v>
      </c>
      <c r="F52">
        <v>5</v>
      </c>
      <c r="G52">
        <v>25</v>
      </c>
      <c r="H52" t="s">
        <v>23</v>
      </c>
      <c r="I52" t="s">
        <v>27</v>
      </c>
      <c r="J52">
        <v>125</v>
      </c>
    </row>
    <row r="53" spans="1:10" x14ac:dyDescent="0.3">
      <c r="A53">
        <v>337</v>
      </c>
      <c r="B53" t="s">
        <v>24</v>
      </c>
      <c r="C53" s="1">
        <v>45908</v>
      </c>
      <c r="D53" t="s">
        <v>11</v>
      </c>
      <c r="E53" t="s">
        <v>17</v>
      </c>
      <c r="F53">
        <v>2</v>
      </c>
      <c r="G53">
        <v>12</v>
      </c>
      <c r="H53" t="s">
        <v>13</v>
      </c>
      <c r="I53" t="s">
        <v>14</v>
      </c>
      <c r="J53">
        <v>24</v>
      </c>
    </row>
    <row r="54" spans="1:10" x14ac:dyDescent="0.3">
      <c r="A54">
        <v>912</v>
      </c>
      <c r="B54" t="s">
        <v>24</v>
      </c>
      <c r="C54" s="1">
        <v>45893</v>
      </c>
      <c r="D54" t="s">
        <v>33</v>
      </c>
      <c r="E54" t="s">
        <v>17</v>
      </c>
      <c r="F54">
        <v>1</v>
      </c>
      <c r="G54">
        <v>12</v>
      </c>
      <c r="H54" t="s">
        <v>21</v>
      </c>
      <c r="I54" t="s">
        <v>14</v>
      </c>
      <c r="J54">
        <v>12</v>
      </c>
    </row>
    <row r="55" spans="1:10" x14ac:dyDescent="0.3">
      <c r="A55">
        <v>1492</v>
      </c>
      <c r="B55" t="s">
        <v>24</v>
      </c>
      <c r="C55" s="1">
        <v>45927</v>
      </c>
      <c r="D55" t="s">
        <v>33</v>
      </c>
      <c r="E55" t="s">
        <v>12</v>
      </c>
      <c r="F55">
        <v>5</v>
      </c>
      <c r="G55">
        <v>25</v>
      </c>
      <c r="H55" t="s">
        <v>21</v>
      </c>
      <c r="I55" t="s">
        <v>14</v>
      </c>
      <c r="J55">
        <v>125</v>
      </c>
    </row>
    <row r="56" spans="1:10" x14ac:dyDescent="0.3">
      <c r="A56">
        <v>736</v>
      </c>
      <c r="B56" t="s">
        <v>24</v>
      </c>
      <c r="C56" s="1">
        <v>45901</v>
      </c>
      <c r="D56" t="s">
        <v>20</v>
      </c>
      <c r="E56" t="s">
        <v>30</v>
      </c>
      <c r="F56">
        <v>5</v>
      </c>
      <c r="G56">
        <v>8</v>
      </c>
      <c r="H56" t="s">
        <v>21</v>
      </c>
      <c r="I56" t="s">
        <v>25</v>
      </c>
      <c r="J56">
        <v>40</v>
      </c>
    </row>
    <row r="57" spans="1:10" x14ac:dyDescent="0.3">
      <c r="A57">
        <v>1742</v>
      </c>
      <c r="B57" t="s">
        <v>24</v>
      </c>
      <c r="C57" s="1">
        <v>45928</v>
      </c>
      <c r="D57" t="s">
        <v>20</v>
      </c>
      <c r="E57" t="s">
        <v>22</v>
      </c>
      <c r="F57">
        <v>2</v>
      </c>
      <c r="G57">
        <v>20</v>
      </c>
      <c r="H57" t="s">
        <v>21</v>
      </c>
      <c r="I57" t="s">
        <v>25</v>
      </c>
      <c r="J57">
        <v>40</v>
      </c>
    </row>
    <row r="58" spans="1:10" x14ac:dyDescent="0.3">
      <c r="A58">
        <v>164</v>
      </c>
      <c r="B58" t="s">
        <v>24</v>
      </c>
      <c r="C58" s="1">
        <v>45878</v>
      </c>
      <c r="D58" t="s">
        <v>16</v>
      </c>
      <c r="E58" t="s">
        <v>22</v>
      </c>
      <c r="F58">
        <v>5</v>
      </c>
      <c r="G58">
        <v>20</v>
      </c>
      <c r="H58" t="s">
        <v>23</v>
      </c>
      <c r="I58" t="s">
        <v>14</v>
      </c>
      <c r="J58">
        <v>100</v>
      </c>
    </row>
    <row r="59" spans="1:10" x14ac:dyDescent="0.3">
      <c r="A59">
        <v>1987</v>
      </c>
      <c r="B59" t="s">
        <v>24</v>
      </c>
      <c r="C59" s="1">
        <v>45904</v>
      </c>
      <c r="D59" t="s">
        <v>16</v>
      </c>
      <c r="E59" t="s">
        <v>17</v>
      </c>
      <c r="F59">
        <v>2</v>
      </c>
      <c r="G59">
        <v>12</v>
      </c>
      <c r="H59" t="s">
        <v>13</v>
      </c>
      <c r="I59" t="s">
        <v>14</v>
      </c>
      <c r="J59">
        <v>24</v>
      </c>
    </row>
    <row r="60" spans="1:10" x14ac:dyDescent="0.3">
      <c r="A60">
        <v>85</v>
      </c>
      <c r="B60" t="s">
        <v>24</v>
      </c>
      <c r="C60" s="1">
        <v>45912</v>
      </c>
      <c r="D60" t="s">
        <v>16</v>
      </c>
      <c r="E60" t="s">
        <v>12</v>
      </c>
      <c r="F60">
        <v>3</v>
      </c>
      <c r="G60">
        <v>25</v>
      </c>
      <c r="H60" t="s">
        <v>23</v>
      </c>
      <c r="I60" t="s">
        <v>18</v>
      </c>
      <c r="J60">
        <v>75</v>
      </c>
    </row>
    <row r="61" spans="1:10" x14ac:dyDescent="0.3">
      <c r="A61">
        <v>1892</v>
      </c>
      <c r="B61" t="s">
        <v>24</v>
      </c>
      <c r="C61" s="1">
        <v>45898</v>
      </c>
      <c r="D61" t="s">
        <v>11</v>
      </c>
      <c r="E61" t="s">
        <v>12</v>
      </c>
      <c r="F61">
        <v>2</v>
      </c>
      <c r="G61">
        <v>25</v>
      </c>
      <c r="H61" t="s">
        <v>13</v>
      </c>
      <c r="I61" t="s">
        <v>14</v>
      </c>
      <c r="J61">
        <v>50</v>
      </c>
    </row>
    <row r="62" spans="1:10" x14ac:dyDescent="0.3">
      <c r="A62">
        <v>1518</v>
      </c>
      <c r="B62" t="s">
        <v>24</v>
      </c>
      <c r="C62" s="1">
        <v>45902</v>
      </c>
      <c r="D62" t="s">
        <v>11</v>
      </c>
      <c r="E62" t="s">
        <v>17</v>
      </c>
      <c r="F62">
        <v>1</v>
      </c>
      <c r="G62">
        <v>12</v>
      </c>
      <c r="H62" t="s">
        <v>21</v>
      </c>
      <c r="I62" t="s">
        <v>14</v>
      </c>
      <c r="J62">
        <v>12</v>
      </c>
    </row>
    <row r="63" spans="1:10" x14ac:dyDescent="0.3">
      <c r="A63">
        <v>326</v>
      </c>
      <c r="B63" t="s">
        <v>24</v>
      </c>
      <c r="C63" s="1">
        <v>45853</v>
      </c>
      <c r="D63" t="s">
        <v>11</v>
      </c>
      <c r="E63" t="s">
        <v>29</v>
      </c>
      <c r="F63">
        <v>1</v>
      </c>
      <c r="G63">
        <v>30</v>
      </c>
      <c r="H63" t="s">
        <v>21</v>
      </c>
      <c r="I63" t="s">
        <v>25</v>
      </c>
      <c r="J63">
        <v>30</v>
      </c>
    </row>
    <row r="64" spans="1:10" x14ac:dyDescent="0.3">
      <c r="A64">
        <v>792</v>
      </c>
      <c r="B64" t="s">
        <v>24</v>
      </c>
      <c r="C64" s="1">
        <v>45858</v>
      </c>
      <c r="D64" t="s">
        <v>11</v>
      </c>
      <c r="E64" t="s">
        <v>29</v>
      </c>
      <c r="F64">
        <v>1</v>
      </c>
      <c r="G64">
        <v>30</v>
      </c>
      <c r="H64" t="s">
        <v>13</v>
      </c>
      <c r="I64" t="s">
        <v>27</v>
      </c>
      <c r="J64">
        <v>30</v>
      </c>
    </row>
    <row r="65" spans="1:10" x14ac:dyDescent="0.3">
      <c r="A65">
        <v>1532</v>
      </c>
      <c r="B65" t="s">
        <v>24</v>
      </c>
      <c r="C65" s="1">
        <v>45921</v>
      </c>
      <c r="D65" t="s">
        <v>11</v>
      </c>
      <c r="E65" t="s">
        <v>30</v>
      </c>
      <c r="F65">
        <v>2</v>
      </c>
      <c r="G65">
        <v>8</v>
      </c>
      <c r="H65" t="s">
        <v>23</v>
      </c>
      <c r="I65" t="s">
        <v>14</v>
      </c>
      <c r="J65">
        <v>16</v>
      </c>
    </row>
    <row r="66" spans="1:10" x14ac:dyDescent="0.3">
      <c r="A66">
        <v>910</v>
      </c>
      <c r="B66" t="s">
        <v>24</v>
      </c>
      <c r="C66" s="1">
        <v>45862</v>
      </c>
      <c r="D66" t="s">
        <v>11</v>
      </c>
      <c r="E66" t="s">
        <v>17</v>
      </c>
      <c r="F66">
        <v>2</v>
      </c>
      <c r="G66">
        <v>12</v>
      </c>
      <c r="H66" t="s">
        <v>21</v>
      </c>
      <c r="I66" t="s">
        <v>27</v>
      </c>
      <c r="J66">
        <v>24</v>
      </c>
    </row>
    <row r="67" spans="1:10" x14ac:dyDescent="0.3">
      <c r="A67">
        <v>760</v>
      </c>
      <c r="B67" t="s">
        <v>24</v>
      </c>
      <c r="C67" s="1">
        <v>45880</v>
      </c>
      <c r="D67" t="s">
        <v>11</v>
      </c>
      <c r="E67" t="s">
        <v>17</v>
      </c>
      <c r="F67">
        <v>3</v>
      </c>
      <c r="G67">
        <v>12</v>
      </c>
      <c r="H67" t="s">
        <v>21</v>
      </c>
      <c r="I67" t="s">
        <v>18</v>
      </c>
      <c r="J67">
        <v>36</v>
      </c>
    </row>
    <row r="68" spans="1:10" x14ac:dyDescent="0.3">
      <c r="A68">
        <v>1854</v>
      </c>
      <c r="B68" t="s">
        <v>24</v>
      </c>
      <c r="C68" s="1">
        <v>45878</v>
      </c>
      <c r="D68" t="s">
        <v>11</v>
      </c>
      <c r="E68" t="s">
        <v>29</v>
      </c>
      <c r="F68">
        <v>4</v>
      </c>
      <c r="G68">
        <v>30</v>
      </c>
      <c r="H68" t="s">
        <v>23</v>
      </c>
      <c r="I68" t="s">
        <v>27</v>
      </c>
      <c r="J68">
        <v>120</v>
      </c>
    </row>
    <row r="69" spans="1:10" x14ac:dyDescent="0.3">
      <c r="A69">
        <v>225</v>
      </c>
      <c r="B69" t="s">
        <v>26</v>
      </c>
      <c r="C69" s="1">
        <v>45887</v>
      </c>
      <c r="D69" t="s">
        <v>16</v>
      </c>
      <c r="E69" t="s">
        <v>17</v>
      </c>
      <c r="F69">
        <v>1</v>
      </c>
      <c r="G69">
        <v>12</v>
      </c>
      <c r="H69" t="s">
        <v>23</v>
      </c>
      <c r="I69" t="s">
        <v>25</v>
      </c>
      <c r="J69">
        <v>12</v>
      </c>
    </row>
    <row r="70" spans="1:10" x14ac:dyDescent="0.3">
      <c r="A70">
        <v>31</v>
      </c>
      <c r="B70" t="s">
        <v>15</v>
      </c>
      <c r="C70" s="1">
        <v>45894</v>
      </c>
      <c r="D70" t="s">
        <v>11</v>
      </c>
      <c r="E70" t="s">
        <v>17</v>
      </c>
      <c r="F70">
        <v>4</v>
      </c>
      <c r="G70">
        <v>12</v>
      </c>
      <c r="H70" t="s">
        <v>23</v>
      </c>
      <c r="I70" t="s">
        <v>27</v>
      </c>
      <c r="J70">
        <v>48</v>
      </c>
    </row>
    <row r="71" spans="1:10" x14ac:dyDescent="0.3">
      <c r="A71">
        <v>1501</v>
      </c>
      <c r="B71" t="s">
        <v>32</v>
      </c>
      <c r="C71" s="1">
        <v>45907</v>
      </c>
      <c r="D71" t="s">
        <v>11</v>
      </c>
      <c r="E71" t="s">
        <v>17</v>
      </c>
      <c r="F71">
        <v>2</v>
      </c>
      <c r="G71">
        <v>12</v>
      </c>
      <c r="H71" t="s">
        <v>23</v>
      </c>
      <c r="I71" t="s">
        <v>27</v>
      </c>
      <c r="J71">
        <v>24</v>
      </c>
    </row>
    <row r="72" spans="1:10" x14ac:dyDescent="0.3">
      <c r="A72">
        <v>1818</v>
      </c>
      <c r="B72" t="s">
        <v>28</v>
      </c>
      <c r="C72" s="1">
        <v>45890</v>
      </c>
      <c r="D72" t="s">
        <v>16</v>
      </c>
      <c r="E72" t="s">
        <v>22</v>
      </c>
      <c r="F72">
        <v>2</v>
      </c>
      <c r="G72">
        <v>20</v>
      </c>
      <c r="H72" t="s">
        <v>23</v>
      </c>
      <c r="I72" t="s">
        <v>27</v>
      </c>
      <c r="J72">
        <v>40</v>
      </c>
    </row>
    <row r="73" spans="1:10" x14ac:dyDescent="0.3">
      <c r="A73">
        <v>129</v>
      </c>
      <c r="B73" t="s">
        <v>31</v>
      </c>
      <c r="C73" s="1">
        <v>45905</v>
      </c>
      <c r="D73" t="s">
        <v>11</v>
      </c>
      <c r="E73" t="s">
        <v>22</v>
      </c>
      <c r="F73">
        <v>1</v>
      </c>
      <c r="G73">
        <v>20</v>
      </c>
      <c r="H73" t="s">
        <v>23</v>
      </c>
      <c r="I73" t="s">
        <v>25</v>
      </c>
      <c r="J73">
        <v>20</v>
      </c>
    </row>
    <row r="74" spans="1:10" x14ac:dyDescent="0.3">
      <c r="A74">
        <v>345</v>
      </c>
      <c r="B74" t="s">
        <v>32</v>
      </c>
      <c r="C74" s="1">
        <v>45882</v>
      </c>
      <c r="D74" t="s">
        <v>33</v>
      </c>
      <c r="E74" t="s">
        <v>29</v>
      </c>
      <c r="F74">
        <v>2</v>
      </c>
      <c r="G74">
        <v>30</v>
      </c>
      <c r="H74" t="s">
        <v>23</v>
      </c>
      <c r="I74" t="s">
        <v>14</v>
      </c>
      <c r="J74">
        <v>60</v>
      </c>
    </row>
    <row r="75" spans="1:10" x14ac:dyDescent="0.3">
      <c r="A75">
        <v>648</v>
      </c>
      <c r="B75" t="s">
        <v>24</v>
      </c>
      <c r="C75" s="1">
        <v>45893</v>
      </c>
      <c r="D75" t="s">
        <v>11</v>
      </c>
      <c r="E75" t="s">
        <v>12</v>
      </c>
      <c r="F75">
        <v>2</v>
      </c>
      <c r="G75">
        <v>25</v>
      </c>
      <c r="H75" t="s">
        <v>21</v>
      </c>
      <c r="I75" t="s">
        <v>18</v>
      </c>
      <c r="J75">
        <v>50</v>
      </c>
    </row>
    <row r="76" spans="1:10" x14ac:dyDescent="0.3">
      <c r="A76">
        <v>1646</v>
      </c>
      <c r="B76" t="s">
        <v>32</v>
      </c>
      <c r="C76" s="1">
        <v>45871</v>
      </c>
      <c r="D76" t="s">
        <v>16</v>
      </c>
      <c r="E76" t="s">
        <v>17</v>
      </c>
      <c r="F76">
        <v>4</v>
      </c>
      <c r="G76">
        <v>12</v>
      </c>
      <c r="H76" t="s">
        <v>21</v>
      </c>
      <c r="I76" t="s">
        <v>25</v>
      </c>
      <c r="J76">
        <v>48</v>
      </c>
    </row>
    <row r="77" spans="1:10" x14ac:dyDescent="0.3">
      <c r="A77">
        <v>426</v>
      </c>
      <c r="B77" t="s">
        <v>15</v>
      </c>
      <c r="C77" s="1">
        <v>45878</v>
      </c>
      <c r="D77" t="s">
        <v>11</v>
      </c>
      <c r="E77" t="s">
        <v>29</v>
      </c>
      <c r="F77">
        <v>4</v>
      </c>
      <c r="G77">
        <v>30</v>
      </c>
      <c r="H77" t="s">
        <v>13</v>
      </c>
      <c r="I77" t="s">
        <v>18</v>
      </c>
      <c r="J77">
        <v>120</v>
      </c>
    </row>
    <row r="78" spans="1:10" x14ac:dyDescent="0.3">
      <c r="A78">
        <v>1545</v>
      </c>
      <c r="B78" t="s">
        <v>19</v>
      </c>
      <c r="C78" s="1">
        <v>45913</v>
      </c>
      <c r="D78" t="s">
        <v>11</v>
      </c>
      <c r="E78" t="s">
        <v>22</v>
      </c>
      <c r="F78">
        <v>1</v>
      </c>
      <c r="G78">
        <v>20</v>
      </c>
      <c r="H78" t="s">
        <v>13</v>
      </c>
      <c r="I78" t="s">
        <v>14</v>
      </c>
      <c r="J78">
        <v>20</v>
      </c>
    </row>
    <row r="79" spans="1:10" x14ac:dyDescent="0.3">
      <c r="A79">
        <v>488</v>
      </c>
      <c r="B79" t="s">
        <v>31</v>
      </c>
      <c r="C79" s="1">
        <v>45870</v>
      </c>
      <c r="D79" t="s">
        <v>20</v>
      </c>
      <c r="E79" t="s">
        <v>22</v>
      </c>
      <c r="F79">
        <v>5</v>
      </c>
      <c r="G79">
        <v>20</v>
      </c>
      <c r="H79" t="s">
        <v>23</v>
      </c>
      <c r="I79" t="s">
        <v>14</v>
      </c>
      <c r="J79">
        <v>100</v>
      </c>
    </row>
    <row r="80" spans="1:10" x14ac:dyDescent="0.3">
      <c r="A80">
        <v>422</v>
      </c>
      <c r="B80" t="s">
        <v>26</v>
      </c>
      <c r="C80" s="1">
        <v>45858</v>
      </c>
      <c r="D80" t="s">
        <v>11</v>
      </c>
      <c r="E80" t="s">
        <v>17</v>
      </c>
      <c r="F80">
        <v>5</v>
      </c>
      <c r="G80">
        <v>12</v>
      </c>
      <c r="H80" t="s">
        <v>13</v>
      </c>
      <c r="I80" t="s">
        <v>27</v>
      </c>
      <c r="J80">
        <v>60</v>
      </c>
    </row>
    <row r="81" spans="1:10" x14ac:dyDescent="0.3">
      <c r="A81">
        <v>384</v>
      </c>
      <c r="B81" t="s">
        <v>15</v>
      </c>
      <c r="C81" s="1">
        <v>45913</v>
      </c>
      <c r="D81" t="s">
        <v>20</v>
      </c>
      <c r="E81" t="s">
        <v>17</v>
      </c>
      <c r="F81">
        <v>4</v>
      </c>
      <c r="G81">
        <v>12</v>
      </c>
      <c r="H81" t="s">
        <v>13</v>
      </c>
      <c r="I81" t="s">
        <v>18</v>
      </c>
      <c r="J81">
        <v>48</v>
      </c>
    </row>
    <row r="82" spans="1:10" x14ac:dyDescent="0.3">
      <c r="A82">
        <v>1103</v>
      </c>
      <c r="B82" t="s">
        <v>31</v>
      </c>
      <c r="C82" s="1">
        <v>45911</v>
      </c>
      <c r="D82" t="s">
        <v>11</v>
      </c>
      <c r="E82" t="s">
        <v>29</v>
      </c>
      <c r="F82">
        <v>1</v>
      </c>
      <c r="G82">
        <v>30</v>
      </c>
      <c r="H82" t="s">
        <v>23</v>
      </c>
      <c r="I82" t="s">
        <v>25</v>
      </c>
      <c r="J82">
        <v>30</v>
      </c>
    </row>
    <row r="83" spans="1:10" x14ac:dyDescent="0.3">
      <c r="A83">
        <v>185</v>
      </c>
      <c r="B83" t="s">
        <v>24</v>
      </c>
      <c r="C83" s="1">
        <v>45872</v>
      </c>
      <c r="D83" t="s">
        <v>33</v>
      </c>
      <c r="E83" t="s">
        <v>30</v>
      </c>
      <c r="F83">
        <v>5</v>
      </c>
      <c r="G83">
        <v>8</v>
      </c>
      <c r="H83" t="s">
        <v>13</v>
      </c>
      <c r="I83" t="s">
        <v>18</v>
      </c>
      <c r="J83">
        <v>40</v>
      </c>
    </row>
    <row r="84" spans="1:10" x14ac:dyDescent="0.3">
      <c r="A84">
        <v>567</v>
      </c>
      <c r="B84" t="s">
        <v>26</v>
      </c>
      <c r="C84" s="1">
        <v>45854</v>
      </c>
      <c r="D84" t="s">
        <v>16</v>
      </c>
      <c r="E84" t="s">
        <v>17</v>
      </c>
      <c r="F84">
        <v>4</v>
      </c>
      <c r="G84">
        <v>12</v>
      </c>
      <c r="H84" t="s">
        <v>21</v>
      </c>
      <c r="I84" t="s">
        <v>18</v>
      </c>
      <c r="J84">
        <v>48</v>
      </c>
    </row>
    <row r="85" spans="1:10" x14ac:dyDescent="0.3">
      <c r="A85">
        <v>230</v>
      </c>
      <c r="B85" t="s">
        <v>15</v>
      </c>
      <c r="C85" s="1">
        <v>45860</v>
      </c>
      <c r="D85" t="s">
        <v>16</v>
      </c>
      <c r="E85" t="s">
        <v>17</v>
      </c>
      <c r="F85">
        <v>3</v>
      </c>
      <c r="G85">
        <v>12</v>
      </c>
      <c r="H85" t="s">
        <v>21</v>
      </c>
      <c r="I85" t="s">
        <v>18</v>
      </c>
      <c r="J85">
        <v>36</v>
      </c>
    </row>
    <row r="86" spans="1:10" x14ac:dyDescent="0.3">
      <c r="A86">
        <v>23</v>
      </c>
      <c r="B86" t="s">
        <v>26</v>
      </c>
      <c r="C86" s="1">
        <v>45927</v>
      </c>
      <c r="D86" t="s">
        <v>20</v>
      </c>
      <c r="E86" t="s">
        <v>29</v>
      </c>
      <c r="F86">
        <v>4</v>
      </c>
      <c r="G86">
        <v>30</v>
      </c>
      <c r="H86" t="s">
        <v>23</v>
      </c>
      <c r="I86" t="s">
        <v>27</v>
      </c>
      <c r="J86">
        <v>120</v>
      </c>
    </row>
    <row r="87" spans="1:10" x14ac:dyDescent="0.3">
      <c r="A87">
        <v>973</v>
      </c>
      <c r="B87" t="s">
        <v>24</v>
      </c>
      <c r="C87" s="1">
        <v>45857</v>
      </c>
      <c r="D87" t="s">
        <v>11</v>
      </c>
      <c r="E87" t="s">
        <v>30</v>
      </c>
      <c r="F87">
        <v>3</v>
      </c>
      <c r="G87">
        <v>8</v>
      </c>
      <c r="H87" t="s">
        <v>21</v>
      </c>
      <c r="I87" t="s">
        <v>27</v>
      </c>
      <c r="J87">
        <v>24</v>
      </c>
    </row>
    <row r="88" spans="1:10" x14ac:dyDescent="0.3">
      <c r="A88">
        <v>1228</v>
      </c>
      <c r="B88" t="s">
        <v>19</v>
      </c>
      <c r="C88" s="1">
        <v>45874</v>
      </c>
      <c r="D88" t="s">
        <v>20</v>
      </c>
      <c r="E88" t="s">
        <v>17</v>
      </c>
      <c r="F88">
        <v>4</v>
      </c>
      <c r="G88">
        <v>12</v>
      </c>
      <c r="H88" t="s">
        <v>13</v>
      </c>
      <c r="I88" t="s">
        <v>25</v>
      </c>
      <c r="J88">
        <v>48</v>
      </c>
    </row>
    <row r="89" spans="1:10" x14ac:dyDescent="0.3">
      <c r="A89">
        <v>1252</v>
      </c>
      <c r="B89" t="s">
        <v>10</v>
      </c>
      <c r="C89" s="1">
        <v>45870</v>
      </c>
      <c r="D89" t="s">
        <v>11</v>
      </c>
      <c r="E89" t="s">
        <v>17</v>
      </c>
      <c r="F89">
        <v>3</v>
      </c>
      <c r="G89">
        <v>12</v>
      </c>
      <c r="H89" t="s">
        <v>13</v>
      </c>
      <c r="I89" t="s">
        <v>25</v>
      </c>
      <c r="J89">
        <v>36</v>
      </c>
    </row>
    <row r="90" spans="1:10" x14ac:dyDescent="0.3">
      <c r="A90">
        <v>898</v>
      </c>
      <c r="B90" t="s">
        <v>31</v>
      </c>
      <c r="C90" s="1">
        <v>45852</v>
      </c>
      <c r="D90" t="s">
        <v>11</v>
      </c>
      <c r="E90" t="s">
        <v>17</v>
      </c>
      <c r="F90">
        <v>1</v>
      </c>
      <c r="G90">
        <v>12</v>
      </c>
      <c r="H90" t="s">
        <v>21</v>
      </c>
      <c r="I90" t="s">
        <v>18</v>
      </c>
      <c r="J90">
        <v>12</v>
      </c>
    </row>
    <row r="91" spans="1:10" x14ac:dyDescent="0.3">
      <c r="A91">
        <v>750</v>
      </c>
      <c r="B91" t="s">
        <v>26</v>
      </c>
      <c r="C91" s="1">
        <v>45920</v>
      </c>
      <c r="D91" t="s">
        <v>20</v>
      </c>
      <c r="E91" t="s">
        <v>12</v>
      </c>
      <c r="F91">
        <v>2</v>
      </c>
      <c r="G91">
        <v>25</v>
      </c>
      <c r="H91" t="s">
        <v>13</v>
      </c>
      <c r="I91" t="s">
        <v>18</v>
      </c>
      <c r="J91">
        <v>50</v>
      </c>
    </row>
    <row r="92" spans="1:10" x14ac:dyDescent="0.3">
      <c r="A92">
        <v>41</v>
      </c>
      <c r="B92" t="s">
        <v>32</v>
      </c>
      <c r="C92" s="1">
        <v>45914</v>
      </c>
      <c r="D92" t="s">
        <v>33</v>
      </c>
      <c r="E92" t="s">
        <v>22</v>
      </c>
      <c r="F92">
        <v>4</v>
      </c>
      <c r="G92">
        <v>20</v>
      </c>
      <c r="H92" t="s">
        <v>21</v>
      </c>
      <c r="I92" t="s">
        <v>14</v>
      </c>
      <c r="J92">
        <v>80</v>
      </c>
    </row>
    <row r="93" spans="1:10" x14ac:dyDescent="0.3">
      <c r="A93">
        <v>1853</v>
      </c>
      <c r="B93" t="s">
        <v>10</v>
      </c>
      <c r="C93" s="1">
        <v>45893</v>
      </c>
      <c r="D93" t="s">
        <v>11</v>
      </c>
      <c r="E93" t="s">
        <v>12</v>
      </c>
      <c r="F93">
        <v>2</v>
      </c>
      <c r="G93">
        <v>25</v>
      </c>
      <c r="H93" t="s">
        <v>13</v>
      </c>
      <c r="I93" t="s">
        <v>25</v>
      </c>
      <c r="J93">
        <v>50</v>
      </c>
    </row>
    <row r="94" spans="1:10" x14ac:dyDescent="0.3">
      <c r="A94">
        <v>822</v>
      </c>
      <c r="B94" t="s">
        <v>31</v>
      </c>
      <c r="C94" s="1">
        <v>45839</v>
      </c>
      <c r="D94" t="s">
        <v>11</v>
      </c>
      <c r="E94" t="s">
        <v>17</v>
      </c>
      <c r="F94">
        <v>3</v>
      </c>
      <c r="G94">
        <v>12</v>
      </c>
      <c r="H94" t="s">
        <v>23</v>
      </c>
      <c r="I94" t="s">
        <v>18</v>
      </c>
      <c r="J94">
        <v>36</v>
      </c>
    </row>
    <row r="95" spans="1:10" x14ac:dyDescent="0.3">
      <c r="A95">
        <v>177</v>
      </c>
      <c r="B95" t="s">
        <v>32</v>
      </c>
      <c r="C95" s="1">
        <v>45851</v>
      </c>
      <c r="D95" t="s">
        <v>16</v>
      </c>
      <c r="E95" t="s">
        <v>17</v>
      </c>
      <c r="F95">
        <v>1</v>
      </c>
      <c r="G95">
        <v>12</v>
      </c>
      <c r="H95" t="s">
        <v>13</v>
      </c>
      <c r="I95" t="s">
        <v>18</v>
      </c>
      <c r="J95">
        <v>12</v>
      </c>
    </row>
    <row r="96" spans="1:10" x14ac:dyDescent="0.3">
      <c r="A96">
        <v>754</v>
      </c>
      <c r="B96" t="s">
        <v>26</v>
      </c>
      <c r="C96" s="1">
        <v>45879</v>
      </c>
      <c r="D96" t="s">
        <v>20</v>
      </c>
      <c r="E96" t="s">
        <v>17</v>
      </c>
      <c r="F96">
        <v>2</v>
      </c>
      <c r="G96">
        <v>12</v>
      </c>
      <c r="H96" t="s">
        <v>23</v>
      </c>
      <c r="I96" t="s">
        <v>25</v>
      </c>
      <c r="J96">
        <v>24</v>
      </c>
    </row>
    <row r="97" spans="1:10" x14ac:dyDescent="0.3">
      <c r="A97">
        <v>432</v>
      </c>
      <c r="B97" t="s">
        <v>10</v>
      </c>
      <c r="C97" s="1">
        <v>45853</v>
      </c>
      <c r="D97" t="s">
        <v>16</v>
      </c>
      <c r="E97" t="s">
        <v>22</v>
      </c>
      <c r="F97">
        <v>5</v>
      </c>
      <c r="G97">
        <v>20</v>
      </c>
      <c r="H97" t="s">
        <v>23</v>
      </c>
      <c r="I97" t="s">
        <v>14</v>
      </c>
      <c r="J97">
        <v>100</v>
      </c>
    </row>
    <row r="98" spans="1:10" x14ac:dyDescent="0.3">
      <c r="A98">
        <v>1027</v>
      </c>
      <c r="B98" t="s">
        <v>26</v>
      </c>
      <c r="C98" s="1">
        <v>45890</v>
      </c>
      <c r="D98" t="s">
        <v>33</v>
      </c>
      <c r="E98" t="s">
        <v>29</v>
      </c>
      <c r="F98">
        <v>2</v>
      </c>
      <c r="G98">
        <v>30</v>
      </c>
      <c r="H98" t="s">
        <v>23</v>
      </c>
      <c r="I98" t="s">
        <v>27</v>
      </c>
      <c r="J98">
        <v>60</v>
      </c>
    </row>
    <row r="99" spans="1:10" x14ac:dyDescent="0.3">
      <c r="A99">
        <v>777</v>
      </c>
      <c r="B99" t="s">
        <v>24</v>
      </c>
      <c r="C99" s="1">
        <v>45844</v>
      </c>
      <c r="D99" t="s">
        <v>33</v>
      </c>
      <c r="E99" t="s">
        <v>17</v>
      </c>
      <c r="F99">
        <v>4</v>
      </c>
      <c r="G99">
        <v>12</v>
      </c>
      <c r="H99" t="s">
        <v>21</v>
      </c>
      <c r="I99" t="s">
        <v>14</v>
      </c>
      <c r="J99">
        <v>48</v>
      </c>
    </row>
    <row r="100" spans="1:10" x14ac:dyDescent="0.3">
      <c r="A100">
        <v>262</v>
      </c>
      <c r="B100" t="s">
        <v>24</v>
      </c>
      <c r="C100" s="1">
        <v>45907</v>
      </c>
      <c r="D100" t="s">
        <v>16</v>
      </c>
      <c r="E100" t="s">
        <v>12</v>
      </c>
      <c r="F100">
        <v>3</v>
      </c>
      <c r="G100">
        <v>25</v>
      </c>
      <c r="H100" t="s">
        <v>23</v>
      </c>
      <c r="I100" t="s">
        <v>18</v>
      </c>
      <c r="J100">
        <v>75</v>
      </c>
    </row>
    <row r="101" spans="1:10" x14ac:dyDescent="0.3">
      <c r="A101">
        <v>722</v>
      </c>
      <c r="B101" t="s">
        <v>24</v>
      </c>
      <c r="C101" s="1">
        <v>45908</v>
      </c>
      <c r="D101" t="s">
        <v>33</v>
      </c>
      <c r="E101" t="s">
        <v>30</v>
      </c>
      <c r="F101">
        <v>5</v>
      </c>
      <c r="G101">
        <v>8</v>
      </c>
      <c r="H101" t="s">
        <v>21</v>
      </c>
      <c r="I101" t="s">
        <v>25</v>
      </c>
      <c r="J101">
        <v>40</v>
      </c>
    </row>
    <row r="102" spans="1:10" x14ac:dyDescent="0.3">
      <c r="A102">
        <v>56</v>
      </c>
      <c r="B102" t="s">
        <v>24</v>
      </c>
      <c r="C102" s="1">
        <v>45858</v>
      </c>
      <c r="D102" t="s">
        <v>11</v>
      </c>
      <c r="E102" t="s">
        <v>30</v>
      </c>
      <c r="F102">
        <v>2</v>
      </c>
      <c r="G102">
        <v>8</v>
      </c>
      <c r="H102" t="s">
        <v>21</v>
      </c>
      <c r="I102" t="s">
        <v>25</v>
      </c>
      <c r="J102">
        <v>16</v>
      </c>
    </row>
    <row r="103" spans="1:10" x14ac:dyDescent="0.3">
      <c r="A103">
        <v>1556</v>
      </c>
      <c r="B103" t="s">
        <v>24</v>
      </c>
      <c r="C103" s="1">
        <v>45885</v>
      </c>
      <c r="D103" t="s">
        <v>16</v>
      </c>
      <c r="E103" t="s">
        <v>12</v>
      </c>
      <c r="F103">
        <v>5</v>
      </c>
      <c r="G103">
        <v>25</v>
      </c>
      <c r="H103" t="s">
        <v>23</v>
      </c>
      <c r="I103" t="s">
        <v>27</v>
      </c>
      <c r="J103">
        <v>125</v>
      </c>
    </row>
    <row r="104" spans="1:10" x14ac:dyDescent="0.3">
      <c r="A104">
        <v>1835</v>
      </c>
      <c r="B104" t="s">
        <v>24</v>
      </c>
      <c r="C104" s="1">
        <v>45840</v>
      </c>
      <c r="D104" t="s">
        <v>11</v>
      </c>
      <c r="E104" t="s">
        <v>17</v>
      </c>
      <c r="F104">
        <v>5</v>
      </c>
      <c r="G104">
        <v>12</v>
      </c>
      <c r="H104" t="s">
        <v>21</v>
      </c>
      <c r="I104" t="s">
        <v>25</v>
      </c>
      <c r="J104">
        <v>60</v>
      </c>
    </row>
    <row r="105" spans="1:10" x14ac:dyDescent="0.3">
      <c r="A105">
        <v>631</v>
      </c>
      <c r="B105" t="s">
        <v>24</v>
      </c>
      <c r="C105" s="1">
        <v>45840</v>
      </c>
      <c r="D105" t="s">
        <v>11</v>
      </c>
      <c r="E105" t="s">
        <v>12</v>
      </c>
      <c r="F105">
        <v>1</v>
      </c>
      <c r="G105">
        <v>25</v>
      </c>
      <c r="H105" t="s">
        <v>21</v>
      </c>
      <c r="I105" t="s">
        <v>25</v>
      </c>
      <c r="J105">
        <v>25</v>
      </c>
    </row>
    <row r="106" spans="1:10" x14ac:dyDescent="0.3">
      <c r="A106">
        <v>974</v>
      </c>
      <c r="B106" t="s">
        <v>32</v>
      </c>
      <c r="C106" s="1">
        <v>45925</v>
      </c>
      <c r="D106" t="s">
        <v>11</v>
      </c>
      <c r="E106" t="s">
        <v>30</v>
      </c>
      <c r="F106">
        <v>5</v>
      </c>
      <c r="G106">
        <v>8</v>
      </c>
      <c r="H106" t="s">
        <v>21</v>
      </c>
      <c r="I106" t="s">
        <v>18</v>
      </c>
      <c r="J106">
        <v>40</v>
      </c>
    </row>
    <row r="107" spans="1:10" x14ac:dyDescent="0.3">
      <c r="A107">
        <v>1478</v>
      </c>
      <c r="B107" t="s">
        <v>19</v>
      </c>
      <c r="C107" s="1">
        <v>45868</v>
      </c>
      <c r="D107" t="s">
        <v>11</v>
      </c>
      <c r="E107" t="s">
        <v>12</v>
      </c>
      <c r="F107">
        <v>3</v>
      </c>
      <c r="G107">
        <v>25</v>
      </c>
      <c r="H107" t="s">
        <v>13</v>
      </c>
      <c r="I107" t="s">
        <v>14</v>
      </c>
      <c r="J107">
        <v>75</v>
      </c>
    </row>
    <row r="108" spans="1:10" x14ac:dyDescent="0.3">
      <c r="A108">
        <v>781</v>
      </c>
      <c r="B108" t="s">
        <v>24</v>
      </c>
      <c r="C108" s="1">
        <v>45851</v>
      </c>
      <c r="D108" t="s">
        <v>11</v>
      </c>
      <c r="E108" t="s">
        <v>17</v>
      </c>
      <c r="F108">
        <v>1</v>
      </c>
      <c r="G108">
        <v>12</v>
      </c>
      <c r="H108" t="s">
        <v>21</v>
      </c>
      <c r="I108" t="s">
        <v>25</v>
      </c>
      <c r="J108">
        <v>12</v>
      </c>
    </row>
    <row r="109" spans="1:10" x14ac:dyDescent="0.3">
      <c r="A109">
        <v>1740</v>
      </c>
      <c r="B109" t="s">
        <v>32</v>
      </c>
      <c r="C109" s="1">
        <v>45869</v>
      </c>
      <c r="D109" t="s">
        <v>16</v>
      </c>
      <c r="E109" t="s">
        <v>12</v>
      </c>
      <c r="F109">
        <v>3</v>
      </c>
      <c r="G109">
        <v>25</v>
      </c>
      <c r="H109" t="s">
        <v>21</v>
      </c>
      <c r="I109" t="s">
        <v>25</v>
      </c>
      <c r="J109">
        <v>75</v>
      </c>
    </row>
    <row r="110" spans="1:10" x14ac:dyDescent="0.3">
      <c r="A110">
        <v>1448</v>
      </c>
      <c r="B110" t="s">
        <v>19</v>
      </c>
      <c r="C110" s="1">
        <v>45851</v>
      </c>
      <c r="D110" t="s">
        <v>11</v>
      </c>
      <c r="E110" t="s">
        <v>30</v>
      </c>
      <c r="F110">
        <v>4</v>
      </c>
      <c r="G110">
        <v>8</v>
      </c>
      <c r="H110" t="s">
        <v>13</v>
      </c>
      <c r="I110" t="s">
        <v>25</v>
      </c>
      <c r="J110">
        <v>32</v>
      </c>
    </row>
    <row r="111" spans="1:10" x14ac:dyDescent="0.3">
      <c r="A111">
        <v>1813</v>
      </c>
      <c r="B111" t="s">
        <v>28</v>
      </c>
      <c r="C111" s="1">
        <v>45918</v>
      </c>
      <c r="D111" t="s">
        <v>20</v>
      </c>
      <c r="E111" t="s">
        <v>17</v>
      </c>
      <c r="F111">
        <v>5</v>
      </c>
      <c r="G111">
        <v>12</v>
      </c>
      <c r="H111" t="s">
        <v>21</v>
      </c>
      <c r="I111" t="s">
        <v>25</v>
      </c>
      <c r="J111">
        <v>60</v>
      </c>
    </row>
    <row r="112" spans="1:10" x14ac:dyDescent="0.3">
      <c r="A112">
        <v>1443</v>
      </c>
      <c r="B112" t="s">
        <v>31</v>
      </c>
      <c r="C112" s="1">
        <v>45879</v>
      </c>
      <c r="D112" t="s">
        <v>20</v>
      </c>
      <c r="E112" t="s">
        <v>17</v>
      </c>
      <c r="F112">
        <v>4</v>
      </c>
      <c r="G112">
        <v>12</v>
      </c>
      <c r="H112" t="s">
        <v>21</v>
      </c>
      <c r="I112" t="s">
        <v>14</v>
      </c>
      <c r="J112">
        <v>48</v>
      </c>
    </row>
    <row r="113" spans="1:10" x14ac:dyDescent="0.3">
      <c r="A113">
        <v>1775</v>
      </c>
      <c r="B113" t="s">
        <v>28</v>
      </c>
      <c r="C113" s="1">
        <v>45914</v>
      </c>
      <c r="D113" t="s">
        <v>20</v>
      </c>
      <c r="E113" t="s">
        <v>30</v>
      </c>
      <c r="F113">
        <v>1</v>
      </c>
      <c r="G113">
        <v>8</v>
      </c>
      <c r="H113" t="s">
        <v>23</v>
      </c>
      <c r="I113" t="s">
        <v>18</v>
      </c>
      <c r="J113">
        <v>8</v>
      </c>
    </row>
    <row r="114" spans="1:10" x14ac:dyDescent="0.3">
      <c r="A114">
        <v>1175</v>
      </c>
      <c r="B114" t="s">
        <v>24</v>
      </c>
      <c r="C114" s="1">
        <v>45851</v>
      </c>
      <c r="D114" t="s">
        <v>11</v>
      </c>
      <c r="E114" t="s">
        <v>17</v>
      </c>
      <c r="F114">
        <v>1</v>
      </c>
      <c r="G114">
        <v>12</v>
      </c>
      <c r="H114" t="s">
        <v>23</v>
      </c>
      <c r="I114" t="s">
        <v>25</v>
      </c>
      <c r="J114">
        <v>12</v>
      </c>
    </row>
    <row r="115" spans="1:10" x14ac:dyDescent="0.3">
      <c r="A115">
        <v>790</v>
      </c>
      <c r="B115" t="s">
        <v>28</v>
      </c>
      <c r="C115" s="1">
        <v>45863</v>
      </c>
      <c r="D115" t="s">
        <v>16</v>
      </c>
      <c r="E115" t="s">
        <v>29</v>
      </c>
      <c r="F115">
        <v>5</v>
      </c>
      <c r="G115">
        <v>30</v>
      </c>
      <c r="H115" t="s">
        <v>13</v>
      </c>
      <c r="I115" t="s">
        <v>27</v>
      </c>
      <c r="J115">
        <v>150</v>
      </c>
    </row>
    <row r="116" spans="1:10" x14ac:dyDescent="0.3">
      <c r="A116">
        <v>681</v>
      </c>
      <c r="B116" t="s">
        <v>19</v>
      </c>
      <c r="C116" s="1">
        <v>45862</v>
      </c>
      <c r="D116" t="s">
        <v>16</v>
      </c>
      <c r="E116" t="s">
        <v>17</v>
      </c>
      <c r="F116">
        <v>5</v>
      </c>
      <c r="G116">
        <v>12</v>
      </c>
      <c r="H116" t="s">
        <v>23</v>
      </c>
      <c r="I116" t="s">
        <v>18</v>
      </c>
      <c r="J116">
        <v>60</v>
      </c>
    </row>
    <row r="117" spans="1:10" x14ac:dyDescent="0.3">
      <c r="A117">
        <v>1571</v>
      </c>
      <c r="B117" t="s">
        <v>26</v>
      </c>
      <c r="C117" s="1">
        <v>45925</v>
      </c>
      <c r="D117" t="s">
        <v>11</v>
      </c>
      <c r="E117" t="s">
        <v>17</v>
      </c>
      <c r="F117">
        <v>4</v>
      </c>
      <c r="G117">
        <v>12</v>
      </c>
      <c r="H117" t="s">
        <v>21</v>
      </c>
      <c r="I117" t="s">
        <v>27</v>
      </c>
      <c r="J117">
        <v>48</v>
      </c>
    </row>
    <row r="118" spans="1:10" x14ac:dyDescent="0.3">
      <c r="A118">
        <v>1679</v>
      </c>
      <c r="B118" t="s">
        <v>10</v>
      </c>
      <c r="C118" s="1">
        <v>45913</v>
      </c>
      <c r="D118" t="s">
        <v>11</v>
      </c>
      <c r="E118" t="s">
        <v>22</v>
      </c>
      <c r="F118">
        <v>5</v>
      </c>
      <c r="G118">
        <v>20</v>
      </c>
      <c r="H118" t="s">
        <v>21</v>
      </c>
      <c r="I118" t="s">
        <v>18</v>
      </c>
      <c r="J118">
        <v>100</v>
      </c>
    </row>
    <row r="119" spans="1:10" x14ac:dyDescent="0.3">
      <c r="A119">
        <v>1017</v>
      </c>
      <c r="B119" t="s">
        <v>26</v>
      </c>
      <c r="C119" s="1">
        <v>45858</v>
      </c>
      <c r="D119" t="s">
        <v>11</v>
      </c>
      <c r="E119" t="s">
        <v>30</v>
      </c>
      <c r="F119">
        <v>3</v>
      </c>
      <c r="G119">
        <v>8</v>
      </c>
      <c r="H119" t="s">
        <v>13</v>
      </c>
      <c r="I119" t="s">
        <v>25</v>
      </c>
      <c r="J119">
        <v>24</v>
      </c>
    </row>
    <row r="120" spans="1:10" x14ac:dyDescent="0.3">
      <c r="A120">
        <v>1857</v>
      </c>
      <c r="B120" t="s">
        <v>15</v>
      </c>
      <c r="C120" s="1">
        <v>45871</v>
      </c>
      <c r="D120" t="s">
        <v>11</v>
      </c>
      <c r="E120" t="s">
        <v>17</v>
      </c>
      <c r="F120">
        <v>3</v>
      </c>
      <c r="G120">
        <v>12</v>
      </c>
      <c r="H120" t="s">
        <v>21</v>
      </c>
      <c r="I120" t="s">
        <v>14</v>
      </c>
      <c r="J120">
        <v>36</v>
      </c>
    </row>
    <row r="121" spans="1:10" x14ac:dyDescent="0.3">
      <c r="A121">
        <v>1380</v>
      </c>
      <c r="B121" t="s">
        <v>26</v>
      </c>
      <c r="C121" s="1">
        <v>45866</v>
      </c>
      <c r="D121" t="s">
        <v>11</v>
      </c>
      <c r="E121" t="s">
        <v>30</v>
      </c>
      <c r="F121">
        <v>2</v>
      </c>
      <c r="G121">
        <v>8</v>
      </c>
      <c r="H121" t="s">
        <v>13</v>
      </c>
      <c r="I121" t="s">
        <v>25</v>
      </c>
      <c r="J121">
        <v>16</v>
      </c>
    </row>
    <row r="122" spans="1:10" x14ac:dyDescent="0.3">
      <c r="A122">
        <v>33</v>
      </c>
      <c r="B122" t="s">
        <v>31</v>
      </c>
      <c r="C122" s="1">
        <v>45897</v>
      </c>
      <c r="D122" t="s">
        <v>11</v>
      </c>
      <c r="E122" t="s">
        <v>17</v>
      </c>
      <c r="F122">
        <v>2</v>
      </c>
      <c r="G122">
        <v>12</v>
      </c>
      <c r="H122" t="s">
        <v>21</v>
      </c>
      <c r="I122" t="s">
        <v>25</v>
      </c>
      <c r="J122">
        <v>24</v>
      </c>
    </row>
    <row r="123" spans="1:10" x14ac:dyDescent="0.3">
      <c r="A123">
        <v>1530</v>
      </c>
      <c r="B123" t="s">
        <v>31</v>
      </c>
      <c r="C123" s="1">
        <v>45878</v>
      </c>
      <c r="D123" t="s">
        <v>11</v>
      </c>
      <c r="E123" t="s">
        <v>17</v>
      </c>
      <c r="F123">
        <v>5</v>
      </c>
      <c r="G123">
        <v>12</v>
      </c>
      <c r="H123" t="s">
        <v>23</v>
      </c>
      <c r="I123" t="s">
        <v>14</v>
      </c>
      <c r="J123">
        <v>60</v>
      </c>
    </row>
    <row r="124" spans="1:10" x14ac:dyDescent="0.3">
      <c r="A124">
        <v>1723</v>
      </c>
      <c r="B124" t="s">
        <v>28</v>
      </c>
      <c r="C124" s="1">
        <v>45884</v>
      </c>
      <c r="D124" t="s">
        <v>11</v>
      </c>
      <c r="E124" t="s">
        <v>29</v>
      </c>
      <c r="F124">
        <v>1</v>
      </c>
      <c r="G124">
        <v>30</v>
      </c>
      <c r="H124" t="s">
        <v>23</v>
      </c>
      <c r="I124" t="s">
        <v>18</v>
      </c>
      <c r="J124">
        <v>30</v>
      </c>
    </row>
    <row r="125" spans="1:10" x14ac:dyDescent="0.3">
      <c r="A125">
        <v>153</v>
      </c>
      <c r="B125" t="s">
        <v>24</v>
      </c>
      <c r="C125" s="1">
        <v>45878</v>
      </c>
      <c r="D125" t="s">
        <v>11</v>
      </c>
      <c r="E125" t="s">
        <v>30</v>
      </c>
      <c r="F125">
        <v>2</v>
      </c>
      <c r="G125">
        <v>8</v>
      </c>
      <c r="H125" t="s">
        <v>21</v>
      </c>
      <c r="I125" t="s">
        <v>14</v>
      </c>
      <c r="J125">
        <v>16</v>
      </c>
    </row>
    <row r="126" spans="1:10" x14ac:dyDescent="0.3">
      <c r="A126">
        <v>672</v>
      </c>
      <c r="B126" t="s">
        <v>10</v>
      </c>
      <c r="C126" s="1">
        <v>45859</v>
      </c>
      <c r="D126" t="s">
        <v>11</v>
      </c>
      <c r="E126" t="s">
        <v>17</v>
      </c>
      <c r="F126">
        <v>3</v>
      </c>
      <c r="G126">
        <v>12</v>
      </c>
      <c r="H126" t="s">
        <v>13</v>
      </c>
      <c r="I126" t="s">
        <v>27</v>
      </c>
      <c r="J126">
        <v>36</v>
      </c>
    </row>
    <row r="127" spans="1:10" x14ac:dyDescent="0.3">
      <c r="A127">
        <v>1066</v>
      </c>
      <c r="B127" t="s">
        <v>32</v>
      </c>
      <c r="C127" s="1">
        <v>45914</v>
      </c>
      <c r="D127" t="s">
        <v>11</v>
      </c>
      <c r="E127" t="s">
        <v>17</v>
      </c>
      <c r="F127">
        <v>2</v>
      </c>
      <c r="G127">
        <v>12</v>
      </c>
      <c r="H127" t="s">
        <v>23</v>
      </c>
      <c r="I127" t="s">
        <v>14</v>
      </c>
      <c r="J127">
        <v>24</v>
      </c>
    </row>
    <row r="128" spans="1:10" x14ac:dyDescent="0.3">
      <c r="A128">
        <v>1748</v>
      </c>
      <c r="B128" t="s">
        <v>24</v>
      </c>
      <c r="C128" s="1">
        <v>45920</v>
      </c>
      <c r="D128" t="s">
        <v>11</v>
      </c>
      <c r="E128" t="s">
        <v>17</v>
      </c>
      <c r="F128">
        <v>5</v>
      </c>
      <c r="G128">
        <v>12</v>
      </c>
      <c r="H128" t="s">
        <v>23</v>
      </c>
      <c r="I128" t="s">
        <v>14</v>
      </c>
      <c r="J128">
        <v>60</v>
      </c>
    </row>
    <row r="129" spans="1:10" x14ac:dyDescent="0.3">
      <c r="A129">
        <v>1682</v>
      </c>
      <c r="B129" t="s">
        <v>26</v>
      </c>
      <c r="C129" s="1">
        <v>45858</v>
      </c>
      <c r="D129" t="s">
        <v>11</v>
      </c>
      <c r="E129" t="s">
        <v>17</v>
      </c>
      <c r="F129">
        <v>3</v>
      </c>
      <c r="G129">
        <v>12</v>
      </c>
      <c r="H129" t="s">
        <v>23</v>
      </c>
      <c r="I129" t="s">
        <v>14</v>
      </c>
      <c r="J129">
        <v>36</v>
      </c>
    </row>
    <row r="130" spans="1:10" x14ac:dyDescent="0.3">
      <c r="A130">
        <v>1761</v>
      </c>
      <c r="B130" t="s">
        <v>19</v>
      </c>
      <c r="C130" s="1">
        <v>45886</v>
      </c>
      <c r="D130" t="s">
        <v>11</v>
      </c>
      <c r="E130" t="s">
        <v>17</v>
      </c>
      <c r="F130">
        <v>2</v>
      </c>
      <c r="G130">
        <v>12</v>
      </c>
      <c r="H130" t="s">
        <v>21</v>
      </c>
      <c r="I130" t="s">
        <v>25</v>
      </c>
      <c r="J130">
        <v>24</v>
      </c>
    </row>
    <row r="131" spans="1:10" x14ac:dyDescent="0.3">
      <c r="A131">
        <v>1515</v>
      </c>
      <c r="B131" t="s">
        <v>31</v>
      </c>
      <c r="C131" s="1">
        <v>45871</v>
      </c>
      <c r="D131" t="s">
        <v>11</v>
      </c>
      <c r="E131" t="s">
        <v>22</v>
      </c>
      <c r="F131">
        <v>2</v>
      </c>
      <c r="G131">
        <v>20</v>
      </c>
      <c r="H131" t="s">
        <v>23</v>
      </c>
      <c r="I131" t="s">
        <v>14</v>
      </c>
      <c r="J131">
        <v>40</v>
      </c>
    </row>
    <row r="132" spans="1:10" x14ac:dyDescent="0.3">
      <c r="A132">
        <v>142</v>
      </c>
      <c r="B132" t="s">
        <v>24</v>
      </c>
      <c r="C132" s="1">
        <v>45910</v>
      </c>
      <c r="D132" t="s">
        <v>11</v>
      </c>
      <c r="E132" t="s">
        <v>12</v>
      </c>
      <c r="F132">
        <v>1</v>
      </c>
      <c r="G132">
        <v>25</v>
      </c>
      <c r="H132" t="s">
        <v>21</v>
      </c>
      <c r="I132" t="s">
        <v>25</v>
      </c>
      <c r="J132">
        <v>25</v>
      </c>
    </row>
    <row r="133" spans="1:10" x14ac:dyDescent="0.3">
      <c r="A133">
        <v>940</v>
      </c>
      <c r="B133" t="s">
        <v>26</v>
      </c>
      <c r="C133" s="1">
        <v>45871</v>
      </c>
      <c r="D133" t="s">
        <v>11</v>
      </c>
      <c r="E133" t="s">
        <v>17</v>
      </c>
      <c r="F133">
        <v>2</v>
      </c>
      <c r="G133">
        <v>12</v>
      </c>
      <c r="H133" t="s">
        <v>23</v>
      </c>
      <c r="I133" t="s">
        <v>25</v>
      </c>
      <c r="J133">
        <v>24</v>
      </c>
    </row>
    <row r="134" spans="1:10" x14ac:dyDescent="0.3">
      <c r="A134">
        <v>1567</v>
      </c>
      <c r="B134" t="s">
        <v>15</v>
      </c>
      <c r="C134" s="1">
        <v>45869</v>
      </c>
      <c r="D134" t="s">
        <v>11</v>
      </c>
      <c r="E134" t="s">
        <v>12</v>
      </c>
      <c r="F134">
        <v>1</v>
      </c>
      <c r="G134">
        <v>25</v>
      </c>
      <c r="H134" t="s">
        <v>21</v>
      </c>
      <c r="I134" t="s">
        <v>27</v>
      </c>
      <c r="J134">
        <v>25</v>
      </c>
    </row>
    <row r="135" spans="1:10" x14ac:dyDescent="0.3">
      <c r="A135">
        <v>1985</v>
      </c>
      <c r="B135" t="s">
        <v>10</v>
      </c>
      <c r="C135" s="1">
        <v>45871</v>
      </c>
      <c r="D135" t="s">
        <v>11</v>
      </c>
      <c r="E135" t="s">
        <v>22</v>
      </c>
      <c r="F135">
        <v>3</v>
      </c>
      <c r="G135">
        <v>20</v>
      </c>
      <c r="H135" t="s">
        <v>23</v>
      </c>
      <c r="I135" t="s">
        <v>27</v>
      </c>
      <c r="J135">
        <v>60</v>
      </c>
    </row>
    <row r="136" spans="1:10" x14ac:dyDescent="0.3">
      <c r="A136">
        <v>627</v>
      </c>
      <c r="B136" t="s">
        <v>15</v>
      </c>
      <c r="C136" s="1">
        <v>45900</v>
      </c>
      <c r="D136" t="s">
        <v>11</v>
      </c>
      <c r="E136" t="s">
        <v>17</v>
      </c>
      <c r="F136">
        <v>5</v>
      </c>
      <c r="G136">
        <v>12</v>
      </c>
      <c r="H136" t="s">
        <v>23</v>
      </c>
      <c r="I136" t="s">
        <v>25</v>
      </c>
      <c r="J136">
        <v>60</v>
      </c>
    </row>
    <row r="137" spans="1:10" x14ac:dyDescent="0.3">
      <c r="A137">
        <v>283</v>
      </c>
      <c r="B137" t="s">
        <v>10</v>
      </c>
      <c r="C137" s="1">
        <v>45921</v>
      </c>
      <c r="D137" t="s">
        <v>11</v>
      </c>
      <c r="E137" t="s">
        <v>17</v>
      </c>
      <c r="F137">
        <v>4</v>
      </c>
      <c r="G137">
        <v>12</v>
      </c>
      <c r="H137" t="s">
        <v>23</v>
      </c>
      <c r="I137" t="s">
        <v>27</v>
      </c>
      <c r="J137">
        <v>48</v>
      </c>
    </row>
    <row r="138" spans="1:10" x14ac:dyDescent="0.3">
      <c r="A138">
        <v>1961</v>
      </c>
      <c r="B138" t="s">
        <v>26</v>
      </c>
      <c r="C138" s="1">
        <v>45914</v>
      </c>
      <c r="D138" t="s">
        <v>11</v>
      </c>
      <c r="E138" t="s">
        <v>12</v>
      </c>
      <c r="F138">
        <v>5</v>
      </c>
      <c r="G138">
        <v>25</v>
      </c>
      <c r="H138" t="s">
        <v>23</v>
      </c>
      <c r="I138" t="s">
        <v>25</v>
      </c>
      <c r="J138">
        <v>125</v>
      </c>
    </row>
    <row r="139" spans="1:10" x14ac:dyDescent="0.3">
      <c r="A139">
        <v>887</v>
      </c>
      <c r="B139" t="s">
        <v>24</v>
      </c>
      <c r="C139" s="1">
        <v>45866</v>
      </c>
      <c r="D139" t="s">
        <v>11</v>
      </c>
      <c r="E139" t="s">
        <v>12</v>
      </c>
      <c r="F139">
        <v>4</v>
      </c>
      <c r="G139">
        <v>25</v>
      </c>
      <c r="H139" t="s">
        <v>23</v>
      </c>
      <c r="I139" t="s">
        <v>27</v>
      </c>
      <c r="J139">
        <v>100</v>
      </c>
    </row>
    <row r="140" spans="1:10" x14ac:dyDescent="0.3">
      <c r="A140">
        <v>436</v>
      </c>
      <c r="B140" t="s">
        <v>19</v>
      </c>
      <c r="C140" s="1">
        <v>45863</v>
      </c>
      <c r="D140" t="s">
        <v>11</v>
      </c>
      <c r="E140" t="s">
        <v>17</v>
      </c>
      <c r="F140">
        <v>3</v>
      </c>
      <c r="G140">
        <v>12</v>
      </c>
      <c r="H140" t="s">
        <v>23</v>
      </c>
      <c r="I140" t="s">
        <v>27</v>
      </c>
      <c r="J140">
        <v>36</v>
      </c>
    </row>
    <row r="141" spans="1:10" x14ac:dyDescent="0.3">
      <c r="A141">
        <v>67</v>
      </c>
      <c r="B141" t="s">
        <v>31</v>
      </c>
      <c r="C141" s="1">
        <v>45929</v>
      </c>
      <c r="D141" t="s">
        <v>11</v>
      </c>
      <c r="E141" t="s">
        <v>17</v>
      </c>
      <c r="F141">
        <v>3</v>
      </c>
      <c r="G141">
        <v>12</v>
      </c>
      <c r="H141" t="s">
        <v>21</v>
      </c>
      <c r="I141" t="s">
        <v>18</v>
      </c>
      <c r="J141">
        <v>36</v>
      </c>
    </row>
    <row r="142" spans="1:10" x14ac:dyDescent="0.3">
      <c r="A142">
        <v>1332</v>
      </c>
      <c r="B142" t="s">
        <v>10</v>
      </c>
      <c r="C142" s="1">
        <v>45913</v>
      </c>
      <c r="D142" t="s">
        <v>11</v>
      </c>
      <c r="E142" t="s">
        <v>30</v>
      </c>
      <c r="F142">
        <v>4</v>
      </c>
      <c r="G142">
        <v>8</v>
      </c>
      <c r="H142" t="s">
        <v>13</v>
      </c>
      <c r="I142" t="s">
        <v>27</v>
      </c>
      <c r="J142">
        <v>32</v>
      </c>
    </row>
    <row r="143" spans="1:10" x14ac:dyDescent="0.3">
      <c r="A143">
        <v>1294</v>
      </c>
      <c r="B143" t="s">
        <v>24</v>
      </c>
      <c r="C143" s="1">
        <v>45872</v>
      </c>
      <c r="D143" t="s">
        <v>11</v>
      </c>
      <c r="E143" t="s">
        <v>12</v>
      </c>
      <c r="F143">
        <v>5</v>
      </c>
      <c r="G143">
        <v>25</v>
      </c>
      <c r="H143" t="s">
        <v>21</v>
      </c>
      <c r="I143" t="s">
        <v>27</v>
      </c>
      <c r="J143">
        <v>125</v>
      </c>
    </row>
    <row r="144" spans="1:10" x14ac:dyDescent="0.3">
      <c r="A144">
        <v>637</v>
      </c>
      <c r="B144" t="s">
        <v>24</v>
      </c>
      <c r="C144" s="1">
        <v>45913</v>
      </c>
      <c r="D144" t="s">
        <v>11</v>
      </c>
      <c r="E144" t="s">
        <v>29</v>
      </c>
      <c r="F144">
        <v>3</v>
      </c>
      <c r="G144">
        <v>30</v>
      </c>
      <c r="H144" t="s">
        <v>13</v>
      </c>
      <c r="I144" t="s">
        <v>18</v>
      </c>
      <c r="J144">
        <v>90</v>
      </c>
    </row>
    <row r="145" spans="1:10" x14ac:dyDescent="0.3">
      <c r="A145">
        <v>126</v>
      </c>
      <c r="B145" t="s">
        <v>19</v>
      </c>
      <c r="C145" s="1">
        <v>45907</v>
      </c>
      <c r="D145" t="s">
        <v>11</v>
      </c>
      <c r="E145" t="s">
        <v>30</v>
      </c>
      <c r="F145">
        <v>1</v>
      </c>
      <c r="G145">
        <v>8</v>
      </c>
      <c r="H145" t="s">
        <v>23</v>
      </c>
      <c r="I145" t="s">
        <v>18</v>
      </c>
      <c r="J145">
        <v>8</v>
      </c>
    </row>
    <row r="146" spans="1:10" x14ac:dyDescent="0.3">
      <c r="A146">
        <v>811</v>
      </c>
      <c r="B146" t="s">
        <v>32</v>
      </c>
      <c r="C146" s="1">
        <v>45843</v>
      </c>
      <c r="D146" t="s">
        <v>11</v>
      </c>
      <c r="E146" t="s">
        <v>17</v>
      </c>
      <c r="F146">
        <v>5</v>
      </c>
      <c r="G146">
        <v>12</v>
      </c>
      <c r="H146" t="s">
        <v>21</v>
      </c>
      <c r="I146" t="s">
        <v>18</v>
      </c>
      <c r="J146">
        <v>60</v>
      </c>
    </row>
    <row r="147" spans="1:10" x14ac:dyDescent="0.3">
      <c r="A147">
        <v>1498</v>
      </c>
      <c r="B147" t="s">
        <v>19</v>
      </c>
      <c r="C147" s="1">
        <v>45851</v>
      </c>
      <c r="D147" t="s">
        <v>11</v>
      </c>
      <c r="E147" t="s">
        <v>22</v>
      </c>
      <c r="F147">
        <v>5</v>
      </c>
      <c r="G147">
        <v>20</v>
      </c>
      <c r="H147" t="s">
        <v>13</v>
      </c>
      <c r="I147" t="s">
        <v>25</v>
      </c>
      <c r="J147">
        <v>100</v>
      </c>
    </row>
    <row r="148" spans="1:10" x14ac:dyDescent="0.3">
      <c r="A148">
        <v>451</v>
      </c>
      <c r="B148" t="s">
        <v>10</v>
      </c>
      <c r="C148" s="1">
        <v>45842</v>
      </c>
      <c r="D148" t="s">
        <v>11</v>
      </c>
      <c r="E148" t="s">
        <v>17</v>
      </c>
      <c r="F148">
        <v>5</v>
      </c>
      <c r="G148">
        <v>12</v>
      </c>
      <c r="H148" t="s">
        <v>13</v>
      </c>
      <c r="I148" t="s">
        <v>18</v>
      </c>
      <c r="J148">
        <v>60</v>
      </c>
    </row>
    <row r="149" spans="1:10" x14ac:dyDescent="0.3">
      <c r="A149">
        <v>4</v>
      </c>
      <c r="B149" t="s">
        <v>28</v>
      </c>
      <c r="C149" s="1">
        <v>45839</v>
      </c>
      <c r="D149" t="s">
        <v>11</v>
      </c>
      <c r="E149" t="s">
        <v>17</v>
      </c>
      <c r="F149">
        <v>3</v>
      </c>
      <c r="G149">
        <v>12</v>
      </c>
      <c r="H149" t="s">
        <v>13</v>
      </c>
      <c r="I149" t="s">
        <v>14</v>
      </c>
      <c r="J149">
        <v>36</v>
      </c>
    </row>
    <row r="150" spans="1:10" x14ac:dyDescent="0.3">
      <c r="A150">
        <v>628</v>
      </c>
      <c r="B150" t="s">
        <v>10</v>
      </c>
      <c r="C150" s="1">
        <v>45896</v>
      </c>
      <c r="D150" t="s">
        <v>11</v>
      </c>
      <c r="E150" t="s">
        <v>30</v>
      </c>
      <c r="F150">
        <v>4</v>
      </c>
      <c r="G150">
        <v>8</v>
      </c>
      <c r="H150" t="s">
        <v>21</v>
      </c>
      <c r="I150" t="s">
        <v>25</v>
      </c>
      <c r="J150">
        <v>32</v>
      </c>
    </row>
    <row r="151" spans="1:10" x14ac:dyDescent="0.3">
      <c r="A151">
        <v>829</v>
      </c>
      <c r="B151" t="s">
        <v>28</v>
      </c>
      <c r="C151" s="1">
        <v>45864</v>
      </c>
      <c r="D151" t="s">
        <v>11</v>
      </c>
      <c r="E151" t="s">
        <v>17</v>
      </c>
      <c r="F151">
        <v>5</v>
      </c>
      <c r="G151">
        <v>12</v>
      </c>
      <c r="H151" t="s">
        <v>13</v>
      </c>
      <c r="I151" t="s">
        <v>14</v>
      </c>
      <c r="J151">
        <v>60</v>
      </c>
    </row>
    <row r="152" spans="1:10" x14ac:dyDescent="0.3">
      <c r="A152">
        <v>1520</v>
      </c>
      <c r="B152" t="s">
        <v>15</v>
      </c>
      <c r="C152" s="1">
        <v>45844</v>
      </c>
      <c r="D152" t="s">
        <v>11</v>
      </c>
      <c r="E152" t="s">
        <v>17</v>
      </c>
      <c r="F152">
        <v>1</v>
      </c>
      <c r="G152">
        <v>12</v>
      </c>
      <c r="H152" t="s">
        <v>13</v>
      </c>
      <c r="I152" t="s">
        <v>14</v>
      </c>
      <c r="J152">
        <v>12</v>
      </c>
    </row>
    <row r="153" spans="1:10" x14ac:dyDescent="0.3">
      <c r="A153">
        <v>1605</v>
      </c>
      <c r="B153" t="s">
        <v>31</v>
      </c>
      <c r="C153" s="1">
        <v>45878</v>
      </c>
      <c r="D153" t="s">
        <v>11</v>
      </c>
      <c r="E153" t="s">
        <v>17</v>
      </c>
      <c r="F153">
        <v>2</v>
      </c>
      <c r="G153">
        <v>12</v>
      </c>
      <c r="H153" t="s">
        <v>23</v>
      </c>
      <c r="I153" t="s">
        <v>18</v>
      </c>
      <c r="J153">
        <v>24</v>
      </c>
    </row>
    <row r="154" spans="1:10" x14ac:dyDescent="0.3">
      <c r="A154">
        <v>1141</v>
      </c>
      <c r="B154" t="s">
        <v>10</v>
      </c>
      <c r="C154" s="1">
        <v>45851</v>
      </c>
      <c r="D154" t="s">
        <v>11</v>
      </c>
      <c r="E154" t="s">
        <v>17</v>
      </c>
      <c r="F154">
        <v>4</v>
      </c>
      <c r="G154">
        <v>12</v>
      </c>
      <c r="H154" t="s">
        <v>23</v>
      </c>
      <c r="I154" t="s">
        <v>27</v>
      </c>
      <c r="J154">
        <v>48</v>
      </c>
    </row>
    <row r="155" spans="1:10" x14ac:dyDescent="0.3">
      <c r="A155">
        <v>1924</v>
      </c>
      <c r="B155" t="s">
        <v>32</v>
      </c>
      <c r="C155" s="1">
        <v>45908</v>
      </c>
      <c r="D155" t="s">
        <v>11</v>
      </c>
      <c r="E155" t="s">
        <v>17</v>
      </c>
      <c r="F155">
        <v>4</v>
      </c>
      <c r="G155">
        <v>12</v>
      </c>
      <c r="H155" t="s">
        <v>23</v>
      </c>
      <c r="I155" t="s">
        <v>18</v>
      </c>
      <c r="J155">
        <v>48</v>
      </c>
    </row>
    <row r="156" spans="1:10" x14ac:dyDescent="0.3">
      <c r="A156">
        <v>1061</v>
      </c>
      <c r="B156" t="s">
        <v>24</v>
      </c>
      <c r="C156" s="1">
        <v>45866</v>
      </c>
      <c r="D156" t="s">
        <v>11</v>
      </c>
      <c r="E156" t="s">
        <v>17</v>
      </c>
      <c r="F156">
        <v>2</v>
      </c>
      <c r="G156">
        <v>12</v>
      </c>
      <c r="H156" t="s">
        <v>23</v>
      </c>
      <c r="I156" t="s">
        <v>25</v>
      </c>
      <c r="J156">
        <v>24</v>
      </c>
    </row>
    <row r="157" spans="1:10" x14ac:dyDescent="0.3">
      <c r="A157">
        <v>1127</v>
      </c>
      <c r="B157" t="s">
        <v>31</v>
      </c>
      <c r="C157" s="1">
        <v>45895</v>
      </c>
      <c r="D157" t="s">
        <v>11</v>
      </c>
      <c r="E157" t="s">
        <v>30</v>
      </c>
      <c r="F157">
        <v>5</v>
      </c>
      <c r="G157">
        <v>8</v>
      </c>
      <c r="H157" t="s">
        <v>23</v>
      </c>
      <c r="I157" t="s">
        <v>25</v>
      </c>
      <c r="J157">
        <v>40</v>
      </c>
    </row>
    <row r="158" spans="1:10" x14ac:dyDescent="0.3">
      <c r="A158">
        <v>840</v>
      </c>
      <c r="B158" t="s">
        <v>15</v>
      </c>
      <c r="C158" s="1">
        <v>45870</v>
      </c>
      <c r="D158" t="s">
        <v>11</v>
      </c>
      <c r="E158" t="s">
        <v>17</v>
      </c>
      <c r="F158">
        <v>5</v>
      </c>
      <c r="G158">
        <v>12</v>
      </c>
      <c r="H158" t="s">
        <v>21</v>
      </c>
      <c r="I158" t="s">
        <v>25</v>
      </c>
      <c r="J158">
        <v>60</v>
      </c>
    </row>
    <row r="159" spans="1:10" x14ac:dyDescent="0.3">
      <c r="A159">
        <v>493</v>
      </c>
      <c r="B159" t="s">
        <v>24</v>
      </c>
      <c r="C159" s="1">
        <v>45895</v>
      </c>
      <c r="D159" t="s">
        <v>11</v>
      </c>
      <c r="E159" t="s">
        <v>30</v>
      </c>
      <c r="F159">
        <v>5</v>
      </c>
      <c r="G159">
        <v>8</v>
      </c>
      <c r="H159" t="s">
        <v>13</v>
      </c>
      <c r="I159" t="s">
        <v>27</v>
      </c>
      <c r="J159">
        <v>40</v>
      </c>
    </row>
    <row r="160" spans="1:10" x14ac:dyDescent="0.3">
      <c r="A160">
        <v>1033</v>
      </c>
      <c r="B160" t="s">
        <v>24</v>
      </c>
      <c r="C160" s="1">
        <v>45862</v>
      </c>
      <c r="D160" t="s">
        <v>11</v>
      </c>
      <c r="E160" t="s">
        <v>30</v>
      </c>
      <c r="F160">
        <v>4</v>
      </c>
      <c r="G160">
        <v>8</v>
      </c>
      <c r="H160" t="s">
        <v>13</v>
      </c>
      <c r="I160" t="s">
        <v>27</v>
      </c>
      <c r="J160">
        <v>32</v>
      </c>
    </row>
    <row r="161" spans="1:10" x14ac:dyDescent="0.3">
      <c r="A161">
        <v>1209</v>
      </c>
      <c r="B161" t="s">
        <v>24</v>
      </c>
      <c r="C161" s="1">
        <v>45917</v>
      </c>
      <c r="D161" t="s">
        <v>11</v>
      </c>
      <c r="E161" t="s">
        <v>17</v>
      </c>
      <c r="F161">
        <v>4</v>
      </c>
      <c r="G161">
        <v>12</v>
      </c>
      <c r="H161" t="s">
        <v>21</v>
      </c>
      <c r="I161" t="s">
        <v>27</v>
      </c>
      <c r="J161">
        <v>48</v>
      </c>
    </row>
    <row r="162" spans="1:10" x14ac:dyDescent="0.3">
      <c r="A162">
        <v>1862</v>
      </c>
      <c r="B162" t="s">
        <v>10</v>
      </c>
      <c r="C162" s="1">
        <v>45901</v>
      </c>
      <c r="D162" t="s">
        <v>11</v>
      </c>
      <c r="E162" t="s">
        <v>12</v>
      </c>
      <c r="F162">
        <v>4</v>
      </c>
      <c r="G162">
        <v>25</v>
      </c>
      <c r="H162" t="s">
        <v>23</v>
      </c>
      <c r="I162" t="s">
        <v>14</v>
      </c>
      <c r="J162">
        <v>100</v>
      </c>
    </row>
    <row r="163" spans="1:10" x14ac:dyDescent="0.3">
      <c r="A163">
        <v>710</v>
      </c>
      <c r="B163" t="s">
        <v>19</v>
      </c>
      <c r="C163" s="1">
        <v>45854</v>
      </c>
      <c r="D163" t="s">
        <v>11</v>
      </c>
      <c r="E163" t="s">
        <v>17</v>
      </c>
      <c r="F163">
        <v>5</v>
      </c>
      <c r="G163">
        <v>12</v>
      </c>
      <c r="H163" t="s">
        <v>23</v>
      </c>
      <c r="I163" t="s">
        <v>25</v>
      </c>
      <c r="J163">
        <v>60</v>
      </c>
    </row>
    <row r="164" spans="1:10" x14ac:dyDescent="0.3">
      <c r="A164">
        <v>720</v>
      </c>
      <c r="B164" t="s">
        <v>31</v>
      </c>
      <c r="C164" s="1">
        <v>45928</v>
      </c>
      <c r="D164" t="s">
        <v>11</v>
      </c>
      <c r="E164" t="s">
        <v>17</v>
      </c>
      <c r="F164">
        <v>3</v>
      </c>
      <c r="G164">
        <v>12</v>
      </c>
      <c r="H164" t="s">
        <v>13</v>
      </c>
      <c r="I164" t="s">
        <v>18</v>
      </c>
      <c r="J164">
        <v>36</v>
      </c>
    </row>
    <row r="165" spans="1:10" x14ac:dyDescent="0.3">
      <c r="A165">
        <v>73</v>
      </c>
      <c r="B165" t="s">
        <v>24</v>
      </c>
      <c r="C165" s="1">
        <v>45919</v>
      </c>
      <c r="D165" t="s">
        <v>11</v>
      </c>
      <c r="E165" t="s">
        <v>17</v>
      </c>
      <c r="F165">
        <v>1</v>
      </c>
      <c r="G165">
        <v>12</v>
      </c>
      <c r="H165" t="s">
        <v>23</v>
      </c>
      <c r="I165" t="s">
        <v>18</v>
      </c>
      <c r="J165">
        <v>12</v>
      </c>
    </row>
    <row r="166" spans="1:10" x14ac:dyDescent="0.3">
      <c r="A166">
        <v>805</v>
      </c>
      <c r="B166" t="s">
        <v>10</v>
      </c>
      <c r="C166" s="1">
        <v>45852</v>
      </c>
      <c r="D166" t="s">
        <v>11</v>
      </c>
      <c r="E166" t="s">
        <v>12</v>
      </c>
      <c r="F166">
        <v>3</v>
      </c>
      <c r="G166">
        <v>25</v>
      </c>
      <c r="H166" t="s">
        <v>21</v>
      </c>
      <c r="I166" t="s">
        <v>18</v>
      </c>
      <c r="J166">
        <v>75</v>
      </c>
    </row>
    <row r="167" spans="1:10" x14ac:dyDescent="0.3">
      <c r="A167">
        <v>301</v>
      </c>
      <c r="B167" t="s">
        <v>24</v>
      </c>
      <c r="C167" s="1">
        <v>45872</v>
      </c>
      <c r="D167" t="s">
        <v>11</v>
      </c>
      <c r="E167" t="s">
        <v>22</v>
      </c>
      <c r="F167">
        <v>5</v>
      </c>
      <c r="G167">
        <v>20</v>
      </c>
      <c r="H167" t="s">
        <v>13</v>
      </c>
      <c r="I167" t="s">
        <v>27</v>
      </c>
      <c r="J167">
        <v>100</v>
      </c>
    </row>
    <row r="168" spans="1:10" x14ac:dyDescent="0.3">
      <c r="A168">
        <v>795</v>
      </c>
      <c r="B168" t="s">
        <v>24</v>
      </c>
      <c r="C168" s="1">
        <v>45844</v>
      </c>
      <c r="D168" t="s">
        <v>11</v>
      </c>
      <c r="E168" t="s">
        <v>17</v>
      </c>
      <c r="F168">
        <v>3</v>
      </c>
      <c r="G168">
        <v>12</v>
      </c>
      <c r="H168" t="s">
        <v>23</v>
      </c>
      <c r="I168" t="s">
        <v>14</v>
      </c>
      <c r="J168">
        <v>36</v>
      </c>
    </row>
    <row r="169" spans="1:10" x14ac:dyDescent="0.3">
      <c r="A169">
        <v>1126</v>
      </c>
      <c r="B169" t="s">
        <v>24</v>
      </c>
      <c r="C169" s="1">
        <v>45909</v>
      </c>
      <c r="D169" t="s">
        <v>11</v>
      </c>
      <c r="E169" t="s">
        <v>12</v>
      </c>
      <c r="F169">
        <v>2</v>
      </c>
      <c r="G169">
        <v>25</v>
      </c>
      <c r="H169" t="s">
        <v>21</v>
      </c>
      <c r="I169" t="s">
        <v>18</v>
      </c>
      <c r="J169">
        <v>50</v>
      </c>
    </row>
    <row r="170" spans="1:10" x14ac:dyDescent="0.3">
      <c r="A170">
        <v>327</v>
      </c>
      <c r="B170" t="s">
        <v>24</v>
      </c>
      <c r="C170" s="1">
        <v>45886</v>
      </c>
      <c r="D170" t="s">
        <v>11</v>
      </c>
      <c r="E170" t="s">
        <v>22</v>
      </c>
      <c r="F170">
        <v>3</v>
      </c>
      <c r="G170">
        <v>20</v>
      </c>
      <c r="H170" t="s">
        <v>23</v>
      </c>
      <c r="I170" t="s">
        <v>18</v>
      </c>
      <c r="J170">
        <v>60</v>
      </c>
    </row>
    <row r="171" spans="1:10" x14ac:dyDescent="0.3">
      <c r="A171">
        <v>744</v>
      </c>
      <c r="B171" t="s">
        <v>24</v>
      </c>
      <c r="C171" s="1">
        <v>45910</v>
      </c>
      <c r="D171" t="s">
        <v>11</v>
      </c>
      <c r="E171" t="s">
        <v>17</v>
      </c>
      <c r="F171">
        <v>4</v>
      </c>
      <c r="G171">
        <v>12</v>
      </c>
      <c r="H171" t="s">
        <v>23</v>
      </c>
      <c r="I171" t="s">
        <v>27</v>
      </c>
      <c r="J171">
        <v>48</v>
      </c>
    </row>
    <row r="172" spans="1:10" x14ac:dyDescent="0.3">
      <c r="A172">
        <v>1539</v>
      </c>
      <c r="B172" t="s">
        <v>24</v>
      </c>
      <c r="C172" s="1">
        <v>45930</v>
      </c>
      <c r="D172" t="s">
        <v>11</v>
      </c>
      <c r="E172" t="s">
        <v>30</v>
      </c>
      <c r="F172">
        <v>2</v>
      </c>
      <c r="G172">
        <v>8</v>
      </c>
      <c r="H172" t="s">
        <v>21</v>
      </c>
      <c r="I172" t="s">
        <v>27</v>
      </c>
      <c r="J172">
        <v>16</v>
      </c>
    </row>
    <row r="173" spans="1:10" x14ac:dyDescent="0.3">
      <c r="A173">
        <v>1094</v>
      </c>
      <c r="B173" t="s">
        <v>24</v>
      </c>
      <c r="C173" s="1">
        <v>45907</v>
      </c>
      <c r="D173" t="s">
        <v>11</v>
      </c>
      <c r="E173" t="s">
        <v>22</v>
      </c>
      <c r="F173">
        <v>4</v>
      </c>
      <c r="G173">
        <v>20</v>
      </c>
      <c r="H173" t="s">
        <v>13</v>
      </c>
      <c r="I173" t="s">
        <v>25</v>
      </c>
      <c r="J173">
        <v>80</v>
      </c>
    </row>
    <row r="174" spans="1:10" x14ac:dyDescent="0.3">
      <c r="A174">
        <v>189</v>
      </c>
      <c r="B174" t="s">
        <v>24</v>
      </c>
      <c r="C174" s="1">
        <v>45907</v>
      </c>
      <c r="D174" t="s">
        <v>11</v>
      </c>
      <c r="E174" t="s">
        <v>30</v>
      </c>
      <c r="F174">
        <v>3</v>
      </c>
      <c r="G174">
        <v>8</v>
      </c>
      <c r="H174" t="s">
        <v>13</v>
      </c>
      <c r="I174" t="s">
        <v>14</v>
      </c>
      <c r="J174">
        <v>24</v>
      </c>
    </row>
    <row r="175" spans="1:10" x14ac:dyDescent="0.3">
      <c r="A175">
        <v>548</v>
      </c>
      <c r="B175" t="s">
        <v>24</v>
      </c>
      <c r="C175" s="1">
        <v>45905</v>
      </c>
      <c r="D175" t="s">
        <v>11</v>
      </c>
      <c r="E175" t="s">
        <v>17</v>
      </c>
      <c r="F175">
        <v>2</v>
      </c>
      <c r="G175">
        <v>12</v>
      </c>
      <c r="H175" t="s">
        <v>21</v>
      </c>
      <c r="I175" t="s">
        <v>18</v>
      </c>
      <c r="J175">
        <v>24</v>
      </c>
    </row>
    <row r="176" spans="1:10" x14ac:dyDescent="0.3">
      <c r="A176">
        <v>496</v>
      </c>
      <c r="B176" t="s">
        <v>24</v>
      </c>
      <c r="C176" s="1">
        <v>45860</v>
      </c>
      <c r="D176" t="s">
        <v>11</v>
      </c>
      <c r="E176" t="s">
        <v>17</v>
      </c>
      <c r="F176">
        <v>1</v>
      </c>
      <c r="G176">
        <v>12</v>
      </c>
      <c r="H176" t="s">
        <v>13</v>
      </c>
      <c r="I176" t="s">
        <v>18</v>
      </c>
      <c r="J176">
        <v>12</v>
      </c>
    </row>
    <row r="177" spans="1:10" x14ac:dyDescent="0.3">
      <c r="A177">
        <v>1134</v>
      </c>
      <c r="B177" t="s">
        <v>24</v>
      </c>
      <c r="C177" s="1">
        <v>45908</v>
      </c>
      <c r="D177" t="s">
        <v>11</v>
      </c>
      <c r="E177" t="s">
        <v>12</v>
      </c>
      <c r="F177">
        <v>5</v>
      </c>
      <c r="G177">
        <v>25</v>
      </c>
      <c r="H177" t="s">
        <v>13</v>
      </c>
      <c r="I177" t="s">
        <v>27</v>
      </c>
      <c r="J177">
        <v>125</v>
      </c>
    </row>
    <row r="178" spans="1:10" x14ac:dyDescent="0.3">
      <c r="A178">
        <v>1563</v>
      </c>
      <c r="B178" t="s">
        <v>24</v>
      </c>
      <c r="C178" s="1">
        <v>45882</v>
      </c>
      <c r="D178" t="s">
        <v>11</v>
      </c>
      <c r="E178" t="s">
        <v>17</v>
      </c>
      <c r="F178">
        <v>2</v>
      </c>
      <c r="G178">
        <v>12</v>
      </c>
      <c r="H178" t="s">
        <v>23</v>
      </c>
      <c r="I178" t="s">
        <v>25</v>
      </c>
      <c r="J178">
        <v>24</v>
      </c>
    </row>
    <row r="179" spans="1:10" x14ac:dyDescent="0.3">
      <c r="A179">
        <v>1936</v>
      </c>
      <c r="B179" t="s">
        <v>24</v>
      </c>
      <c r="C179" s="1">
        <v>45922</v>
      </c>
      <c r="D179" t="s">
        <v>11</v>
      </c>
      <c r="E179" t="s">
        <v>12</v>
      </c>
      <c r="F179">
        <v>5</v>
      </c>
      <c r="G179">
        <v>25</v>
      </c>
      <c r="H179" t="s">
        <v>21</v>
      </c>
      <c r="I179" t="s">
        <v>25</v>
      </c>
      <c r="J179">
        <v>125</v>
      </c>
    </row>
    <row r="180" spans="1:10" x14ac:dyDescent="0.3">
      <c r="A180">
        <v>979</v>
      </c>
      <c r="B180" t="s">
        <v>24</v>
      </c>
      <c r="C180" s="1">
        <v>45851</v>
      </c>
      <c r="D180" t="s">
        <v>11</v>
      </c>
      <c r="E180" t="s">
        <v>30</v>
      </c>
      <c r="F180">
        <v>1</v>
      </c>
      <c r="G180">
        <v>8</v>
      </c>
      <c r="H180" t="s">
        <v>13</v>
      </c>
      <c r="I180" t="s">
        <v>14</v>
      </c>
      <c r="J180">
        <v>8</v>
      </c>
    </row>
    <row r="181" spans="1:10" x14ac:dyDescent="0.3">
      <c r="A181">
        <v>1741</v>
      </c>
      <c r="B181" t="s">
        <v>24</v>
      </c>
      <c r="C181" s="1">
        <v>45917</v>
      </c>
      <c r="D181" t="s">
        <v>11</v>
      </c>
      <c r="E181" t="s">
        <v>29</v>
      </c>
      <c r="F181">
        <v>4</v>
      </c>
      <c r="G181">
        <v>30</v>
      </c>
      <c r="H181" t="s">
        <v>23</v>
      </c>
      <c r="I181" t="s">
        <v>18</v>
      </c>
      <c r="J181">
        <v>120</v>
      </c>
    </row>
    <row r="182" spans="1:10" x14ac:dyDescent="0.3">
      <c r="A182">
        <v>1852</v>
      </c>
      <c r="B182" t="s">
        <v>24</v>
      </c>
      <c r="C182" s="1">
        <v>45915</v>
      </c>
      <c r="D182" t="s">
        <v>11</v>
      </c>
      <c r="E182" t="s">
        <v>17</v>
      </c>
      <c r="F182">
        <v>4</v>
      </c>
      <c r="G182">
        <v>12</v>
      </c>
      <c r="H182" t="s">
        <v>21</v>
      </c>
      <c r="I182" t="s">
        <v>18</v>
      </c>
      <c r="J182">
        <v>48</v>
      </c>
    </row>
    <row r="183" spans="1:10" x14ac:dyDescent="0.3">
      <c r="A183">
        <v>1596</v>
      </c>
      <c r="B183" t="s">
        <v>24</v>
      </c>
      <c r="C183" s="1">
        <v>45869</v>
      </c>
      <c r="D183" t="s">
        <v>11</v>
      </c>
      <c r="E183" t="s">
        <v>12</v>
      </c>
      <c r="F183">
        <v>3</v>
      </c>
      <c r="G183">
        <v>25</v>
      </c>
      <c r="H183" t="s">
        <v>21</v>
      </c>
      <c r="I183" t="s">
        <v>18</v>
      </c>
      <c r="J183">
        <v>75</v>
      </c>
    </row>
    <row r="184" spans="1:10" x14ac:dyDescent="0.3">
      <c r="A184">
        <v>471</v>
      </c>
      <c r="B184" t="s">
        <v>24</v>
      </c>
      <c r="C184" s="1">
        <v>45913</v>
      </c>
      <c r="D184" t="s">
        <v>11</v>
      </c>
      <c r="E184" t="s">
        <v>17</v>
      </c>
      <c r="F184">
        <v>3</v>
      </c>
      <c r="G184">
        <v>12</v>
      </c>
      <c r="H184" t="s">
        <v>23</v>
      </c>
      <c r="I184" t="s">
        <v>25</v>
      </c>
      <c r="J184">
        <v>36</v>
      </c>
    </row>
    <row r="185" spans="1:10" x14ac:dyDescent="0.3">
      <c r="A185">
        <v>123</v>
      </c>
      <c r="B185" t="s">
        <v>24</v>
      </c>
      <c r="C185" s="1">
        <v>45920</v>
      </c>
      <c r="D185" t="s">
        <v>11</v>
      </c>
      <c r="E185" t="s">
        <v>29</v>
      </c>
      <c r="F185">
        <v>1</v>
      </c>
      <c r="G185">
        <v>30</v>
      </c>
      <c r="H185" t="s">
        <v>13</v>
      </c>
      <c r="I185" t="s">
        <v>18</v>
      </c>
      <c r="J185">
        <v>30</v>
      </c>
    </row>
    <row r="186" spans="1:10" x14ac:dyDescent="0.3">
      <c r="A186">
        <v>1579</v>
      </c>
      <c r="B186" t="s">
        <v>24</v>
      </c>
      <c r="C186" s="1">
        <v>45908</v>
      </c>
      <c r="D186" t="s">
        <v>11</v>
      </c>
      <c r="E186" t="s">
        <v>30</v>
      </c>
      <c r="F186">
        <v>2</v>
      </c>
      <c r="G186">
        <v>8</v>
      </c>
      <c r="H186" t="s">
        <v>23</v>
      </c>
      <c r="I186" t="s">
        <v>14</v>
      </c>
      <c r="J186">
        <v>16</v>
      </c>
    </row>
    <row r="187" spans="1:10" x14ac:dyDescent="0.3">
      <c r="A187">
        <v>305</v>
      </c>
      <c r="B187" t="s">
        <v>24</v>
      </c>
      <c r="C187" s="1">
        <v>45859</v>
      </c>
      <c r="D187" t="s">
        <v>11</v>
      </c>
      <c r="E187" t="s">
        <v>29</v>
      </c>
      <c r="F187">
        <v>4</v>
      </c>
      <c r="G187">
        <v>30</v>
      </c>
      <c r="H187" t="s">
        <v>21</v>
      </c>
      <c r="I187" t="s">
        <v>18</v>
      </c>
      <c r="J187">
        <v>120</v>
      </c>
    </row>
    <row r="188" spans="1:10" x14ac:dyDescent="0.3">
      <c r="A188">
        <v>1115</v>
      </c>
      <c r="B188" t="s">
        <v>24</v>
      </c>
      <c r="C188" s="1">
        <v>45850</v>
      </c>
      <c r="D188" t="s">
        <v>11</v>
      </c>
      <c r="E188" t="s">
        <v>17</v>
      </c>
      <c r="F188">
        <v>4</v>
      </c>
      <c r="G188">
        <v>12</v>
      </c>
      <c r="H188" t="s">
        <v>23</v>
      </c>
      <c r="I188" t="s">
        <v>25</v>
      </c>
      <c r="J188">
        <v>48</v>
      </c>
    </row>
    <row r="189" spans="1:10" x14ac:dyDescent="0.3">
      <c r="A189">
        <v>532</v>
      </c>
      <c r="B189" t="s">
        <v>24</v>
      </c>
      <c r="C189" s="1">
        <v>45859</v>
      </c>
      <c r="D189" t="s">
        <v>11</v>
      </c>
      <c r="E189" t="s">
        <v>22</v>
      </c>
      <c r="F189">
        <v>1</v>
      </c>
      <c r="G189">
        <v>20</v>
      </c>
      <c r="H189" t="s">
        <v>23</v>
      </c>
      <c r="I189" t="s">
        <v>27</v>
      </c>
      <c r="J189">
        <v>20</v>
      </c>
    </row>
    <row r="190" spans="1:10" x14ac:dyDescent="0.3">
      <c r="A190">
        <v>1426</v>
      </c>
      <c r="B190" t="s">
        <v>24</v>
      </c>
      <c r="C190" s="1">
        <v>45899</v>
      </c>
      <c r="D190" t="s">
        <v>11</v>
      </c>
      <c r="E190" t="s">
        <v>12</v>
      </c>
      <c r="F190">
        <v>5</v>
      </c>
      <c r="G190">
        <v>25</v>
      </c>
      <c r="H190" t="s">
        <v>13</v>
      </c>
      <c r="I190" t="s">
        <v>27</v>
      </c>
      <c r="J190">
        <v>125</v>
      </c>
    </row>
    <row r="191" spans="1:10" x14ac:dyDescent="0.3">
      <c r="A191">
        <v>504</v>
      </c>
      <c r="B191" t="s">
        <v>24</v>
      </c>
      <c r="C191" s="1">
        <v>45864</v>
      </c>
      <c r="D191" t="s">
        <v>11</v>
      </c>
      <c r="E191" t="s">
        <v>29</v>
      </c>
      <c r="F191">
        <v>1</v>
      </c>
      <c r="G191">
        <v>30</v>
      </c>
      <c r="H191" t="s">
        <v>13</v>
      </c>
      <c r="I191" t="s">
        <v>25</v>
      </c>
      <c r="J191">
        <v>30</v>
      </c>
    </row>
    <row r="192" spans="1:10" x14ac:dyDescent="0.3">
      <c r="A192">
        <v>359</v>
      </c>
      <c r="B192" t="s">
        <v>24</v>
      </c>
      <c r="C192" s="1">
        <v>45867</v>
      </c>
      <c r="D192" t="s">
        <v>11</v>
      </c>
      <c r="E192" t="s">
        <v>12</v>
      </c>
      <c r="F192">
        <v>4</v>
      </c>
      <c r="G192">
        <v>25</v>
      </c>
      <c r="H192" t="s">
        <v>13</v>
      </c>
      <c r="I192" t="s">
        <v>25</v>
      </c>
      <c r="J192">
        <v>100</v>
      </c>
    </row>
    <row r="193" spans="1:10" x14ac:dyDescent="0.3">
      <c r="A193">
        <v>1867</v>
      </c>
      <c r="B193" t="s">
        <v>24</v>
      </c>
      <c r="C193" s="1">
        <v>45847</v>
      </c>
      <c r="D193" t="s">
        <v>11</v>
      </c>
      <c r="E193" t="s">
        <v>17</v>
      </c>
      <c r="F193">
        <v>5</v>
      </c>
      <c r="G193">
        <v>12</v>
      </c>
      <c r="H193" t="s">
        <v>21</v>
      </c>
      <c r="I193" t="s">
        <v>18</v>
      </c>
      <c r="J193">
        <v>60</v>
      </c>
    </row>
    <row r="194" spans="1:10" x14ac:dyDescent="0.3">
      <c r="A194">
        <v>312</v>
      </c>
      <c r="B194" t="s">
        <v>24</v>
      </c>
      <c r="C194" s="1">
        <v>45921</v>
      </c>
      <c r="D194" t="s">
        <v>11</v>
      </c>
      <c r="E194" t="s">
        <v>22</v>
      </c>
      <c r="F194">
        <v>1</v>
      </c>
      <c r="G194">
        <v>20</v>
      </c>
      <c r="H194" t="s">
        <v>23</v>
      </c>
      <c r="I194" t="s">
        <v>18</v>
      </c>
      <c r="J194">
        <v>20</v>
      </c>
    </row>
    <row r="195" spans="1:10" x14ac:dyDescent="0.3">
      <c r="A195">
        <v>1999</v>
      </c>
      <c r="B195" t="s">
        <v>24</v>
      </c>
      <c r="C195" s="1">
        <v>45921</v>
      </c>
      <c r="D195" t="s">
        <v>11</v>
      </c>
      <c r="E195" t="s">
        <v>12</v>
      </c>
      <c r="F195">
        <v>4</v>
      </c>
      <c r="G195">
        <v>25</v>
      </c>
      <c r="H195" t="s">
        <v>13</v>
      </c>
      <c r="I195" t="s">
        <v>14</v>
      </c>
      <c r="J195">
        <v>100</v>
      </c>
    </row>
    <row r="196" spans="1:10" x14ac:dyDescent="0.3">
      <c r="A196">
        <v>291</v>
      </c>
      <c r="B196" t="s">
        <v>24</v>
      </c>
      <c r="C196" s="1">
        <v>45928</v>
      </c>
      <c r="D196" t="s">
        <v>11</v>
      </c>
      <c r="E196" t="s">
        <v>12</v>
      </c>
      <c r="F196">
        <v>1</v>
      </c>
      <c r="G196">
        <v>25</v>
      </c>
      <c r="H196" t="s">
        <v>13</v>
      </c>
      <c r="I196" t="s">
        <v>14</v>
      </c>
      <c r="J196">
        <v>25</v>
      </c>
    </row>
    <row r="197" spans="1:10" x14ac:dyDescent="0.3">
      <c r="A197">
        <v>1708</v>
      </c>
      <c r="B197" t="s">
        <v>24</v>
      </c>
      <c r="C197" s="1">
        <v>45859</v>
      </c>
      <c r="D197" t="s">
        <v>11</v>
      </c>
      <c r="E197" t="s">
        <v>17</v>
      </c>
      <c r="F197">
        <v>4</v>
      </c>
      <c r="G197">
        <v>12</v>
      </c>
      <c r="H197" t="s">
        <v>13</v>
      </c>
      <c r="I197" t="s">
        <v>27</v>
      </c>
      <c r="J197">
        <v>48</v>
      </c>
    </row>
    <row r="198" spans="1:10" x14ac:dyDescent="0.3">
      <c r="A198">
        <v>1345</v>
      </c>
      <c r="B198" t="s">
        <v>24</v>
      </c>
      <c r="C198" s="1">
        <v>45890</v>
      </c>
      <c r="D198" t="s">
        <v>11</v>
      </c>
      <c r="E198" t="s">
        <v>17</v>
      </c>
      <c r="F198">
        <v>2</v>
      </c>
      <c r="G198">
        <v>12</v>
      </c>
      <c r="H198" t="s">
        <v>13</v>
      </c>
      <c r="I198" t="s">
        <v>25</v>
      </c>
      <c r="J198">
        <v>24</v>
      </c>
    </row>
    <row r="199" spans="1:10" x14ac:dyDescent="0.3">
      <c r="A199">
        <v>893</v>
      </c>
      <c r="B199" t="s">
        <v>24</v>
      </c>
      <c r="C199" s="1">
        <v>45892</v>
      </c>
      <c r="D199" t="s">
        <v>11</v>
      </c>
      <c r="E199" t="s">
        <v>30</v>
      </c>
      <c r="F199">
        <v>5</v>
      </c>
      <c r="G199">
        <v>8</v>
      </c>
      <c r="H199" t="s">
        <v>23</v>
      </c>
      <c r="I199" t="s">
        <v>25</v>
      </c>
      <c r="J199">
        <v>40</v>
      </c>
    </row>
    <row r="200" spans="1:10" x14ac:dyDescent="0.3">
      <c r="A200">
        <v>469</v>
      </c>
      <c r="B200" t="s">
        <v>24</v>
      </c>
      <c r="C200" s="1">
        <v>45864</v>
      </c>
      <c r="D200" t="s">
        <v>11</v>
      </c>
      <c r="E200" t="s">
        <v>17</v>
      </c>
      <c r="F200">
        <v>3</v>
      </c>
      <c r="G200">
        <v>12</v>
      </c>
      <c r="H200" t="s">
        <v>13</v>
      </c>
      <c r="I200" t="s">
        <v>18</v>
      </c>
      <c r="J200">
        <v>36</v>
      </c>
    </row>
    <row r="201" spans="1:10" x14ac:dyDescent="0.3">
      <c r="A201">
        <v>1023</v>
      </c>
      <c r="B201" t="s">
        <v>24</v>
      </c>
      <c r="C201" s="1">
        <v>45889</v>
      </c>
      <c r="D201" t="s">
        <v>11</v>
      </c>
      <c r="E201" t="s">
        <v>30</v>
      </c>
      <c r="F201">
        <v>4</v>
      </c>
      <c r="G201">
        <v>8</v>
      </c>
      <c r="H201" t="s">
        <v>21</v>
      </c>
      <c r="I201" t="s">
        <v>25</v>
      </c>
      <c r="J201">
        <v>32</v>
      </c>
    </row>
    <row r="202" spans="1:10" x14ac:dyDescent="0.3">
      <c r="A202">
        <v>75</v>
      </c>
      <c r="B202" t="s">
        <v>24</v>
      </c>
      <c r="C202" s="1">
        <v>45896</v>
      </c>
      <c r="D202" t="s">
        <v>11</v>
      </c>
      <c r="E202" t="s">
        <v>22</v>
      </c>
      <c r="F202">
        <v>3</v>
      </c>
      <c r="G202">
        <v>20</v>
      </c>
      <c r="H202" t="s">
        <v>21</v>
      </c>
      <c r="I202" t="s">
        <v>27</v>
      </c>
      <c r="J202">
        <v>60</v>
      </c>
    </row>
    <row r="203" spans="1:10" x14ac:dyDescent="0.3">
      <c r="A203">
        <v>442</v>
      </c>
      <c r="B203" t="s">
        <v>24</v>
      </c>
      <c r="C203" s="1">
        <v>45878</v>
      </c>
      <c r="D203" t="s">
        <v>11</v>
      </c>
      <c r="E203" t="s">
        <v>12</v>
      </c>
      <c r="F203">
        <v>4</v>
      </c>
      <c r="G203">
        <v>25</v>
      </c>
      <c r="H203" t="s">
        <v>13</v>
      </c>
      <c r="I203" t="s">
        <v>27</v>
      </c>
      <c r="J203">
        <v>100</v>
      </c>
    </row>
    <row r="204" spans="1:10" x14ac:dyDescent="0.3">
      <c r="A204">
        <v>906</v>
      </c>
      <c r="B204" t="s">
        <v>24</v>
      </c>
      <c r="C204" s="1">
        <v>45899</v>
      </c>
      <c r="D204" t="s">
        <v>11</v>
      </c>
      <c r="E204" t="s">
        <v>17</v>
      </c>
      <c r="F204">
        <v>2</v>
      </c>
      <c r="G204">
        <v>12</v>
      </c>
      <c r="H204" t="s">
        <v>13</v>
      </c>
      <c r="I204" t="s">
        <v>18</v>
      </c>
      <c r="J204">
        <v>24</v>
      </c>
    </row>
    <row r="205" spans="1:10" x14ac:dyDescent="0.3">
      <c r="A205">
        <v>1088</v>
      </c>
      <c r="B205" t="s">
        <v>24</v>
      </c>
      <c r="C205" s="1">
        <v>45877</v>
      </c>
      <c r="D205" t="s">
        <v>11</v>
      </c>
      <c r="E205" t="s">
        <v>17</v>
      </c>
      <c r="F205">
        <v>4</v>
      </c>
      <c r="G205">
        <v>12</v>
      </c>
      <c r="H205" t="s">
        <v>21</v>
      </c>
      <c r="I205" t="s">
        <v>25</v>
      </c>
      <c r="J205">
        <v>48</v>
      </c>
    </row>
    <row r="206" spans="1:10" x14ac:dyDescent="0.3">
      <c r="A206">
        <v>1264</v>
      </c>
      <c r="B206" t="s">
        <v>24</v>
      </c>
      <c r="C206" s="1">
        <v>45844</v>
      </c>
      <c r="D206" t="s">
        <v>11</v>
      </c>
      <c r="E206" t="s">
        <v>17</v>
      </c>
      <c r="F206">
        <v>2</v>
      </c>
      <c r="G206">
        <v>12</v>
      </c>
      <c r="H206" t="s">
        <v>23</v>
      </c>
      <c r="I206" t="s">
        <v>27</v>
      </c>
      <c r="J206">
        <v>24</v>
      </c>
    </row>
    <row r="207" spans="1:10" x14ac:dyDescent="0.3">
      <c r="A207">
        <v>964</v>
      </c>
      <c r="B207" t="s">
        <v>24</v>
      </c>
      <c r="C207" s="1">
        <v>45871</v>
      </c>
      <c r="D207" t="s">
        <v>11</v>
      </c>
      <c r="E207" t="s">
        <v>29</v>
      </c>
      <c r="F207">
        <v>3</v>
      </c>
      <c r="G207">
        <v>30</v>
      </c>
      <c r="H207" t="s">
        <v>13</v>
      </c>
      <c r="I207" t="s">
        <v>27</v>
      </c>
      <c r="J207">
        <v>90</v>
      </c>
    </row>
    <row r="208" spans="1:10" x14ac:dyDescent="0.3">
      <c r="A208">
        <v>281</v>
      </c>
      <c r="B208" t="s">
        <v>24</v>
      </c>
      <c r="C208" s="1">
        <v>45894</v>
      </c>
      <c r="D208" t="s">
        <v>11</v>
      </c>
      <c r="E208" t="s">
        <v>17</v>
      </c>
      <c r="F208">
        <v>1</v>
      </c>
      <c r="G208">
        <v>12</v>
      </c>
      <c r="H208" t="s">
        <v>23</v>
      </c>
      <c r="I208" t="s">
        <v>25</v>
      </c>
      <c r="J208">
        <v>12</v>
      </c>
    </row>
    <row r="209" spans="1:10" x14ac:dyDescent="0.3">
      <c r="A209">
        <v>787</v>
      </c>
      <c r="B209" t="s">
        <v>24</v>
      </c>
      <c r="C209" s="1">
        <v>45919</v>
      </c>
      <c r="D209" t="s">
        <v>11</v>
      </c>
      <c r="E209" t="s">
        <v>29</v>
      </c>
      <c r="F209">
        <v>4</v>
      </c>
      <c r="G209">
        <v>30</v>
      </c>
      <c r="H209" t="s">
        <v>21</v>
      </c>
      <c r="I209" t="s">
        <v>18</v>
      </c>
      <c r="J209">
        <v>120</v>
      </c>
    </row>
    <row r="210" spans="1:10" x14ac:dyDescent="0.3">
      <c r="A210">
        <v>814</v>
      </c>
      <c r="B210" t="s">
        <v>24</v>
      </c>
      <c r="C210" s="1">
        <v>45880</v>
      </c>
      <c r="D210" t="s">
        <v>11</v>
      </c>
      <c r="E210" t="s">
        <v>17</v>
      </c>
      <c r="F210">
        <v>3</v>
      </c>
      <c r="G210">
        <v>12</v>
      </c>
      <c r="H210" t="s">
        <v>13</v>
      </c>
      <c r="I210" t="s">
        <v>27</v>
      </c>
      <c r="J210">
        <v>36</v>
      </c>
    </row>
    <row r="211" spans="1:10" x14ac:dyDescent="0.3">
      <c r="A211">
        <v>1634</v>
      </c>
      <c r="B211" t="s">
        <v>24</v>
      </c>
      <c r="C211" s="1">
        <v>45899</v>
      </c>
      <c r="D211" t="s">
        <v>11</v>
      </c>
      <c r="E211" t="s">
        <v>17</v>
      </c>
      <c r="F211">
        <v>1</v>
      </c>
      <c r="G211">
        <v>12</v>
      </c>
      <c r="H211" t="s">
        <v>21</v>
      </c>
      <c r="I211" t="s">
        <v>27</v>
      </c>
      <c r="J211">
        <v>12</v>
      </c>
    </row>
    <row r="212" spans="1:10" x14ac:dyDescent="0.3">
      <c r="A212">
        <v>1371</v>
      </c>
      <c r="B212" t="s">
        <v>24</v>
      </c>
      <c r="C212" s="1">
        <v>45929</v>
      </c>
      <c r="D212" t="s">
        <v>11</v>
      </c>
      <c r="E212" t="s">
        <v>17</v>
      </c>
      <c r="F212">
        <v>4</v>
      </c>
      <c r="G212">
        <v>12</v>
      </c>
      <c r="H212" t="s">
        <v>23</v>
      </c>
      <c r="I212" t="s">
        <v>14</v>
      </c>
      <c r="J212">
        <v>48</v>
      </c>
    </row>
    <row r="213" spans="1:10" x14ac:dyDescent="0.3">
      <c r="A213">
        <v>1268</v>
      </c>
      <c r="B213" t="s">
        <v>24</v>
      </c>
      <c r="C213" s="1">
        <v>45859</v>
      </c>
      <c r="D213" t="s">
        <v>11</v>
      </c>
      <c r="E213" t="s">
        <v>12</v>
      </c>
      <c r="F213">
        <v>3</v>
      </c>
      <c r="G213">
        <v>25</v>
      </c>
      <c r="H213" t="s">
        <v>21</v>
      </c>
      <c r="I213" t="s">
        <v>14</v>
      </c>
      <c r="J213">
        <v>75</v>
      </c>
    </row>
    <row r="214" spans="1:10" x14ac:dyDescent="0.3">
      <c r="A214">
        <v>967</v>
      </c>
      <c r="B214" t="s">
        <v>24</v>
      </c>
      <c r="C214" s="1">
        <v>45893</v>
      </c>
      <c r="D214" t="s">
        <v>11</v>
      </c>
      <c r="E214" t="s">
        <v>30</v>
      </c>
      <c r="F214">
        <v>1</v>
      </c>
      <c r="G214">
        <v>8</v>
      </c>
      <c r="H214" t="s">
        <v>13</v>
      </c>
      <c r="I214" t="s">
        <v>18</v>
      </c>
      <c r="J214">
        <v>8</v>
      </c>
    </row>
    <row r="215" spans="1:10" x14ac:dyDescent="0.3">
      <c r="A215">
        <v>1367</v>
      </c>
      <c r="B215" t="s">
        <v>24</v>
      </c>
      <c r="C215" s="1">
        <v>45854</v>
      </c>
      <c r="D215" t="s">
        <v>11</v>
      </c>
      <c r="E215" t="s">
        <v>17</v>
      </c>
      <c r="F215">
        <v>2</v>
      </c>
      <c r="G215">
        <v>12</v>
      </c>
      <c r="H215" t="s">
        <v>23</v>
      </c>
      <c r="I215" t="s">
        <v>14</v>
      </c>
      <c r="J215">
        <v>24</v>
      </c>
    </row>
    <row r="216" spans="1:10" x14ac:dyDescent="0.3">
      <c r="A216">
        <v>1324</v>
      </c>
      <c r="B216" t="s">
        <v>24</v>
      </c>
      <c r="C216" s="1">
        <v>45922</v>
      </c>
      <c r="D216" t="s">
        <v>11</v>
      </c>
      <c r="E216" t="s">
        <v>12</v>
      </c>
      <c r="F216">
        <v>4</v>
      </c>
      <c r="G216">
        <v>25</v>
      </c>
      <c r="H216" t="s">
        <v>13</v>
      </c>
      <c r="I216" t="s">
        <v>27</v>
      </c>
      <c r="J216">
        <v>100</v>
      </c>
    </row>
    <row r="217" spans="1:10" x14ac:dyDescent="0.3">
      <c r="A217">
        <v>1142</v>
      </c>
      <c r="B217" t="s">
        <v>24</v>
      </c>
      <c r="C217" s="1">
        <v>45871</v>
      </c>
      <c r="D217" t="s">
        <v>11</v>
      </c>
      <c r="E217" t="s">
        <v>29</v>
      </c>
      <c r="F217">
        <v>2</v>
      </c>
      <c r="G217">
        <v>30</v>
      </c>
      <c r="H217" t="s">
        <v>21</v>
      </c>
      <c r="I217" t="s">
        <v>18</v>
      </c>
      <c r="J217">
        <v>60</v>
      </c>
    </row>
    <row r="218" spans="1:10" x14ac:dyDescent="0.3">
      <c r="A218">
        <v>1603</v>
      </c>
      <c r="B218" t="s">
        <v>24</v>
      </c>
      <c r="C218" s="1">
        <v>45878</v>
      </c>
      <c r="D218" t="s">
        <v>11</v>
      </c>
      <c r="E218" t="s">
        <v>17</v>
      </c>
      <c r="F218">
        <v>5</v>
      </c>
      <c r="G218">
        <v>12</v>
      </c>
      <c r="H218" t="s">
        <v>21</v>
      </c>
      <c r="I218" t="s">
        <v>18</v>
      </c>
      <c r="J218">
        <v>60</v>
      </c>
    </row>
    <row r="219" spans="1:10" x14ac:dyDescent="0.3">
      <c r="A219">
        <v>1756</v>
      </c>
      <c r="B219" t="s">
        <v>24</v>
      </c>
      <c r="C219" s="1">
        <v>45920</v>
      </c>
      <c r="D219" t="s">
        <v>11</v>
      </c>
      <c r="E219" t="s">
        <v>17</v>
      </c>
      <c r="F219">
        <v>1</v>
      </c>
      <c r="G219">
        <v>12</v>
      </c>
      <c r="H219" t="s">
        <v>13</v>
      </c>
      <c r="I219" t="s">
        <v>27</v>
      </c>
      <c r="J219">
        <v>12</v>
      </c>
    </row>
    <row r="220" spans="1:10" x14ac:dyDescent="0.3">
      <c r="A220">
        <v>518</v>
      </c>
      <c r="B220" t="s">
        <v>24</v>
      </c>
      <c r="C220" s="1">
        <v>45866</v>
      </c>
      <c r="D220" t="s">
        <v>11</v>
      </c>
      <c r="E220" t="s">
        <v>17</v>
      </c>
      <c r="F220">
        <v>2</v>
      </c>
      <c r="G220">
        <v>12</v>
      </c>
      <c r="H220" t="s">
        <v>23</v>
      </c>
      <c r="I220" t="s">
        <v>14</v>
      </c>
      <c r="J220">
        <v>24</v>
      </c>
    </row>
    <row r="221" spans="1:10" x14ac:dyDescent="0.3">
      <c r="A221">
        <v>1710</v>
      </c>
      <c r="B221" t="s">
        <v>24</v>
      </c>
      <c r="C221" s="1">
        <v>45915</v>
      </c>
      <c r="D221" t="s">
        <v>11</v>
      </c>
      <c r="E221" t="s">
        <v>29</v>
      </c>
      <c r="F221">
        <v>5</v>
      </c>
      <c r="G221">
        <v>30</v>
      </c>
      <c r="H221" t="s">
        <v>23</v>
      </c>
      <c r="I221" t="s">
        <v>25</v>
      </c>
      <c r="J221">
        <v>150</v>
      </c>
    </row>
    <row r="222" spans="1:10" x14ac:dyDescent="0.3">
      <c r="A222">
        <v>1130</v>
      </c>
      <c r="B222" t="s">
        <v>24</v>
      </c>
      <c r="C222" s="1">
        <v>45851</v>
      </c>
      <c r="D222" t="s">
        <v>11</v>
      </c>
      <c r="E222" t="s">
        <v>22</v>
      </c>
      <c r="F222">
        <v>1</v>
      </c>
      <c r="G222">
        <v>20</v>
      </c>
      <c r="H222" t="s">
        <v>23</v>
      </c>
      <c r="I222" t="s">
        <v>14</v>
      </c>
      <c r="J222">
        <v>20</v>
      </c>
    </row>
    <row r="223" spans="1:10" x14ac:dyDescent="0.3">
      <c r="A223">
        <v>1782</v>
      </c>
      <c r="B223" t="s">
        <v>24</v>
      </c>
      <c r="C223" s="1">
        <v>45862</v>
      </c>
      <c r="D223" t="s">
        <v>11</v>
      </c>
      <c r="E223" t="s">
        <v>17</v>
      </c>
      <c r="F223">
        <v>2</v>
      </c>
      <c r="G223">
        <v>12</v>
      </c>
      <c r="H223" t="s">
        <v>23</v>
      </c>
      <c r="I223" t="s">
        <v>18</v>
      </c>
      <c r="J223">
        <v>24</v>
      </c>
    </row>
    <row r="224" spans="1:10" x14ac:dyDescent="0.3">
      <c r="A224">
        <v>355</v>
      </c>
      <c r="B224" t="s">
        <v>24</v>
      </c>
      <c r="C224" s="1">
        <v>45919</v>
      </c>
      <c r="D224" t="s">
        <v>11</v>
      </c>
      <c r="E224" t="s">
        <v>30</v>
      </c>
      <c r="F224">
        <v>4</v>
      </c>
      <c r="G224">
        <v>8</v>
      </c>
      <c r="H224" t="s">
        <v>21</v>
      </c>
      <c r="I224" t="s">
        <v>14</v>
      </c>
      <c r="J224">
        <v>32</v>
      </c>
    </row>
    <row r="225" spans="1:10" x14ac:dyDescent="0.3">
      <c r="A225">
        <v>1499</v>
      </c>
      <c r="B225" t="s">
        <v>24</v>
      </c>
      <c r="C225" s="1">
        <v>45893</v>
      </c>
      <c r="D225" t="s">
        <v>11</v>
      </c>
      <c r="E225" t="s">
        <v>17</v>
      </c>
      <c r="F225">
        <v>3</v>
      </c>
      <c r="G225">
        <v>12</v>
      </c>
      <c r="H225" t="s">
        <v>23</v>
      </c>
      <c r="I225" t="s">
        <v>14</v>
      </c>
      <c r="J225">
        <v>36</v>
      </c>
    </row>
    <row r="226" spans="1:10" x14ac:dyDescent="0.3">
      <c r="A226">
        <v>788</v>
      </c>
      <c r="B226" t="s">
        <v>24</v>
      </c>
      <c r="C226" s="1">
        <v>45930</v>
      </c>
      <c r="D226" t="s">
        <v>11</v>
      </c>
      <c r="E226" t="s">
        <v>17</v>
      </c>
      <c r="F226">
        <v>1</v>
      </c>
      <c r="G226">
        <v>12</v>
      </c>
      <c r="H226" t="s">
        <v>13</v>
      </c>
      <c r="I226" t="s">
        <v>18</v>
      </c>
      <c r="J226">
        <v>12</v>
      </c>
    </row>
    <row r="227" spans="1:10" x14ac:dyDescent="0.3">
      <c r="A227">
        <v>752</v>
      </c>
      <c r="B227" t="s">
        <v>24</v>
      </c>
      <c r="C227" s="1">
        <v>45864</v>
      </c>
      <c r="D227" t="s">
        <v>11</v>
      </c>
      <c r="E227" t="s">
        <v>30</v>
      </c>
      <c r="F227">
        <v>2</v>
      </c>
      <c r="G227">
        <v>8</v>
      </c>
      <c r="H227" t="s">
        <v>21</v>
      </c>
      <c r="I227" t="s">
        <v>18</v>
      </c>
      <c r="J227">
        <v>16</v>
      </c>
    </row>
    <row r="228" spans="1:10" x14ac:dyDescent="0.3">
      <c r="A228">
        <v>1921</v>
      </c>
      <c r="B228" t="s">
        <v>32</v>
      </c>
      <c r="C228" s="1">
        <v>45876</v>
      </c>
      <c r="D228" t="s">
        <v>11</v>
      </c>
      <c r="E228" t="s">
        <v>29</v>
      </c>
      <c r="F228">
        <v>2</v>
      </c>
      <c r="G228">
        <v>30</v>
      </c>
      <c r="H228" t="s">
        <v>23</v>
      </c>
      <c r="I228" t="s">
        <v>27</v>
      </c>
      <c r="J228">
        <v>60</v>
      </c>
    </row>
    <row r="229" spans="1:10" x14ac:dyDescent="0.3">
      <c r="A229">
        <v>1964</v>
      </c>
      <c r="B229" t="s">
        <v>26</v>
      </c>
      <c r="C229" s="1">
        <v>45888</v>
      </c>
      <c r="D229" t="s">
        <v>11</v>
      </c>
      <c r="E229" t="s">
        <v>12</v>
      </c>
      <c r="F229">
        <v>1</v>
      </c>
      <c r="G229">
        <v>25</v>
      </c>
      <c r="H229" t="s">
        <v>13</v>
      </c>
      <c r="I229" t="s">
        <v>25</v>
      </c>
      <c r="J229">
        <v>25</v>
      </c>
    </row>
    <row r="230" spans="1:10" x14ac:dyDescent="0.3">
      <c r="A230">
        <v>1841</v>
      </c>
      <c r="B230" t="s">
        <v>26</v>
      </c>
      <c r="C230" s="1">
        <v>45916</v>
      </c>
      <c r="D230" t="s">
        <v>11</v>
      </c>
      <c r="E230" t="s">
        <v>12</v>
      </c>
      <c r="F230">
        <v>5</v>
      </c>
      <c r="G230">
        <v>25</v>
      </c>
      <c r="H230" t="s">
        <v>13</v>
      </c>
      <c r="I230" t="s">
        <v>27</v>
      </c>
      <c r="J230">
        <v>125</v>
      </c>
    </row>
    <row r="231" spans="1:10" x14ac:dyDescent="0.3">
      <c r="A231">
        <v>48</v>
      </c>
      <c r="B231" t="s">
        <v>28</v>
      </c>
      <c r="C231" s="1">
        <v>45864</v>
      </c>
      <c r="D231" t="s">
        <v>11</v>
      </c>
      <c r="E231" t="s">
        <v>30</v>
      </c>
      <c r="F231">
        <v>3</v>
      </c>
      <c r="G231">
        <v>8</v>
      </c>
      <c r="H231" t="s">
        <v>23</v>
      </c>
      <c r="I231" t="s">
        <v>27</v>
      </c>
      <c r="J231">
        <v>24</v>
      </c>
    </row>
    <row r="232" spans="1:10" x14ac:dyDescent="0.3">
      <c r="A232">
        <v>452</v>
      </c>
      <c r="B232" t="s">
        <v>10</v>
      </c>
      <c r="C232" s="1">
        <v>45907</v>
      </c>
      <c r="D232" t="s">
        <v>11</v>
      </c>
      <c r="E232" t="s">
        <v>29</v>
      </c>
      <c r="F232">
        <v>3</v>
      </c>
      <c r="G232">
        <v>30</v>
      </c>
      <c r="H232" t="s">
        <v>23</v>
      </c>
      <c r="I232" t="s">
        <v>18</v>
      </c>
      <c r="J232">
        <v>90</v>
      </c>
    </row>
    <row r="233" spans="1:10" x14ac:dyDescent="0.3">
      <c r="A233">
        <v>154</v>
      </c>
      <c r="B233" t="s">
        <v>32</v>
      </c>
      <c r="C233" s="1">
        <v>45871</v>
      </c>
      <c r="D233" t="s">
        <v>11</v>
      </c>
      <c r="E233" t="s">
        <v>22</v>
      </c>
      <c r="F233">
        <v>2</v>
      </c>
      <c r="G233">
        <v>20</v>
      </c>
      <c r="H233" t="s">
        <v>13</v>
      </c>
      <c r="I233" t="s">
        <v>27</v>
      </c>
      <c r="J233">
        <v>40</v>
      </c>
    </row>
    <row r="234" spans="1:10" x14ac:dyDescent="0.3">
      <c r="A234">
        <v>1566</v>
      </c>
      <c r="B234" t="s">
        <v>32</v>
      </c>
      <c r="C234" s="1">
        <v>45927</v>
      </c>
      <c r="D234" t="s">
        <v>11</v>
      </c>
      <c r="E234" t="s">
        <v>30</v>
      </c>
      <c r="F234">
        <v>4</v>
      </c>
      <c r="G234">
        <v>8</v>
      </c>
      <c r="H234" t="s">
        <v>13</v>
      </c>
      <c r="I234" t="s">
        <v>18</v>
      </c>
      <c r="J234">
        <v>32</v>
      </c>
    </row>
    <row r="235" spans="1:10" x14ac:dyDescent="0.3">
      <c r="A235">
        <v>1877</v>
      </c>
      <c r="B235" t="s">
        <v>15</v>
      </c>
      <c r="C235" s="1">
        <v>45865</v>
      </c>
      <c r="D235" t="s">
        <v>11</v>
      </c>
      <c r="E235" t="s">
        <v>17</v>
      </c>
      <c r="F235">
        <v>5</v>
      </c>
      <c r="G235">
        <v>12</v>
      </c>
      <c r="H235" t="s">
        <v>21</v>
      </c>
      <c r="I235" t="s">
        <v>27</v>
      </c>
      <c r="J235">
        <v>60</v>
      </c>
    </row>
    <row r="236" spans="1:10" x14ac:dyDescent="0.3">
      <c r="A236">
        <v>817</v>
      </c>
      <c r="B236" t="s">
        <v>24</v>
      </c>
      <c r="C236" s="1">
        <v>45886</v>
      </c>
      <c r="D236" t="s">
        <v>11</v>
      </c>
      <c r="E236" t="s">
        <v>17</v>
      </c>
      <c r="F236">
        <v>3</v>
      </c>
      <c r="G236">
        <v>12</v>
      </c>
      <c r="H236" t="s">
        <v>13</v>
      </c>
      <c r="I236" t="s">
        <v>27</v>
      </c>
      <c r="J236">
        <v>36</v>
      </c>
    </row>
    <row r="237" spans="1:10" x14ac:dyDescent="0.3">
      <c r="A237">
        <v>968</v>
      </c>
      <c r="B237" t="s">
        <v>10</v>
      </c>
      <c r="C237" s="1">
        <v>45924</v>
      </c>
      <c r="D237" t="s">
        <v>11</v>
      </c>
      <c r="E237" t="s">
        <v>12</v>
      </c>
      <c r="F237">
        <v>1</v>
      </c>
      <c r="G237">
        <v>25</v>
      </c>
      <c r="H237" t="s">
        <v>13</v>
      </c>
      <c r="I237" t="s">
        <v>27</v>
      </c>
      <c r="J237">
        <v>25</v>
      </c>
    </row>
    <row r="238" spans="1:10" x14ac:dyDescent="0.3">
      <c r="A238">
        <v>1399</v>
      </c>
      <c r="B238" t="s">
        <v>31</v>
      </c>
      <c r="C238" s="1">
        <v>45922</v>
      </c>
      <c r="D238" t="s">
        <v>11</v>
      </c>
      <c r="E238" t="s">
        <v>17</v>
      </c>
      <c r="F238">
        <v>1</v>
      </c>
      <c r="G238">
        <v>12</v>
      </c>
      <c r="H238" t="s">
        <v>13</v>
      </c>
      <c r="I238" t="s">
        <v>14</v>
      </c>
      <c r="J238">
        <v>12</v>
      </c>
    </row>
    <row r="239" spans="1:10" x14ac:dyDescent="0.3">
      <c r="A239">
        <v>980</v>
      </c>
      <c r="B239" t="s">
        <v>10</v>
      </c>
      <c r="C239" s="1">
        <v>45912</v>
      </c>
      <c r="D239" t="s">
        <v>11</v>
      </c>
      <c r="E239" t="s">
        <v>29</v>
      </c>
      <c r="F239">
        <v>2</v>
      </c>
      <c r="G239">
        <v>30</v>
      </c>
      <c r="H239" t="s">
        <v>13</v>
      </c>
      <c r="I239" t="s">
        <v>25</v>
      </c>
      <c r="J239">
        <v>60</v>
      </c>
    </row>
    <row r="240" spans="1:10" x14ac:dyDescent="0.3">
      <c r="A240">
        <v>174</v>
      </c>
      <c r="B240" t="s">
        <v>31</v>
      </c>
      <c r="C240" s="1">
        <v>45911</v>
      </c>
      <c r="D240" t="s">
        <v>11</v>
      </c>
      <c r="E240" t="s">
        <v>22</v>
      </c>
      <c r="F240">
        <v>5</v>
      </c>
      <c r="G240">
        <v>20</v>
      </c>
      <c r="H240" t="s">
        <v>21</v>
      </c>
      <c r="I240" t="s">
        <v>18</v>
      </c>
      <c r="J240">
        <v>100</v>
      </c>
    </row>
    <row r="241" spans="1:10" x14ac:dyDescent="0.3">
      <c r="A241">
        <v>1810</v>
      </c>
      <c r="B241" t="s">
        <v>26</v>
      </c>
      <c r="C241" s="1">
        <v>45905</v>
      </c>
      <c r="D241" t="s">
        <v>11</v>
      </c>
      <c r="E241" t="s">
        <v>17</v>
      </c>
      <c r="F241">
        <v>3</v>
      </c>
      <c r="G241">
        <v>12</v>
      </c>
      <c r="H241" t="s">
        <v>21</v>
      </c>
      <c r="I241" t="s">
        <v>14</v>
      </c>
      <c r="J241">
        <v>36</v>
      </c>
    </row>
    <row r="242" spans="1:10" x14ac:dyDescent="0.3">
      <c r="A242">
        <v>1089</v>
      </c>
      <c r="B242" t="s">
        <v>19</v>
      </c>
      <c r="C242" s="1">
        <v>45846</v>
      </c>
      <c r="D242" t="s">
        <v>11</v>
      </c>
      <c r="E242" t="s">
        <v>12</v>
      </c>
      <c r="F242">
        <v>1</v>
      </c>
      <c r="G242">
        <v>25</v>
      </c>
      <c r="H242" t="s">
        <v>21</v>
      </c>
      <c r="I242" t="s">
        <v>25</v>
      </c>
      <c r="J242">
        <v>25</v>
      </c>
    </row>
    <row r="243" spans="1:10" x14ac:dyDescent="0.3">
      <c r="A243">
        <v>1001</v>
      </c>
      <c r="B243" t="s">
        <v>10</v>
      </c>
      <c r="C243" s="1">
        <v>45927</v>
      </c>
      <c r="D243" t="s">
        <v>11</v>
      </c>
      <c r="E243" t="s">
        <v>30</v>
      </c>
      <c r="F243">
        <v>3</v>
      </c>
      <c r="G243">
        <v>8</v>
      </c>
      <c r="H243" t="s">
        <v>23</v>
      </c>
      <c r="I243" t="s">
        <v>25</v>
      </c>
      <c r="J243">
        <v>24</v>
      </c>
    </row>
    <row r="244" spans="1:10" x14ac:dyDescent="0.3">
      <c r="A244">
        <v>444</v>
      </c>
      <c r="B244" t="s">
        <v>19</v>
      </c>
      <c r="C244" s="1">
        <v>45903</v>
      </c>
      <c r="D244" t="s">
        <v>11</v>
      </c>
      <c r="E244" t="s">
        <v>22</v>
      </c>
      <c r="F244">
        <v>2</v>
      </c>
      <c r="G244">
        <v>20</v>
      </c>
      <c r="H244" t="s">
        <v>13</v>
      </c>
      <c r="I244" t="s">
        <v>14</v>
      </c>
      <c r="J244">
        <v>40</v>
      </c>
    </row>
    <row r="245" spans="1:10" x14ac:dyDescent="0.3">
      <c r="A245">
        <v>1683</v>
      </c>
      <c r="B245" t="s">
        <v>15</v>
      </c>
      <c r="C245" s="1">
        <v>45862</v>
      </c>
      <c r="D245" t="s">
        <v>11</v>
      </c>
      <c r="E245" t="s">
        <v>30</v>
      </c>
      <c r="F245">
        <v>2</v>
      </c>
      <c r="G245">
        <v>8</v>
      </c>
      <c r="H245" t="s">
        <v>21</v>
      </c>
      <c r="I245" t="s">
        <v>27</v>
      </c>
      <c r="J245">
        <v>16</v>
      </c>
    </row>
    <row r="246" spans="1:10" x14ac:dyDescent="0.3">
      <c r="A246">
        <v>625</v>
      </c>
      <c r="B246" t="s">
        <v>15</v>
      </c>
      <c r="C246" s="1">
        <v>45927</v>
      </c>
      <c r="D246" t="s">
        <v>11</v>
      </c>
      <c r="E246" t="s">
        <v>17</v>
      </c>
      <c r="F246">
        <v>4</v>
      </c>
      <c r="G246">
        <v>12</v>
      </c>
      <c r="H246" t="s">
        <v>23</v>
      </c>
      <c r="I246" t="s">
        <v>14</v>
      </c>
      <c r="J246">
        <v>48</v>
      </c>
    </row>
    <row r="247" spans="1:10" x14ac:dyDescent="0.3">
      <c r="A247">
        <v>1781</v>
      </c>
      <c r="B247" t="s">
        <v>10</v>
      </c>
      <c r="C247" s="1">
        <v>45884</v>
      </c>
      <c r="D247" t="s">
        <v>11</v>
      </c>
      <c r="E247" t="s">
        <v>17</v>
      </c>
      <c r="F247">
        <v>2</v>
      </c>
      <c r="G247">
        <v>12</v>
      </c>
      <c r="H247" t="s">
        <v>21</v>
      </c>
      <c r="I247" t="s">
        <v>27</v>
      </c>
      <c r="J247">
        <v>24</v>
      </c>
    </row>
    <row r="248" spans="1:10" x14ac:dyDescent="0.3">
      <c r="A248">
        <v>366</v>
      </c>
      <c r="B248" t="s">
        <v>28</v>
      </c>
      <c r="C248" s="1">
        <v>45849</v>
      </c>
      <c r="D248" t="s">
        <v>11</v>
      </c>
      <c r="E248" t="s">
        <v>17</v>
      </c>
      <c r="F248">
        <v>5</v>
      </c>
      <c r="G248">
        <v>12</v>
      </c>
      <c r="H248" t="s">
        <v>21</v>
      </c>
      <c r="I248" t="s">
        <v>25</v>
      </c>
      <c r="J248">
        <v>60</v>
      </c>
    </row>
    <row r="249" spans="1:10" x14ac:dyDescent="0.3">
      <c r="A249">
        <v>404</v>
      </c>
      <c r="B249" t="s">
        <v>24</v>
      </c>
      <c r="C249" s="1">
        <v>45914</v>
      </c>
      <c r="D249" t="s">
        <v>11</v>
      </c>
      <c r="E249" t="s">
        <v>17</v>
      </c>
      <c r="F249">
        <v>4</v>
      </c>
      <c r="G249">
        <v>12</v>
      </c>
      <c r="H249" t="s">
        <v>23</v>
      </c>
      <c r="I249" t="s">
        <v>18</v>
      </c>
      <c r="J249">
        <v>48</v>
      </c>
    </row>
    <row r="250" spans="1:10" x14ac:dyDescent="0.3">
      <c r="A250">
        <v>1619</v>
      </c>
      <c r="B250" t="s">
        <v>10</v>
      </c>
      <c r="C250" s="1">
        <v>45906</v>
      </c>
      <c r="D250" t="s">
        <v>11</v>
      </c>
      <c r="E250" t="s">
        <v>30</v>
      </c>
      <c r="F250">
        <v>1</v>
      </c>
      <c r="G250">
        <v>8</v>
      </c>
      <c r="H250" t="s">
        <v>21</v>
      </c>
      <c r="I250" t="s">
        <v>25</v>
      </c>
      <c r="J250">
        <v>8</v>
      </c>
    </row>
    <row r="251" spans="1:10" x14ac:dyDescent="0.3">
      <c r="A251">
        <v>983</v>
      </c>
      <c r="B251" t="s">
        <v>31</v>
      </c>
      <c r="C251" s="1">
        <v>45900</v>
      </c>
      <c r="D251" t="s">
        <v>11</v>
      </c>
      <c r="E251" t="s">
        <v>30</v>
      </c>
      <c r="F251">
        <v>2</v>
      </c>
      <c r="G251">
        <v>8</v>
      </c>
      <c r="H251" t="s">
        <v>21</v>
      </c>
      <c r="I251" t="s">
        <v>14</v>
      </c>
      <c r="J251">
        <v>16</v>
      </c>
    </row>
    <row r="252" spans="1:10" x14ac:dyDescent="0.3">
      <c r="A252">
        <v>1774</v>
      </c>
      <c r="B252" t="s">
        <v>31</v>
      </c>
      <c r="C252" s="1">
        <v>45911</v>
      </c>
      <c r="D252" t="s">
        <v>11</v>
      </c>
      <c r="E252" t="s">
        <v>30</v>
      </c>
      <c r="F252">
        <v>1</v>
      </c>
      <c r="G252">
        <v>8</v>
      </c>
      <c r="H252" t="s">
        <v>23</v>
      </c>
      <c r="I252" t="s">
        <v>27</v>
      </c>
      <c r="J252">
        <v>8</v>
      </c>
    </row>
    <row r="253" spans="1:10" x14ac:dyDescent="0.3">
      <c r="A253">
        <v>569</v>
      </c>
      <c r="B253" t="s">
        <v>28</v>
      </c>
      <c r="C253" s="1">
        <v>45853</v>
      </c>
      <c r="D253" t="s">
        <v>11</v>
      </c>
      <c r="E253" t="s">
        <v>22</v>
      </c>
      <c r="F253">
        <v>4</v>
      </c>
      <c r="G253">
        <v>20</v>
      </c>
      <c r="H253" t="s">
        <v>23</v>
      </c>
      <c r="I253" t="s">
        <v>27</v>
      </c>
      <c r="J253">
        <v>80</v>
      </c>
    </row>
    <row r="254" spans="1:10" x14ac:dyDescent="0.3">
      <c r="A254">
        <v>1114</v>
      </c>
      <c r="B254" t="s">
        <v>28</v>
      </c>
      <c r="C254" s="1">
        <v>45927</v>
      </c>
      <c r="D254" t="s">
        <v>11</v>
      </c>
      <c r="E254" t="s">
        <v>17</v>
      </c>
      <c r="F254">
        <v>1</v>
      </c>
      <c r="G254">
        <v>12</v>
      </c>
      <c r="H254" t="s">
        <v>23</v>
      </c>
      <c r="I254" t="s">
        <v>14</v>
      </c>
      <c r="J254">
        <v>12</v>
      </c>
    </row>
    <row r="255" spans="1:10" x14ac:dyDescent="0.3">
      <c r="A255">
        <v>1938</v>
      </c>
      <c r="B255" t="s">
        <v>10</v>
      </c>
      <c r="C255" s="1">
        <v>45872</v>
      </c>
      <c r="D255" t="s">
        <v>11</v>
      </c>
      <c r="E255" t="s">
        <v>17</v>
      </c>
      <c r="F255">
        <v>4</v>
      </c>
      <c r="G255">
        <v>12</v>
      </c>
      <c r="H255" t="s">
        <v>13</v>
      </c>
      <c r="I255" t="s">
        <v>18</v>
      </c>
      <c r="J255">
        <v>48</v>
      </c>
    </row>
    <row r="256" spans="1:10" x14ac:dyDescent="0.3">
      <c r="A256">
        <v>804</v>
      </c>
      <c r="B256" t="s">
        <v>24</v>
      </c>
      <c r="C256" s="1">
        <v>45891</v>
      </c>
      <c r="D256" t="s">
        <v>11</v>
      </c>
      <c r="E256" t="s">
        <v>29</v>
      </c>
      <c r="F256">
        <v>3</v>
      </c>
      <c r="G256">
        <v>30</v>
      </c>
      <c r="H256" t="s">
        <v>21</v>
      </c>
      <c r="I256" t="s">
        <v>14</v>
      </c>
      <c r="J256">
        <v>90</v>
      </c>
    </row>
    <row r="257" spans="1:10" x14ac:dyDescent="0.3">
      <c r="A257">
        <v>1051</v>
      </c>
      <c r="B257" t="s">
        <v>26</v>
      </c>
      <c r="C257" s="1">
        <v>45896</v>
      </c>
      <c r="D257" t="s">
        <v>11</v>
      </c>
      <c r="E257" t="s">
        <v>17</v>
      </c>
      <c r="F257">
        <v>5</v>
      </c>
      <c r="G257">
        <v>12</v>
      </c>
      <c r="H257" t="s">
        <v>21</v>
      </c>
      <c r="I257" t="s">
        <v>14</v>
      </c>
      <c r="J257">
        <v>60</v>
      </c>
    </row>
    <row r="258" spans="1:10" x14ac:dyDescent="0.3">
      <c r="A258">
        <v>1186</v>
      </c>
      <c r="B258" t="s">
        <v>31</v>
      </c>
      <c r="C258" s="1">
        <v>45919</v>
      </c>
      <c r="D258" t="s">
        <v>11</v>
      </c>
      <c r="E258" t="s">
        <v>12</v>
      </c>
      <c r="F258">
        <v>2</v>
      </c>
      <c r="G258">
        <v>25</v>
      </c>
      <c r="H258" t="s">
        <v>23</v>
      </c>
      <c r="I258" t="s">
        <v>27</v>
      </c>
      <c r="J258">
        <v>50</v>
      </c>
    </row>
    <row r="259" spans="1:10" x14ac:dyDescent="0.3">
      <c r="A259">
        <v>1174</v>
      </c>
      <c r="B259" t="s">
        <v>28</v>
      </c>
      <c r="C259" s="1">
        <v>45868</v>
      </c>
      <c r="D259" t="s">
        <v>11</v>
      </c>
      <c r="E259" t="s">
        <v>17</v>
      </c>
      <c r="F259">
        <v>3</v>
      </c>
      <c r="G259">
        <v>12</v>
      </c>
      <c r="H259" t="s">
        <v>21</v>
      </c>
      <c r="I259" t="s">
        <v>14</v>
      </c>
      <c r="J259">
        <v>36</v>
      </c>
    </row>
    <row r="260" spans="1:10" x14ac:dyDescent="0.3">
      <c r="A260">
        <v>694</v>
      </c>
      <c r="B260" t="s">
        <v>31</v>
      </c>
      <c r="C260" s="1">
        <v>45901</v>
      </c>
      <c r="D260" t="s">
        <v>11</v>
      </c>
      <c r="E260" t="s">
        <v>17</v>
      </c>
      <c r="F260">
        <v>4</v>
      </c>
      <c r="G260">
        <v>12</v>
      </c>
      <c r="H260" t="s">
        <v>13</v>
      </c>
      <c r="I260" t="s">
        <v>18</v>
      </c>
      <c r="J260">
        <v>48</v>
      </c>
    </row>
    <row r="261" spans="1:10" x14ac:dyDescent="0.3">
      <c r="A261">
        <v>663</v>
      </c>
      <c r="B261" t="s">
        <v>15</v>
      </c>
      <c r="C261" s="1">
        <v>45909</v>
      </c>
      <c r="D261" t="s">
        <v>11</v>
      </c>
      <c r="E261" t="s">
        <v>17</v>
      </c>
      <c r="F261">
        <v>2</v>
      </c>
      <c r="G261">
        <v>12</v>
      </c>
      <c r="H261" t="s">
        <v>21</v>
      </c>
      <c r="I261" t="s">
        <v>18</v>
      </c>
      <c r="J261">
        <v>24</v>
      </c>
    </row>
    <row r="262" spans="1:10" x14ac:dyDescent="0.3">
      <c r="A262">
        <v>854</v>
      </c>
      <c r="B262" t="s">
        <v>32</v>
      </c>
      <c r="C262" s="1">
        <v>45860</v>
      </c>
      <c r="D262" t="s">
        <v>11</v>
      </c>
      <c r="E262" t="s">
        <v>29</v>
      </c>
      <c r="F262">
        <v>5</v>
      </c>
      <c r="G262">
        <v>30</v>
      </c>
      <c r="H262" t="s">
        <v>21</v>
      </c>
      <c r="I262" t="s">
        <v>14</v>
      </c>
      <c r="J262">
        <v>150</v>
      </c>
    </row>
    <row r="263" spans="1:10" x14ac:dyDescent="0.3">
      <c r="A263">
        <v>1299</v>
      </c>
      <c r="B263" t="s">
        <v>15</v>
      </c>
      <c r="C263" s="1">
        <v>45850</v>
      </c>
      <c r="D263" t="s">
        <v>11</v>
      </c>
      <c r="E263" t="s">
        <v>17</v>
      </c>
      <c r="F263">
        <v>2</v>
      </c>
      <c r="G263">
        <v>12</v>
      </c>
      <c r="H263" t="s">
        <v>21</v>
      </c>
      <c r="I263" t="s">
        <v>14</v>
      </c>
      <c r="J263">
        <v>24</v>
      </c>
    </row>
    <row r="264" spans="1:10" x14ac:dyDescent="0.3">
      <c r="A264">
        <v>845</v>
      </c>
      <c r="B264" t="s">
        <v>15</v>
      </c>
      <c r="C264" s="1">
        <v>45885</v>
      </c>
      <c r="D264" t="s">
        <v>11</v>
      </c>
      <c r="E264" t="s">
        <v>12</v>
      </c>
      <c r="F264">
        <v>2</v>
      </c>
      <c r="G264">
        <v>25</v>
      </c>
      <c r="H264" t="s">
        <v>13</v>
      </c>
      <c r="I264" t="s">
        <v>25</v>
      </c>
      <c r="J264">
        <v>50</v>
      </c>
    </row>
    <row r="265" spans="1:10" x14ac:dyDescent="0.3">
      <c r="A265">
        <v>136</v>
      </c>
      <c r="B265" t="s">
        <v>15</v>
      </c>
      <c r="C265" s="1">
        <v>45893</v>
      </c>
      <c r="D265" t="s">
        <v>11</v>
      </c>
      <c r="E265" t="s">
        <v>22</v>
      </c>
      <c r="F265">
        <v>1</v>
      </c>
      <c r="G265">
        <v>20</v>
      </c>
      <c r="H265" t="s">
        <v>23</v>
      </c>
      <c r="I265" t="s">
        <v>27</v>
      </c>
      <c r="J265">
        <v>20</v>
      </c>
    </row>
    <row r="266" spans="1:10" x14ac:dyDescent="0.3">
      <c r="A266">
        <v>1620</v>
      </c>
      <c r="B266" t="s">
        <v>15</v>
      </c>
      <c r="C266" s="1">
        <v>45891</v>
      </c>
      <c r="D266" t="s">
        <v>11</v>
      </c>
      <c r="E266" t="s">
        <v>17</v>
      </c>
      <c r="F266">
        <v>5</v>
      </c>
      <c r="G266">
        <v>12</v>
      </c>
      <c r="H266" t="s">
        <v>21</v>
      </c>
      <c r="I266" t="s">
        <v>14</v>
      </c>
      <c r="J266">
        <v>60</v>
      </c>
    </row>
    <row r="267" spans="1:10" x14ac:dyDescent="0.3">
      <c r="A267">
        <v>963</v>
      </c>
      <c r="B267" t="s">
        <v>10</v>
      </c>
      <c r="C267" s="1">
        <v>45846</v>
      </c>
      <c r="D267" t="s">
        <v>11</v>
      </c>
      <c r="E267" t="s">
        <v>17</v>
      </c>
      <c r="F267">
        <v>3</v>
      </c>
      <c r="G267">
        <v>12</v>
      </c>
      <c r="H267" t="s">
        <v>13</v>
      </c>
      <c r="I267" t="s">
        <v>18</v>
      </c>
      <c r="J267">
        <v>36</v>
      </c>
    </row>
    <row r="268" spans="1:10" x14ac:dyDescent="0.3">
      <c r="A268">
        <v>957</v>
      </c>
      <c r="B268" t="s">
        <v>31</v>
      </c>
      <c r="C268" s="1">
        <v>45889</v>
      </c>
      <c r="D268" t="s">
        <v>11</v>
      </c>
      <c r="E268" t="s">
        <v>30</v>
      </c>
      <c r="F268">
        <v>5</v>
      </c>
      <c r="G268">
        <v>8</v>
      </c>
      <c r="H268" t="s">
        <v>13</v>
      </c>
      <c r="I268" t="s">
        <v>18</v>
      </c>
      <c r="J268">
        <v>40</v>
      </c>
    </row>
    <row r="269" spans="1:10" x14ac:dyDescent="0.3">
      <c r="A269">
        <v>1909</v>
      </c>
      <c r="B269" t="s">
        <v>26</v>
      </c>
      <c r="C269" s="1">
        <v>45898</v>
      </c>
      <c r="D269" t="s">
        <v>11</v>
      </c>
      <c r="E269" t="s">
        <v>12</v>
      </c>
      <c r="F269">
        <v>1</v>
      </c>
      <c r="G269">
        <v>25</v>
      </c>
      <c r="H269" t="s">
        <v>13</v>
      </c>
      <c r="I269" t="s">
        <v>25</v>
      </c>
      <c r="J269">
        <v>25</v>
      </c>
    </row>
    <row r="270" spans="1:10" x14ac:dyDescent="0.3">
      <c r="A270">
        <v>512</v>
      </c>
      <c r="B270" t="s">
        <v>26</v>
      </c>
      <c r="C270" s="1">
        <v>45857</v>
      </c>
      <c r="D270" t="s">
        <v>11</v>
      </c>
      <c r="E270" t="s">
        <v>22</v>
      </c>
      <c r="F270">
        <v>4</v>
      </c>
      <c r="G270">
        <v>20</v>
      </c>
      <c r="H270" t="s">
        <v>23</v>
      </c>
      <c r="I270" t="s">
        <v>18</v>
      </c>
      <c r="J270">
        <v>80</v>
      </c>
    </row>
    <row r="271" spans="1:10" x14ac:dyDescent="0.3">
      <c r="A271">
        <v>921</v>
      </c>
      <c r="B271" t="s">
        <v>15</v>
      </c>
      <c r="C271" s="1">
        <v>45870</v>
      </c>
      <c r="D271" t="s">
        <v>11</v>
      </c>
      <c r="E271" t="s">
        <v>17</v>
      </c>
      <c r="F271">
        <v>1</v>
      </c>
      <c r="G271">
        <v>12</v>
      </c>
      <c r="H271" t="s">
        <v>21</v>
      </c>
      <c r="I271" t="s">
        <v>14</v>
      </c>
      <c r="J271">
        <v>12</v>
      </c>
    </row>
    <row r="272" spans="1:10" x14ac:dyDescent="0.3">
      <c r="A272">
        <v>1630</v>
      </c>
      <c r="B272" t="s">
        <v>10</v>
      </c>
      <c r="C272" s="1">
        <v>45845</v>
      </c>
      <c r="D272" t="s">
        <v>11</v>
      </c>
      <c r="E272" t="s">
        <v>12</v>
      </c>
      <c r="F272">
        <v>5</v>
      </c>
      <c r="G272">
        <v>25</v>
      </c>
      <c r="H272" t="s">
        <v>13</v>
      </c>
      <c r="I272" t="s">
        <v>18</v>
      </c>
      <c r="J272">
        <v>125</v>
      </c>
    </row>
    <row r="273" spans="1:10" x14ac:dyDescent="0.3">
      <c r="A273">
        <v>1969</v>
      </c>
      <c r="B273" t="s">
        <v>24</v>
      </c>
      <c r="C273" s="1">
        <v>45900</v>
      </c>
      <c r="D273" t="s">
        <v>11</v>
      </c>
      <c r="E273" t="s">
        <v>12</v>
      </c>
      <c r="F273">
        <v>5</v>
      </c>
      <c r="G273">
        <v>25</v>
      </c>
      <c r="H273" t="s">
        <v>13</v>
      </c>
      <c r="I273" t="s">
        <v>18</v>
      </c>
      <c r="J273">
        <v>125</v>
      </c>
    </row>
    <row r="274" spans="1:10" x14ac:dyDescent="0.3">
      <c r="A274">
        <v>1326</v>
      </c>
      <c r="B274" t="s">
        <v>24</v>
      </c>
      <c r="C274" s="1">
        <v>45922</v>
      </c>
      <c r="D274" t="s">
        <v>11</v>
      </c>
      <c r="E274" t="s">
        <v>30</v>
      </c>
      <c r="F274">
        <v>4</v>
      </c>
      <c r="G274">
        <v>8</v>
      </c>
      <c r="H274" t="s">
        <v>21</v>
      </c>
      <c r="I274" t="s">
        <v>18</v>
      </c>
      <c r="J274">
        <v>32</v>
      </c>
    </row>
    <row r="275" spans="1:10" x14ac:dyDescent="0.3">
      <c r="A275">
        <v>630</v>
      </c>
      <c r="B275" t="s">
        <v>28</v>
      </c>
      <c r="C275" s="1">
        <v>45873</v>
      </c>
      <c r="D275" t="s">
        <v>11</v>
      </c>
      <c r="E275" t="s">
        <v>17</v>
      </c>
      <c r="F275">
        <v>4</v>
      </c>
      <c r="G275">
        <v>12</v>
      </c>
      <c r="H275" t="s">
        <v>23</v>
      </c>
      <c r="I275" t="s">
        <v>14</v>
      </c>
      <c r="J275">
        <v>48</v>
      </c>
    </row>
    <row r="276" spans="1:10" x14ac:dyDescent="0.3">
      <c r="A276">
        <v>2</v>
      </c>
      <c r="B276" t="s">
        <v>31</v>
      </c>
      <c r="C276" s="1">
        <v>45885</v>
      </c>
      <c r="D276" t="s">
        <v>11</v>
      </c>
      <c r="E276" t="s">
        <v>17</v>
      </c>
      <c r="F276">
        <v>5</v>
      </c>
      <c r="G276">
        <v>12</v>
      </c>
      <c r="H276" t="s">
        <v>23</v>
      </c>
      <c r="I276" t="s">
        <v>14</v>
      </c>
      <c r="J276">
        <v>60</v>
      </c>
    </row>
    <row r="277" spans="1:10" x14ac:dyDescent="0.3">
      <c r="A277">
        <v>1034</v>
      </c>
      <c r="B277" t="s">
        <v>10</v>
      </c>
      <c r="C277" s="1">
        <v>45899</v>
      </c>
      <c r="D277" t="s">
        <v>11</v>
      </c>
      <c r="E277" t="s">
        <v>17</v>
      </c>
      <c r="F277">
        <v>1</v>
      </c>
      <c r="G277">
        <v>12</v>
      </c>
      <c r="H277" t="s">
        <v>13</v>
      </c>
      <c r="I277" t="s">
        <v>18</v>
      </c>
      <c r="J277">
        <v>12</v>
      </c>
    </row>
    <row r="278" spans="1:10" x14ac:dyDescent="0.3">
      <c r="A278">
        <v>1409</v>
      </c>
      <c r="B278" t="s">
        <v>28</v>
      </c>
      <c r="C278" s="1">
        <v>45891</v>
      </c>
      <c r="D278" t="s">
        <v>11</v>
      </c>
      <c r="E278" t="s">
        <v>17</v>
      </c>
      <c r="F278">
        <v>3</v>
      </c>
      <c r="G278">
        <v>12</v>
      </c>
      <c r="H278" t="s">
        <v>13</v>
      </c>
      <c r="I278" t="s">
        <v>18</v>
      </c>
      <c r="J278">
        <v>36</v>
      </c>
    </row>
    <row r="279" spans="1:10" x14ac:dyDescent="0.3">
      <c r="A279">
        <v>721</v>
      </c>
      <c r="B279" t="s">
        <v>26</v>
      </c>
      <c r="C279" s="1">
        <v>45922</v>
      </c>
      <c r="D279" t="s">
        <v>11</v>
      </c>
      <c r="E279" t="s">
        <v>22</v>
      </c>
      <c r="F279">
        <v>3</v>
      </c>
      <c r="G279">
        <v>20</v>
      </c>
      <c r="H279" t="s">
        <v>21</v>
      </c>
      <c r="I279" t="s">
        <v>14</v>
      </c>
      <c r="J279">
        <v>60</v>
      </c>
    </row>
    <row r="280" spans="1:10" x14ac:dyDescent="0.3">
      <c r="A280">
        <v>400</v>
      </c>
      <c r="B280" t="s">
        <v>24</v>
      </c>
      <c r="C280" s="1">
        <v>45880</v>
      </c>
      <c r="D280" t="s">
        <v>11</v>
      </c>
      <c r="E280" t="s">
        <v>12</v>
      </c>
      <c r="F280">
        <v>2</v>
      </c>
      <c r="G280">
        <v>25</v>
      </c>
      <c r="H280" t="s">
        <v>23</v>
      </c>
      <c r="I280" t="s">
        <v>25</v>
      </c>
      <c r="J280">
        <v>50</v>
      </c>
    </row>
    <row r="281" spans="1:10" x14ac:dyDescent="0.3">
      <c r="A281">
        <v>896</v>
      </c>
      <c r="B281" t="s">
        <v>31</v>
      </c>
      <c r="C281" s="1">
        <v>45890</v>
      </c>
      <c r="D281" t="s">
        <v>11</v>
      </c>
      <c r="E281" t="s">
        <v>22</v>
      </c>
      <c r="F281">
        <v>1</v>
      </c>
      <c r="G281">
        <v>20</v>
      </c>
      <c r="H281" t="s">
        <v>13</v>
      </c>
      <c r="I281" t="s">
        <v>27</v>
      </c>
      <c r="J281">
        <v>20</v>
      </c>
    </row>
    <row r="282" spans="1:10" x14ac:dyDescent="0.3">
      <c r="A282">
        <v>1891</v>
      </c>
      <c r="B282" t="s">
        <v>26</v>
      </c>
      <c r="C282" s="1">
        <v>45860</v>
      </c>
      <c r="D282" t="s">
        <v>11</v>
      </c>
      <c r="E282" t="s">
        <v>30</v>
      </c>
      <c r="F282">
        <v>5</v>
      </c>
      <c r="G282">
        <v>8</v>
      </c>
      <c r="H282" t="s">
        <v>21</v>
      </c>
      <c r="I282" t="s">
        <v>18</v>
      </c>
      <c r="J282">
        <v>40</v>
      </c>
    </row>
    <row r="283" spans="1:10" x14ac:dyDescent="0.3">
      <c r="A283">
        <v>1054</v>
      </c>
      <c r="B283" t="s">
        <v>28</v>
      </c>
      <c r="C283" s="1">
        <v>45839</v>
      </c>
      <c r="D283" t="s">
        <v>11</v>
      </c>
      <c r="E283" t="s">
        <v>17</v>
      </c>
      <c r="F283">
        <v>2</v>
      </c>
      <c r="G283">
        <v>12</v>
      </c>
      <c r="H283" t="s">
        <v>13</v>
      </c>
      <c r="I283" t="s">
        <v>14</v>
      </c>
      <c r="J283">
        <v>24</v>
      </c>
    </row>
    <row r="284" spans="1:10" x14ac:dyDescent="0.3">
      <c r="A284">
        <v>251</v>
      </c>
      <c r="B284" t="s">
        <v>10</v>
      </c>
      <c r="C284" s="1">
        <v>45869</v>
      </c>
      <c r="D284" t="s">
        <v>11</v>
      </c>
      <c r="E284" t="s">
        <v>17</v>
      </c>
      <c r="F284">
        <v>4</v>
      </c>
      <c r="G284">
        <v>12</v>
      </c>
      <c r="H284" t="s">
        <v>23</v>
      </c>
      <c r="I284" t="s">
        <v>14</v>
      </c>
      <c r="J284">
        <v>48</v>
      </c>
    </row>
    <row r="285" spans="1:10" x14ac:dyDescent="0.3">
      <c r="A285">
        <v>1125</v>
      </c>
      <c r="B285" t="s">
        <v>10</v>
      </c>
      <c r="C285" s="1">
        <v>45923</v>
      </c>
      <c r="D285" t="s">
        <v>11</v>
      </c>
      <c r="E285" t="s">
        <v>30</v>
      </c>
      <c r="F285">
        <v>5</v>
      </c>
      <c r="G285">
        <v>8</v>
      </c>
      <c r="H285" t="s">
        <v>13</v>
      </c>
      <c r="I285" t="s">
        <v>25</v>
      </c>
      <c r="J285">
        <v>40</v>
      </c>
    </row>
    <row r="286" spans="1:10" x14ac:dyDescent="0.3">
      <c r="A286">
        <v>1881</v>
      </c>
      <c r="B286" t="s">
        <v>10</v>
      </c>
      <c r="C286" s="1">
        <v>45876</v>
      </c>
      <c r="D286" t="s">
        <v>11</v>
      </c>
      <c r="E286" t="s">
        <v>12</v>
      </c>
      <c r="F286">
        <v>2</v>
      </c>
      <c r="G286">
        <v>25</v>
      </c>
      <c r="H286" t="s">
        <v>21</v>
      </c>
      <c r="I286" t="s">
        <v>27</v>
      </c>
      <c r="J286">
        <v>50</v>
      </c>
    </row>
    <row r="287" spans="1:10" x14ac:dyDescent="0.3">
      <c r="A287">
        <v>1570</v>
      </c>
      <c r="B287" t="s">
        <v>10</v>
      </c>
      <c r="C287" s="1">
        <v>45903</v>
      </c>
      <c r="D287" t="s">
        <v>11</v>
      </c>
      <c r="E287" t="s">
        <v>22</v>
      </c>
      <c r="F287">
        <v>4</v>
      </c>
      <c r="G287">
        <v>20</v>
      </c>
      <c r="H287" t="s">
        <v>21</v>
      </c>
      <c r="I287" t="s">
        <v>18</v>
      </c>
      <c r="J287">
        <v>80</v>
      </c>
    </row>
    <row r="288" spans="1:10" x14ac:dyDescent="0.3">
      <c r="A288">
        <v>908</v>
      </c>
      <c r="B288" t="s">
        <v>32</v>
      </c>
      <c r="C288" s="1">
        <v>45906</v>
      </c>
      <c r="D288" t="s">
        <v>11</v>
      </c>
      <c r="E288" t="s">
        <v>17</v>
      </c>
      <c r="F288">
        <v>3</v>
      </c>
      <c r="G288">
        <v>12</v>
      </c>
      <c r="H288" t="s">
        <v>23</v>
      </c>
      <c r="I288" t="s">
        <v>18</v>
      </c>
      <c r="J288">
        <v>36</v>
      </c>
    </row>
    <row r="289" spans="1:10" x14ac:dyDescent="0.3">
      <c r="A289">
        <v>1516</v>
      </c>
      <c r="B289" t="s">
        <v>10</v>
      </c>
      <c r="C289" s="1">
        <v>45849</v>
      </c>
      <c r="D289" t="s">
        <v>11</v>
      </c>
      <c r="E289" t="s">
        <v>29</v>
      </c>
      <c r="F289">
        <v>3</v>
      </c>
      <c r="G289">
        <v>30</v>
      </c>
      <c r="H289" t="s">
        <v>13</v>
      </c>
      <c r="I289" t="s">
        <v>14</v>
      </c>
      <c r="J289">
        <v>90</v>
      </c>
    </row>
    <row r="290" spans="1:10" x14ac:dyDescent="0.3">
      <c r="A290">
        <v>277</v>
      </c>
      <c r="B290" t="s">
        <v>24</v>
      </c>
      <c r="C290" s="1">
        <v>45889</v>
      </c>
      <c r="D290" t="s">
        <v>11</v>
      </c>
      <c r="E290" t="s">
        <v>30</v>
      </c>
      <c r="F290">
        <v>2</v>
      </c>
      <c r="G290">
        <v>8</v>
      </c>
      <c r="H290" t="s">
        <v>23</v>
      </c>
      <c r="I290" t="s">
        <v>18</v>
      </c>
      <c r="J290">
        <v>16</v>
      </c>
    </row>
    <row r="291" spans="1:10" x14ac:dyDescent="0.3">
      <c r="A291">
        <v>1355</v>
      </c>
      <c r="B291" t="s">
        <v>26</v>
      </c>
      <c r="C291" s="1">
        <v>45927</v>
      </c>
      <c r="D291" t="s">
        <v>11</v>
      </c>
      <c r="E291" t="s">
        <v>17</v>
      </c>
      <c r="F291">
        <v>2</v>
      </c>
      <c r="G291">
        <v>12</v>
      </c>
      <c r="H291" t="s">
        <v>23</v>
      </c>
      <c r="I291" t="s">
        <v>14</v>
      </c>
      <c r="J291">
        <v>24</v>
      </c>
    </row>
    <row r="292" spans="1:10" x14ac:dyDescent="0.3">
      <c r="A292">
        <v>124</v>
      </c>
      <c r="B292" t="s">
        <v>28</v>
      </c>
      <c r="C292" s="1">
        <v>45849</v>
      </c>
      <c r="D292" t="s">
        <v>11</v>
      </c>
      <c r="E292" t="s">
        <v>17</v>
      </c>
      <c r="F292">
        <v>2</v>
      </c>
      <c r="G292">
        <v>12</v>
      </c>
      <c r="H292" t="s">
        <v>21</v>
      </c>
      <c r="I292" t="s">
        <v>14</v>
      </c>
      <c r="J292">
        <v>24</v>
      </c>
    </row>
    <row r="293" spans="1:10" x14ac:dyDescent="0.3">
      <c r="A293">
        <v>1728</v>
      </c>
      <c r="B293" t="s">
        <v>24</v>
      </c>
      <c r="C293" s="1">
        <v>45840</v>
      </c>
      <c r="D293" t="s">
        <v>11</v>
      </c>
      <c r="E293" t="s">
        <v>17</v>
      </c>
      <c r="F293">
        <v>3</v>
      </c>
      <c r="G293">
        <v>12</v>
      </c>
      <c r="H293" t="s">
        <v>13</v>
      </c>
      <c r="I293" t="s">
        <v>25</v>
      </c>
      <c r="J293">
        <v>36</v>
      </c>
    </row>
    <row r="294" spans="1:10" x14ac:dyDescent="0.3">
      <c r="A294">
        <v>1696</v>
      </c>
      <c r="B294" t="s">
        <v>19</v>
      </c>
      <c r="C294" s="1">
        <v>45914</v>
      </c>
      <c r="D294" t="s">
        <v>11</v>
      </c>
      <c r="E294" t="s">
        <v>17</v>
      </c>
      <c r="F294">
        <v>5</v>
      </c>
      <c r="G294">
        <v>12</v>
      </c>
      <c r="H294" t="s">
        <v>23</v>
      </c>
      <c r="I294" t="s">
        <v>27</v>
      </c>
      <c r="J294">
        <v>60</v>
      </c>
    </row>
    <row r="295" spans="1:10" x14ac:dyDescent="0.3">
      <c r="A295">
        <v>1086</v>
      </c>
      <c r="B295" t="s">
        <v>24</v>
      </c>
      <c r="C295" s="1">
        <v>45927</v>
      </c>
      <c r="D295" t="s">
        <v>11</v>
      </c>
      <c r="E295" t="s">
        <v>30</v>
      </c>
      <c r="F295">
        <v>1</v>
      </c>
      <c r="G295">
        <v>8</v>
      </c>
      <c r="H295" t="s">
        <v>13</v>
      </c>
      <c r="I295" t="s">
        <v>14</v>
      </c>
      <c r="J295">
        <v>8</v>
      </c>
    </row>
    <row r="296" spans="1:10" x14ac:dyDescent="0.3">
      <c r="A296">
        <v>1065</v>
      </c>
      <c r="B296" t="s">
        <v>10</v>
      </c>
      <c r="C296" s="1">
        <v>45893</v>
      </c>
      <c r="D296" t="s">
        <v>11</v>
      </c>
      <c r="E296" t="s">
        <v>12</v>
      </c>
      <c r="F296">
        <v>3</v>
      </c>
      <c r="G296">
        <v>25</v>
      </c>
      <c r="H296" t="s">
        <v>21</v>
      </c>
      <c r="I296" t="s">
        <v>14</v>
      </c>
      <c r="J296">
        <v>75</v>
      </c>
    </row>
    <row r="297" spans="1:10" x14ac:dyDescent="0.3">
      <c r="A297">
        <v>1199</v>
      </c>
      <c r="B297" t="s">
        <v>32</v>
      </c>
      <c r="C297" s="1">
        <v>45892</v>
      </c>
      <c r="D297" t="s">
        <v>11</v>
      </c>
      <c r="E297" t="s">
        <v>17</v>
      </c>
      <c r="F297">
        <v>4</v>
      </c>
      <c r="G297">
        <v>12</v>
      </c>
      <c r="H297" t="s">
        <v>21</v>
      </c>
      <c r="I297" t="s">
        <v>18</v>
      </c>
      <c r="J297">
        <v>48</v>
      </c>
    </row>
    <row r="298" spans="1:10" x14ac:dyDescent="0.3">
      <c r="A298">
        <v>118</v>
      </c>
      <c r="B298" t="s">
        <v>10</v>
      </c>
      <c r="C298" s="1">
        <v>45905</v>
      </c>
      <c r="D298" t="s">
        <v>11</v>
      </c>
      <c r="E298" t="s">
        <v>12</v>
      </c>
      <c r="F298">
        <v>3</v>
      </c>
      <c r="G298">
        <v>25</v>
      </c>
      <c r="H298" t="s">
        <v>23</v>
      </c>
      <c r="I298" t="s">
        <v>25</v>
      </c>
      <c r="J298">
        <v>75</v>
      </c>
    </row>
    <row r="299" spans="1:10" x14ac:dyDescent="0.3">
      <c r="A299">
        <v>988</v>
      </c>
      <c r="B299" t="s">
        <v>31</v>
      </c>
      <c r="C299" s="1">
        <v>45892</v>
      </c>
      <c r="D299" t="s">
        <v>11</v>
      </c>
      <c r="E299" t="s">
        <v>12</v>
      </c>
      <c r="F299">
        <v>3</v>
      </c>
      <c r="G299">
        <v>25</v>
      </c>
      <c r="H299" t="s">
        <v>13</v>
      </c>
      <c r="I299" t="s">
        <v>14</v>
      </c>
      <c r="J299">
        <v>75</v>
      </c>
    </row>
    <row r="300" spans="1:10" x14ac:dyDescent="0.3">
      <c r="A300">
        <v>1797</v>
      </c>
      <c r="B300" t="s">
        <v>28</v>
      </c>
      <c r="C300" s="1">
        <v>45879</v>
      </c>
      <c r="D300" t="s">
        <v>11</v>
      </c>
      <c r="E300" t="s">
        <v>12</v>
      </c>
      <c r="F300">
        <v>2</v>
      </c>
      <c r="G300">
        <v>25</v>
      </c>
      <c r="H300" t="s">
        <v>23</v>
      </c>
      <c r="I300" t="s">
        <v>25</v>
      </c>
      <c r="J300">
        <v>50</v>
      </c>
    </row>
    <row r="301" spans="1:10" x14ac:dyDescent="0.3">
      <c r="A301">
        <v>428</v>
      </c>
      <c r="B301" t="s">
        <v>31</v>
      </c>
      <c r="C301" s="1">
        <v>45898</v>
      </c>
      <c r="D301" t="s">
        <v>11</v>
      </c>
      <c r="E301" t="s">
        <v>29</v>
      </c>
      <c r="F301">
        <v>3</v>
      </c>
      <c r="G301">
        <v>30</v>
      </c>
      <c r="H301" t="s">
        <v>13</v>
      </c>
      <c r="I301" t="s">
        <v>27</v>
      </c>
      <c r="J301">
        <v>90</v>
      </c>
    </row>
    <row r="302" spans="1:10" x14ac:dyDescent="0.3">
      <c r="A302">
        <v>956</v>
      </c>
      <c r="B302" t="s">
        <v>32</v>
      </c>
      <c r="C302" s="1">
        <v>45844</v>
      </c>
      <c r="D302" t="s">
        <v>11</v>
      </c>
      <c r="E302" t="s">
        <v>30</v>
      </c>
      <c r="F302">
        <v>5</v>
      </c>
      <c r="G302">
        <v>8</v>
      </c>
      <c r="H302" t="s">
        <v>13</v>
      </c>
      <c r="I302" t="s">
        <v>25</v>
      </c>
      <c r="J302">
        <v>40</v>
      </c>
    </row>
    <row r="303" spans="1:10" x14ac:dyDescent="0.3">
      <c r="A303">
        <v>1035</v>
      </c>
      <c r="B303" t="s">
        <v>24</v>
      </c>
      <c r="C303" s="1">
        <v>45843</v>
      </c>
      <c r="D303" t="s">
        <v>11</v>
      </c>
      <c r="E303" t="s">
        <v>17</v>
      </c>
      <c r="F303">
        <v>5</v>
      </c>
      <c r="G303">
        <v>12</v>
      </c>
      <c r="H303" t="s">
        <v>23</v>
      </c>
      <c r="I303" t="s">
        <v>27</v>
      </c>
      <c r="J303">
        <v>60</v>
      </c>
    </row>
    <row r="304" spans="1:10" x14ac:dyDescent="0.3">
      <c r="A304">
        <v>606</v>
      </c>
      <c r="B304" t="s">
        <v>32</v>
      </c>
      <c r="C304" s="1">
        <v>45928</v>
      </c>
      <c r="D304" t="s">
        <v>11</v>
      </c>
      <c r="E304" t="s">
        <v>12</v>
      </c>
      <c r="F304">
        <v>5</v>
      </c>
      <c r="G304">
        <v>25</v>
      </c>
      <c r="H304" t="s">
        <v>21</v>
      </c>
      <c r="I304" t="s">
        <v>25</v>
      </c>
      <c r="J304">
        <v>125</v>
      </c>
    </row>
    <row r="305" spans="1:10" x14ac:dyDescent="0.3">
      <c r="A305">
        <v>1931</v>
      </c>
      <c r="B305" t="s">
        <v>19</v>
      </c>
      <c r="C305" s="1">
        <v>45906</v>
      </c>
      <c r="D305" t="s">
        <v>11</v>
      </c>
      <c r="E305" t="s">
        <v>29</v>
      </c>
      <c r="F305">
        <v>5</v>
      </c>
      <c r="G305">
        <v>30</v>
      </c>
      <c r="H305" t="s">
        <v>21</v>
      </c>
      <c r="I305" t="s">
        <v>27</v>
      </c>
      <c r="J305">
        <v>150</v>
      </c>
    </row>
    <row r="306" spans="1:10" x14ac:dyDescent="0.3">
      <c r="A306">
        <v>1477</v>
      </c>
      <c r="B306" t="s">
        <v>28</v>
      </c>
      <c r="C306" s="1">
        <v>45927</v>
      </c>
      <c r="D306" t="s">
        <v>11</v>
      </c>
      <c r="E306" t="s">
        <v>29</v>
      </c>
      <c r="F306">
        <v>4</v>
      </c>
      <c r="G306">
        <v>30</v>
      </c>
      <c r="H306" t="s">
        <v>21</v>
      </c>
      <c r="I306" t="s">
        <v>14</v>
      </c>
      <c r="J306">
        <v>120</v>
      </c>
    </row>
    <row r="307" spans="1:10" x14ac:dyDescent="0.3">
      <c r="A307">
        <v>1338</v>
      </c>
      <c r="B307" t="s">
        <v>10</v>
      </c>
      <c r="C307" s="1">
        <v>45844</v>
      </c>
      <c r="D307" t="s">
        <v>11</v>
      </c>
      <c r="E307" t="s">
        <v>30</v>
      </c>
      <c r="F307">
        <v>3</v>
      </c>
      <c r="G307">
        <v>8</v>
      </c>
      <c r="H307" t="s">
        <v>13</v>
      </c>
      <c r="I307" t="s">
        <v>27</v>
      </c>
      <c r="J307">
        <v>24</v>
      </c>
    </row>
    <row r="308" spans="1:10" x14ac:dyDescent="0.3">
      <c r="A308">
        <v>152</v>
      </c>
      <c r="B308" t="s">
        <v>32</v>
      </c>
      <c r="C308" s="1">
        <v>45927</v>
      </c>
      <c r="D308" t="s">
        <v>11</v>
      </c>
      <c r="E308" t="s">
        <v>17</v>
      </c>
      <c r="F308">
        <v>5</v>
      </c>
      <c r="G308">
        <v>12</v>
      </c>
      <c r="H308" t="s">
        <v>13</v>
      </c>
      <c r="I308" t="s">
        <v>27</v>
      </c>
      <c r="J308">
        <v>60</v>
      </c>
    </row>
    <row r="309" spans="1:10" x14ac:dyDescent="0.3">
      <c r="A309">
        <v>1833</v>
      </c>
      <c r="B309" t="s">
        <v>31</v>
      </c>
      <c r="C309" s="1">
        <v>45849</v>
      </c>
      <c r="D309" t="s">
        <v>11</v>
      </c>
      <c r="E309" t="s">
        <v>22</v>
      </c>
      <c r="F309">
        <v>4</v>
      </c>
      <c r="G309">
        <v>20</v>
      </c>
      <c r="H309" t="s">
        <v>21</v>
      </c>
      <c r="I309" t="s">
        <v>18</v>
      </c>
      <c r="J309">
        <v>80</v>
      </c>
    </row>
    <row r="310" spans="1:10" x14ac:dyDescent="0.3">
      <c r="A310">
        <v>209</v>
      </c>
      <c r="B310" t="s">
        <v>10</v>
      </c>
      <c r="C310" s="1">
        <v>45915</v>
      </c>
      <c r="D310" t="s">
        <v>11</v>
      </c>
      <c r="E310" t="s">
        <v>17</v>
      </c>
      <c r="F310">
        <v>3</v>
      </c>
      <c r="G310">
        <v>12</v>
      </c>
      <c r="H310" t="s">
        <v>23</v>
      </c>
      <c r="I310" t="s">
        <v>14</v>
      </c>
      <c r="J310">
        <v>36</v>
      </c>
    </row>
    <row r="311" spans="1:10" x14ac:dyDescent="0.3">
      <c r="A311">
        <v>290</v>
      </c>
      <c r="B311" t="s">
        <v>19</v>
      </c>
      <c r="C311" s="1">
        <v>45900</v>
      </c>
      <c r="D311" t="s">
        <v>11</v>
      </c>
      <c r="E311" t="s">
        <v>17</v>
      </c>
      <c r="F311">
        <v>4</v>
      </c>
      <c r="G311">
        <v>12</v>
      </c>
      <c r="H311" t="s">
        <v>21</v>
      </c>
      <c r="I311" t="s">
        <v>27</v>
      </c>
      <c r="J311">
        <v>48</v>
      </c>
    </row>
    <row r="312" spans="1:10" x14ac:dyDescent="0.3">
      <c r="A312">
        <v>340</v>
      </c>
      <c r="B312" t="s">
        <v>31</v>
      </c>
      <c r="C312" s="1">
        <v>45851</v>
      </c>
      <c r="D312" t="s">
        <v>11</v>
      </c>
      <c r="E312" t="s">
        <v>17</v>
      </c>
      <c r="F312">
        <v>1</v>
      </c>
      <c r="G312">
        <v>12</v>
      </c>
      <c r="H312" t="s">
        <v>13</v>
      </c>
      <c r="I312" t="s">
        <v>14</v>
      </c>
      <c r="J312">
        <v>12</v>
      </c>
    </row>
    <row r="313" spans="1:10" x14ac:dyDescent="0.3">
      <c r="A313">
        <v>1719</v>
      </c>
      <c r="B313" t="s">
        <v>26</v>
      </c>
      <c r="C313" s="1">
        <v>45892</v>
      </c>
      <c r="D313" t="s">
        <v>11</v>
      </c>
      <c r="E313" t="s">
        <v>17</v>
      </c>
      <c r="F313">
        <v>3</v>
      </c>
      <c r="G313">
        <v>12</v>
      </c>
      <c r="H313" t="s">
        <v>23</v>
      </c>
      <c r="I313" t="s">
        <v>25</v>
      </c>
      <c r="J313">
        <v>36</v>
      </c>
    </row>
    <row r="314" spans="1:10" x14ac:dyDescent="0.3">
      <c r="A314">
        <v>799</v>
      </c>
      <c r="B314" t="s">
        <v>24</v>
      </c>
      <c r="C314" s="1">
        <v>45900</v>
      </c>
      <c r="D314" t="s">
        <v>11</v>
      </c>
      <c r="E314" t="s">
        <v>29</v>
      </c>
      <c r="F314">
        <v>3</v>
      </c>
      <c r="G314">
        <v>30</v>
      </c>
      <c r="H314" t="s">
        <v>13</v>
      </c>
      <c r="I314" t="s">
        <v>27</v>
      </c>
      <c r="J314">
        <v>90</v>
      </c>
    </row>
    <row r="315" spans="1:10" x14ac:dyDescent="0.3">
      <c r="A315">
        <v>825</v>
      </c>
      <c r="B315" t="s">
        <v>19</v>
      </c>
      <c r="C315" s="1">
        <v>45900</v>
      </c>
      <c r="D315" t="s">
        <v>11</v>
      </c>
      <c r="E315" t="s">
        <v>17</v>
      </c>
      <c r="F315">
        <v>5</v>
      </c>
      <c r="G315">
        <v>12</v>
      </c>
      <c r="H315" t="s">
        <v>13</v>
      </c>
      <c r="I315" t="s">
        <v>18</v>
      </c>
      <c r="J315">
        <v>60</v>
      </c>
    </row>
    <row r="316" spans="1:10" x14ac:dyDescent="0.3">
      <c r="A316">
        <v>1188</v>
      </c>
      <c r="B316" t="s">
        <v>24</v>
      </c>
      <c r="C316" s="1">
        <v>45912</v>
      </c>
      <c r="D316" t="s">
        <v>11</v>
      </c>
      <c r="E316" t="s">
        <v>17</v>
      </c>
      <c r="F316">
        <v>5</v>
      </c>
      <c r="G316">
        <v>12</v>
      </c>
      <c r="H316" t="s">
        <v>21</v>
      </c>
      <c r="I316" t="s">
        <v>27</v>
      </c>
      <c r="J316">
        <v>60</v>
      </c>
    </row>
    <row r="317" spans="1:10" x14ac:dyDescent="0.3">
      <c r="A317">
        <v>690</v>
      </c>
      <c r="B317" t="s">
        <v>26</v>
      </c>
      <c r="C317" s="1">
        <v>45908</v>
      </c>
      <c r="D317" t="s">
        <v>11</v>
      </c>
      <c r="E317" t="s">
        <v>17</v>
      </c>
      <c r="F317">
        <v>4</v>
      </c>
      <c r="G317">
        <v>12</v>
      </c>
      <c r="H317" t="s">
        <v>13</v>
      </c>
      <c r="I317" t="s">
        <v>14</v>
      </c>
      <c r="J317">
        <v>48</v>
      </c>
    </row>
    <row r="318" spans="1:10" x14ac:dyDescent="0.3">
      <c r="A318">
        <v>1953</v>
      </c>
      <c r="B318" t="s">
        <v>32</v>
      </c>
      <c r="C318" s="1">
        <v>45877</v>
      </c>
      <c r="D318" t="s">
        <v>11</v>
      </c>
      <c r="E318" t="s">
        <v>29</v>
      </c>
      <c r="F318">
        <v>3</v>
      </c>
      <c r="G318">
        <v>30</v>
      </c>
      <c r="H318" t="s">
        <v>13</v>
      </c>
      <c r="I318" t="s">
        <v>18</v>
      </c>
      <c r="J318">
        <v>90</v>
      </c>
    </row>
    <row r="319" spans="1:10" x14ac:dyDescent="0.3">
      <c r="A319">
        <v>192</v>
      </c>
      <c r="B319" t="s">
        <v>32</v>
      </c>
      <c r="C319" s="1">
        <v>45864</v>
      </c>
      <c r="D319" t="s">
        <v>11</v>
      </c>
      <c r="E319" t="s">
        <v>29</v>
      </c>
      <c r="F319">
        <v>5</v>
      </c>
      <c r="G319">
        <v>30</v>
      </c>
      <c r="H319" t="s">
        <v>23</v>
      </c>
      <c r="I319" t="s">
        <v>25</v>
      </c>
      <c r="J319">
        <v>150</v>
      </c>
    </row>
    <row r="320" spans="1:10" x14ac:dyDescent="0.3">
      <c r="A320">
        <v>53</v>
      </c>
      <c r="B320" t="s">
        <v>32</v>
      </c>
      <c r="C320" s="1">
        <v>45899</v>
      </c>
      <c r="D320" t="s">
        <v>11</v>
      </c>
      <c r="E320" t="s">
        <v>17</v>
      </c>
      <c r="F320">
        <v>5</v>
      </c>
      <c r="G320">
        <v>12</v>
      </c>
      <c r="H320" t="s">
        <v>21</v>
      </c>
      <c r="I320" t="s">
        <v>25</v>
      </c>
      <c r="J320">
        <v>60</v>
      </c>
    </row>
    <row r="321" spans="1:10" x14ac:dyDescent="0.3">
      <c r="A321">
        <v>295</v>
      </c>
      <c r="B321" t="s">
        <v>26</v>
      </c>
      <c r="C321" s="1">
        <v>45907</v>
      </c>
      <c r="D321" t="s">
        <v>11</v>
      </c>
      <c r="E321" t="s">
        <v>17</v>
      </c>
      <c r="F321">
        <v>3</v>
      </c>
      <c r="G321">
        <v>12</v>
      </c>
      <c r="H321" t="s">
        <v>21</v>
      </c>
      <c r="I321" t="s">
        <v>25</v>
      </c>
      <c r="J321">
        <v>36</v>
      </c>
    </row>
    <row r="322" spans="1:10" x14ac:dyDescent="0.3">
      <c r="A322">
        <v>1267</v>
      </c>
      <c r="B322" t="s">
        <v>28</v>
      </c>
      <c r="C322" s="1">
        <v>45876</v>
      </c>
      <c r="D322" t="s">
        <v>11</v>
      </c>
      <c r="E322" t="s">
        <v>17</v>
      </c>
      <c r="F322">
        <v>1</v>
      </c>
      <c r="G322">
        <v>12</v>
      </c>
      <c r="H322" t="s">
        <v>21</v>
      </c>
      <c r="I322" t="s">
        <v>14</v>
      </c>
      <c r="J322">
        <v>12</v>
      </c>
    </row>
    <row r="323" spans="1:10" x14ac:dyDescent="0.3">
      <c r="A323">
        <v>377</v>
      </c>
      <c r="B323" t="s">
        <v>31</v>
      </c>
      <c r="C323" s="1">
        <v>45899</v>
      </c>
      <c r="D323" t="s">
        <v>11</v>
      </c>
      <c r="E323" t="s">
        <v>17</v>
      </c>
      <c r="F323">
        <v>2</v>
      </c>
      <c r="G323">
        <v>12</v>
      </c>
      <c r="H323" t="s">
        <v>13</v>
      </c>
      <c r="I323" t="s">
        <v>25</v>
      </c>
      <c r="J323">
        <v>24</v>
      </c>
    </row>
    <row r="324" spans="1:10" x14ac:dyDescent="0.3">
      <c r="A324">
        <v>588</v>
      </c>
      <c r="B324" t="s">
        <v>32</v>
      </c>
      <c r="C324" s="1">
        <v>45927</v>
      </c>
      <c r="D324" t="s">
        <v>11</v>
      </c>
      <c r="E324" t="s">
        <v>30</v>
      </c>
      <c r="F324">
        <v>5</v>
      </c>
      <c r="G324">
        <v>8</v>
      </c>
      <c r="H324" t="s">
        <v>21</v>
      </c>
      <c r="I324" t="s">
        <v>18</v>
      </c>
      <c r="J324">
        <v>40</v>
      </c>
    </row>
    <row r="325" spans="1:10" x14ac:dyDescent="0.3">
      <c r="A325">
        <v>1907</v>
      </c>
      <c r="B325" t="s">
        <v>15</v>
      </c>
      <c r="C325" s="1">
        <v>45914</v>
      </c>
      <c r="D325" t="s">
        <v>11</v>
      </c>
      <c r="E325" t="s">
        <v>12</v>
      </c>
      <c r="F325">
        <v>1</v>
      </c>
      <c r="G325">
        <v>25</v>
      </c>
      <c r="H325" t="s">
        <v>13</v>
      </c>
      <c r="I325" t="s">
        <v>25</v>
      </c>
      <c r="J325">
        <v>25</v>
      </c>
    </row>
    <row r="326" spans="1:10" x14ac:dyDescent="0.3">
      <c r="A326">
        <v>1744</v>
      </c>
      <c r="B326" t="s">
        <v>32</v>
      </c>
      <c r="C326" s="1">
        <v>45841</v>
      </c>
      <c r="D326" t="s">
        <v>11</v>
      </c>
      <c r="E326" t="s">
        <v>17</v>
      </c>
      <c r="F326">
        <v>4</v>
      </c>
      <c r="G326">
        <v>12</v>
      </c>
      <c r="H326" t="s">
        <v>23</v>
      </c>
      <c r="I326" t="s">
        <v>25</v>
      </c>
      <c r="J326">
        <v>48</v>
      </c>
    </row>
    <row r="327" spans="1:10" x14ac:dyDescent="0.3">
      <c r="A327">
        <v>1823</v>
      </c>
      <c r="B327" t="s">
        <v>31</v>
      </c>
      <c r="C327" s="1">
        <v>45901</v>
      </c>
      <c r="D327" t="s">
        <v>11</v>
      </c>
      <c r="E327" t="s">
        <v>22</v>
      </c>
      <c r="F327">
        <v>2</v>
      </c>
      <c r="G327">
        <v>20</v>
      </c>
      <c r="H327" t="s">
        <v>23</v>
      </c>
      <c r="I327" t="s">
        <v>18</v>
      </c>
      <c r="J327">
        <v>40</v>
      </c>
    </row>
    <row r="328" spans="1:10" x14ac:dyDescent="0.3">
      <c r="A328">
        <v>143</v>
      </c>
      <c r="B328" t="s">
        <v>31</v>
      </c>
      <c r="C328" s="1">
        <v>45865</v>
      </c>
      <c r="D328" t="s">
        <v>11</v>
      </c>
      <c r="E328" t="s">
        <v>30</v>
      </c>
      <c r="F328">
        <v>2</v>
      </c>
      <c r="G328">
        <v>8</v>
      </c>
      <c r="H328" t="s">
        <v>23</v>
      </c>
      <c r="I328" t="s">
        <v>18</v>
      </c>
      <c r="J328">
        <v>16</v>
      </c>
    </row>
    <row r="329" spans="1:10" x14ac:dyDescent="0.3">
      <c r="A329">
        <v>591</v>
      </c>
      <c r="B329" t="s">
        <v>24</v>
      </c>
      <c r="C329" s="1">
        <v>45905</v>
      </c>
      <c r="D329" t="s">
        <v>11</v>
      </c>
      <c r="E329" t="s">
        <v>22</v>
      </c>
      <c r="F329">
        <v>2</v>
      </c>
      <c r="G329">
        <v>20</v>
      </c>
      <c r="H329" t="s">
        <v>13</v>
      </c>
      <c r="I329" t="s">
        <v>25</v>
      </c>
      <c r="J329">
        <v>40</v>
      </c>
    </row>
    <row r="330" spans="1:10" x14ac:dyDescent="0.3">
      <c r="A330">
        <v>1442</v>
      </c>
      <c r="B330" t="s">
        <v>26</v>
      </c>
      <c r="C330" s="1">
        <v>45880</v>
      </c>
      <c r="D330" t="s">
        <v>11</v>
      </c>
      <c r="E330" t="s">
        <v>12</v>
      </c>
      <c r="F330">
        <v>2</v>
      </c>
      <c r="G330">
        <v>25</v>
      </c>
      <c r="H330" t="s">
        <v>23</v>
      </c>
      <c r="I330" t="s">
        <v>27</v>
      </c>
      <c r="J330">
        <v>50</v>
      </c>
    </row>
    <row r="331" spans="1:10" x14ac:dyDescent="0.3">
      <c r="A331">
        <v>633</v>
      </c>
      <c r="B331" t="s">
        <v>15</v>
      </c>
      <c r="C331" s="1">
        <v>45922</v>
      </c>
      <c r="D331" t="s">
        <v>11</v>
      </c>
      <c r="E331" t="s">
        <v>17</v>
      </c>
      <c r="F331">
        <v>1</v>
      </c>
      <c r="G331">
        <v>12</v>
      </c>
      <c r="H331" t="s">
        <v>21</v>
      </c>
      <c r="I331" t="s">
        <v>14</v>
      </c>
      <c r="J331">
        <v>12</v>
      </c>
    </row>
    <row r="332" spans="1:10" x14ac:dyDescent="0.3">
      <c r="A332">
        <v>1365</v>
      </c>
      <c r="B332" t="s">
        <v>19</v>
      </c>
      <c r="C332" s="1">
        <v>45853</v>
      </c>
      <c r="D332" t="s">
        <v>11</v>
      </c>
      <c r="E332" t="s">
        <v>29</v>
      </c>
      <c r="F332">
        <v>5</v>
      </c>
      <c r="G332">
        <v>30</v>
      </c>
      <c r="H332" t="s">
        <v>23</v>
      </c>
      <c r="I332" t="s">
        <v>14</v>
      </c>
      <c r="J332">
        <v>150</v>
      </c>
    </row>
    <row r="333" spans="1:10" x14ac:dyDescent="0.3">
      <c r="A333">
        <v>1980</v>
      </c>
      <c r="B333" t="s">
        <v>26</v>
      </c>
      <c r="C333" s="1">
        <v>45921</v>
      </c>
      <c r="D333" t="s">
        <v>11</v>
      </c>
      <c r="E333" t="s">
        <v>17</v>
      </c>
      <c r="F333">
        <v>1</v>
      </c>
      <c r="G333">
        <v>12</v>
      </c>
      <c r="H333" t="s">
        <v>23</v>
      </c>
      <c r="I333" t="s">
        <v>27</v>
      </c>
      <c r="J333">
        <v>12</v>
      </c>
    </row>
    <row r="334" spans="1:10" x14ac:dyDescent="0.3">
      <c r="A334">
        <v>1274</v>
      </c>
      <c r="B334" t="s">
        <v>32</v>
      </c>
      <c r="C334" s="1">
        <v>45879</v>
      </c>
      <c r="D334" t="s">
        <v>11</v>
      </c>
      <c r="E334" t="s">
        <v>12</v>
      </c>
      <c r="F334">
        <v>4</v>
      </c>
      <c r="G334">
        <v>25</v>
      </c>
      <c r="H334" t="s">
        <v>23</v>
      </c>
      <c r="I334" t="s">
        <v>18</v>
      </c>
      <c r="J334">
        <v>100</v>
      </c>
    </row>
    <row r="335" spans="1:10" x14ac:dyDescent="0.3">
      <c r="A335">
        <v>1072</v>
      </c>
      <c r="B335" t="s">
        <v>26</v>
      </c>
      <c r="C335" s="1">
        <v>45864</v>
      </c>
      <c r="D335" t="s">
        <v>11</v>
      </c>
      <c r="E335" t="s">
        <v>12</v>
      </c>
      <c r="F335">
        <v>4</v>
      </c>
      <c r="G335">
        <v>25</v>
      </c>
      <c r="H335" t="s">
        <v>23</v>
      </c>
      <c r="I335" t="s">
        <v>27</v>
      </c>
      <c r="J335">
        <v>100</v>
      </c>
    </row>
    <row r="336" spans="1:10" x14ac:dyDescent="0.3">
      <c r="A336">
        <v>346</v>
      </c>
      <c r="B336" t="s">
        <v>28</v>
      </c>
      <c r="C336" s="1">
        <v>45921</v>
      </c>
      <c r="D336" t="s">
        <v>11</v>
      </c>
      <c r="E336" t="s">
        <v>30</v>
      </c>
      <c r="F336">
        <v>1</v>
      </c>
      <c r="G336">
        <v>8</v>
      </c>
      <c r="H336" t="s">
        <v>21</v>
      </c>
      <c r="I336" t="s">
        <v>14</v>
      </c>
      <c r="J336">
        <v>8</v>
      </c>
    </row>
    <row r="337" spans="1:10" x14ac:dyDescent="0.3">
      <c r="A337">
        <v>832</v>
      </c>
      <c r="B337" t="s">
        <v>15</v>
      </c>
      <c r="C337" s="1">
        <v>45914</v>
      </c>
      <c r="D337" t="s">
        <v>11</v>
      </c>
      <c r="E337" t="s">
        <v>30</v>
      </c>
      <c r="F337">
        <v>1</v>
      </c>
      <c r="G337">
        <v>8</v>
      </c>
      <c r="H337" t="s">
        <v>13</v>
      </c>
      <c r="I337" t="s">
        <v>14</v>
      </c>
      <c r="J337">
        <v>8</v>
      </c>
    </row>
    <row r="338" spans="1:10" x14ac:dyDescent="0.3">
      <c r="A338">
        <v>338</v>
      </c>
      <c r="B338" t="s">
        <v>32</v>
      </c>
      <c r="C338" s="1">
        <v>45886</v>
      </c>
      <c r="D338" t="s">
        <v>11</v>
      </c>
      <c r="E338" t="s">
        <v>17</v>
      </c>
      <c r="F338">
        <v>1</v>
      </c>
      <c r="G338">
        <v>12</v>
      </c>
      <c r="H338" t="s">
        <v>23</v>
      </c>
      <c r="I338" t="s">
        <v>18</v>
      </c>
      <c r="J338">
        <v>12</v>
      </c>
    </row>
    <row r="339" spans="1:10" x14ac:dyDescent="0.3">
      <c r="A339">
        <v>361</v>
      </c>
      <c r="B339" t="s">
        <v>31</v>
      </c>
      <c r="C339" s="1">
        <v>45843</v>
      </c>
      <c r="D339" t="s">
        <v>11</v>
      </c>
      <c r="E339" t="s">
        <v>17</v>
      </c>
      <c r="F339">
        <v>2</v>
      </c>
      <c r="G339">
        <v>12</v>
      </c>
      <c r="H339" t="s">
        <v>21</v>
      </c>
      <c r="I339" t="s">
        <v>14</v>
      </c>
      <c r="J339">
        <v>24</v>
      </c>
    </row>
    <row r="340" spans="1:10" x14ac:dyDescent="0.3">
      <c r="A340">
        <v>1025</v>
      </c>
      <c r="B340" t="s">
        <v>19</v>
      </c>
      <c r="C340" s="1">
        <v>45909</v>
      </c>
      <c r="D340" t="s">
        <v>11</v>
      </c>
      <c r="E340" t="s">
        <v>17</v>
      </c>
      <c r="F340">
        <v>2</v>
      </c>
      <c r="G340">
        <v>12</v>
      </c>
      <c r="H340" t="s">
        <v>13</v>
      </c>
      <c r="I340" t="s">
        <v>14</v>
      </c>
      <c r="J340">
        <v>24</v>
      </c>
    </row>
    <row r="341" spans="1:10" x14ac:dyDescent="0.3">
      <c r="A341">
        <v>358</v>
      </c>
      <c r="B341" t="s">
        <v>19</v>
      </c>
      <c r="C341" s="1">
        <v>45888</v>
      </c>
      <c r="D341" t="s">
        <v>11</v>
      </c>
      <c r="E341" t="s">
        <v>17</v>
      </c>
      <c r="F341">
        <v>1</v>
      </c>
      <c r="G341">
        <v>12</v>
      </c>
      <c r="H341" t="s">
        <v>13</v>
      </c>
      <c r="I341" t="s">
        <v>27</v>
      </c>
      <c r="J341">
        <v>12</v>
      </c>
    </row>
    <row r="342" spans="1:10" x14ac:dyDescent="0.3">
      <c r="A342">
        <v>1617</v>
      </c>
      <c r="B342" t="s">
        <v>28</v>
      </c>
      <c r="C342" s="1">
        <v>45842</v>
      </c>
      <c r="D342" t="s">
        <v>11</v>
      </c>
      <c r="E342" t="s">
        <v>12</v>
      </c>
      <c r="F342">
        <v>1</v>
      </c>
      <c r="G342">
        <v>25</v>
      </c>
      <c r="H342" t="s">
        <v>13</v>
      </c>
      <c r="I342" t="s">
        <v>18</v>
      </c>
      <c r="J342">
        <v>25</v>
      </c>
    </row>
    <row r="343" spans="1:10" x14ac:dyDescent="0.3">
      <c r="A343">
        <v>1830</v>
      </c>
      <c r="B343" t="s">
        <v>24</v>
      </c>
      <c r="C343" s="1">
        <v>45866</v>
      </c>
      <c r="D343" t="s">
        <v>11</v>
      </c>
      <c r="E343" t="s">
        <v>17</v>
      </c>
      <c r="F343">
        <v>3</v>
      </c>
      <c r="G343">
        <v>12</v>
      </c>
      <c r="H343" t="s">
        <v>13</v>
      </c>
      <c r="I343" t="s">
        <v>27</v>
      </c>
      <c r="J343">
        <v>36</v>
      </c>
    </row>
    <row r="344" spans="1:10" x14ac:dyDescent="0.3">
      <c r="A344">
        <v>1064</v>
      </c>
      <c r="B344" t="s">
        <v>15</v>
      </c>
      <c r="C344" s="1">
        <v>45906</v>
      </c>
      <c r="D344" t="s">
        <v>11</v>
      </c>
      <c r="E344" t="s">
        <v>12</v>
      </c>
      <c r="F344">
        <v>1</v>
      </c>
      <c r="G344">
        <v>25</v>
      </c>
      <c r="H344" t="s">
        <v>21</v>
      </c>
      <c r="I344" t="s">
        <v>14</v>
      </c>
      <c r="J344">
        <v>25</v>
      </c>
    </row>
    <row r="345" spans="1:10" x14ac:dyDescent="0.3">
      <c r="A345">
        <v>1755</v>
      </c>
      <c r="B345" t="s">
        <v>15</v>
      </c>
      <c r="C345" s="1">
        <v>45921</v>
      </c>
      <c r="D345" t="s">
        <v>11</v>
      </c>
      <c r="E345" t="s">
        <v>17</v>
      </c>
      <c r="F345">
        <v>3</v>
      </c>
      <c r="G345">
        <v>12</v>
      </c>
      <c r="H345" t="s">
        <v>13</v>
      </c>
      <c r="I345" t="s">
        <v>27</v>
      </c>
      <c r="J345">
        <v>36</v>
      </c>
    </row>
    <row r="346" spans="1:10" x14ac:dyDescent="0.3">
      <c r="A346">
        <v>888</v>
      </c>
      <c r="B346" t="s">
        <v>10</v>
      </c>
      <c r="C346" s="1">
        <v>45843</v>
      </c>
      <c r="D346" t="s">
        <v>11</v>
      </c>
      <c r="E346" t="s">
        <v>17</v>
      </c>
      <c r="F346">
        <v>5</v>
      </c>
      <c r="G346">
        <v>12</v>
      </c>
      <c r="H346" t="s">
        <v>23</v>
      </c>
      <c r="I346" t="s">
        <v>25</v>
      </c>
      <c r="J346">
        <v>60</v>
      </c>
    </row>
    <row r="347" spans="1:10" x14ac:dyDescent="0.3">
      <c r="A347">
        <v>1449</v>
      </c>
      <c r="B347" t="s">
        <v>10</v>
      </c>
      <c r="C347" s="1">
        <v>45874</v>
      </c>
      <c r="D347" t="s">
        <v>11</v>
      </c>
      <c r="E347" t="s">
        <v>12</v>
      </c>
      <c r="F347">
        <v>3</v>
      </c>
      <c r="G347">
        <v>25</v>
      </c>
      <c r="H347" t="s">
        <v>23</v>
      </c>
      <c r="I347" t="s">
        <v>25</v>
      </c>
      <c r="J347">
        <v>75</v>
      </c>
    </row>
    <row r="348" spans="1:10" x14ac:dyDescent="0.3">
      <c r="A348">
        <v>715</v>
      </c>
      <c r="B348" t="s">
        <v>19</v>
      </c>
      <c r="C348" s="1">
        <v>45888</v>
      </c>
      <c r="D348" t="s">
        <v>11</v>
      </c>
      <c r="E348" t="s">
        <v>17</v>
      </c>
      <c r="F348">
        <v>5</v>
      </c>
      <c r="G348">
        <v>12</v>
      </c>
      <c r="H348" t="s">
        <v>13</v>
      </c>
      <c r="I348" t="s">
        <v>18</v>
      </c>
      <c r="J348">
        <v>60</v>
      </c>
    </row>
    <row r="349" spans="1:10" x14ac:dyDescent="0.3">
      <c r="A349">
        <v>1585</v>
      </c>
      <c r="B349" t="s">
        <v>10</v>
      </c>
      <c r="C349" s="1">
        <v>45840</v>
      </c>
      <c r="D349" t="s">
        <v>33</v>
      </c>
      <c r="E349" t="s">
        <v>17</v>
      </c>
      <c r="F349">
        <v>4</v>
      </c>
      <c r="G349">
        <v>12</v>
      </c>
      <c r="H349" t="s">
        <v>13</v>
      </c>
      <c r="I349" t="s">
        <v>27</v>
      </c>
      <c r="J349">
        <v>48</v>
      </c>
    </row>
    <row r="350" spans="1:10" x14ac:dyDescent="0.3">
      <c r="A350">
        <v>1519</v>
      </c>
      <c r="B350" t="s">
        <v>31</v>
      </c>
      <c r="C350" s="1">
        <v>45906</v>
      </c>
      <c r="D350" t="s">
        <v>16</v>
      </c>
      <c r="E350" t="s">
        <v>17</v>
      </c>
      <c r="F350">
        <v>2</v>
      </c>
      <c r="G350">
        <v>12</v>
      </c>
      <c r="H350" t="s">
        <v>13</v>
      </c>
      <c r="I350" t="s">
        <v>18</v>
      </c>
      <c r="J350">
        <v>24</v>
      </c>
    </row>
    <row r="351" spans="1:10" x14ac:dyDescent="0.3">
      <c r="A351">
        <v>1960</v>
      </c>
      <c r="B351" t="s">
        <v>32</v>
      </c>
      <c r="C351" s="1">
        <v>45879</v>
      </c>
      <c r="D351" t="s">
        <v>16</v>
      </c>
      <c r="E351" t="s">
        <v>17</v>
      </c>
      <c r="F351">
        <v>3</v>
      </c>
      <c r="G351">
        <v>12</v>
      </c>
      <c r="H351" t="s">
        <v>23</v>
      </c>
      <c r="I351" t="s">
        <v>18</v>
      </c>
      <c r="J351">
        <v>36</v>
      </c>
    </row>
    <row r="352" spans="1:10" x14ac:dyDescent="0.3">
      <c r="A352">
        <v>1962</v>
      </c>
      <c r="B352" t="s">
        <v>24</v>
      </c>
      <c r="C352" s="1">
        <v>45872</v>
      </c>
      <c r="D352" t="s">
        <v>16</v>
      </c>
      <c r="E352" t="s">
        <v>17</v>
      </c>
      <c r="F352">
        <v>4</v>
      </c>
      <c r="G352">
        <v>12</v>
      </c>
      <c r="H352" t="s">
        <v>23</v>
      </c>
      <c r="I352" t="s">
        <v>27</v>
      </c>
      <c r="J352">
        <v>48</v>
      </c>
    </row>
    <row r="353" spans="1:10" x14ac:dyDescent="0.3">
      <c r="A353">
        <v>539</v>
      </c>
      <c r="B353" t="s">
        <v>15</v>
      </c>
      <c r="C353" s="1">
        <v>45915</v>
      </c>
      <c r="D353" t="s">
        <v>16</v>
      </c>
      <c r="E353" t="s">
        <v>30</v>
      </c>
      <c r="F353">
        <v>5</v>
      </c>
      <c r="G353">
        <v>8</v>
      </c>
      <c r="H353" t="s">
        <v>21</v>
      </c>
      <c r="I353" t="s">
        <v>27</v>
      </c>
      <c r="J353">
        <v>40</v>
      </c>
    </row>
    <row r="354" spans="1:10" x14ac:dyDescent="0.3">
      <c r="A354">
        <v>1640</v>
      </c>
      <c r="B354" t="s">
        <v>26</v>
      </c>
      <c r="C354" s="1">
        <v>45892</v>
      </c>
      <c r="D354" t="s">
        <v>11</v>
      </c>
      <c r="E354" t="s">
        <v>17</v>
      </c>
      <c r="F354">
        <v>1</v>
      </c>
      <c r="G354">
        <v>12</v>
      </c>
      <c r="H354" t="s">
        <v>23</v>
      </c>
      <c r="I354" t="s">
        <v>27</v>
      </c>
      <c r="J354">
        <v>12</v>
      </c>
    </row>
    <row r="355" spans="1:10" x14ac:dyDescent="0.3">
      <c r="A355">
        <v>1377</v>
      </c>
      <c r="B355" t="s">
        <v>31</v>
      </c>
      <c r="C355" s="1">
        <v>45865</v>
      </c>
      <c r="D355" t="s">
        <v>11</v>
      </c>
      <c r="E355" t="s">
        <v>30</v>
      </c>
      <c r="F355">
        <v>5</v>
      </c>
      <c r="G355">
        <v>8</v>
      </c>
      <c r="H355" t="s">
        <v>21</v>
      </c>
      <c r="I355" t="s">
        <v>14</v>
      </c>
      <c r="J355">
        <v>40</v>
      </c>
    </row>
    <row r="356" spans="1:10" x14ac:dyDescent="0.3">
      <c r="A356">
        <v>106</v>
      </c>
      <c r="B356" t="s">
        <v>26</v>
      </c>
      <c r="C356" s="1">
        <v>45893</v>
      </c>
      <c r="D356" t="s">
        <v>11</v>
      </c>
      <c r="E356" t="s">
        <v>17</v>
      </c>
      <c r="F356">
        <v>2</v>
      </c>
      <c r="G356">
        <v>12</v>
      </c>
      <c r="H356" t="s">
        <v>23</v>
      </c>
      <c r="I356" t="s">
        <v>25</v>
      </c>
      <c r="J356">
        <v>24</v>
      </c>
    </row>
    <row r="357" spans="1:10" x14ac:dyDescent="0.3">
      <c r="A357">
        <v>1255</v>
      </c>
      <c r="B357" t="s">
        <v>15</v>
      </c>
      <c r="C357" s="1">
        <v>45844</v>
      </c>
      <c r="D357" t="s">
        <v>11</v>
      </c>
      <c r="E357" t="s">
        <v>17</v>
      </c>
      <c r="F357">
        <v>3</v>
      </c>
      <c r="G357">
        <v>12</v>
      </c>
      <c r="H357" t="s">
        <v>21</v>
      </c>
      <c r="I357" t="s">
        <v>18</v>
      </c>
      <c r="J357">
        <v>36</v>
      </c>
    </row>
    <row r="358" spans="1:10" x14ac:dyDescent="0.3">
      <c r="A358">
        <v>1070</v>
      </c>
      <c r="B358" t="s">
        <v>15</v>
      </c>
      <c r="C358" s="1">
        <v>45851</v>
      </c>
      <c r="D358" t="s">
        <v>11</v>
      </c>
      <c r="E358" t="s">
        <v>30</v>
      </c>
      <c r="F358">
        <v>1</v>
      </c>
      <c r="G358">
        <v>8</v>
      </c>
      <c r="H358" t="s">
        <v>13</v>
      </c>
      <c r="I358" t="s">
        <v>18</v>
      </c>
      <c r="J358">
        <v>8</v>
      </c>
    </row>
    <row r="359" spans="1:10" x14ac:dyDescent="0.3">
      <c r="A359">
        <v>1180</v>
      </c>
      <c r="B359" t="s">
        <v>32</v>
      </c>
      <c r="C359" s="1">
        <v>45843</v>
      </c>
      <c r="D359" t="s">
        <v>11</v>
      </c>
      <c r="E359" t="s">
        <v>30</v>
      </c>
      <c r="F359">
        <v>5</v>
      </c>
      <c r="G359">
        <v>8</v>
      </c>
      <c r="H359" t="s">
        <v>13</v>
      </c>
      <c r="I359" t="s">
        <v>27</v>
      </c>
      <c r="J359">
        <v>40</v>
      </c>
    </row>
    <row r="360" spans="1:10" x14ac:dyDescent="0.3">
      <c r="A360">
        <v>1395</v>
      </c>
      <c r="B360" t="s">
        <v>15</v>
      </c>
      <c r="C360" s="1">
        <v>45858</v>
      </c>
      <c r="D360" t="s">
        <v>11</v>
      </c>
      <c r="E360" t="s">
        <v>29</v>
      </c>
      <c r="F360">
        <v>5</v>
      </c>
      <c r="G360">
        <v>30</v>
      </c>
      <c r="H360" t="s">
        <v>21</v>
      </c>
      <c r="I360" t="s">
        <v>25</v>
      </c>
      <c r="J360">
        <v>150</v>
      </c>
    </row>
    <row r="361" spans="1:10" x14ac:dyDescent="0.3">
      <c r="A361">
        <v>1837</v>
      </c>
      <c r="B361" t="s">
        <v>10</v>
      </c>
      <c r="C361" s="1">
        <v>45920</v>
      </c>
      <c r="D361" t="s">
        <v>11</v>
      </c>
      <c r="E361" t="s">
        <v>29</v>
      </c>
      <c r="F361">
        <v>4</v>
      </c>
      <c r="G361">
        <v>30</v>
      </c>
      <c r="H361" t="s">
        <v>21</v>
      </c>
      <c r="I361" t="s">
        <v>18</v>
      </c>
      <c r="J361">
        <v>120</v>
      </c>
    </row>
    <row r="362" spans="1:10" x14ac:dyDescent="0.3">
      <c r="A362">
        <v>853</v>
      </c>
      <c r="B362" t="s">
        <v>15</v>
      </c>
      <c r="C362" s="1">
        <v>45846</v>
      </c>
      <c r="D362" t="s">
        <v>11</v>
      </c>
      <c r="E362" t="s">
        <v>17</v>
      </c>
      <c r="F362">
        <v>2</v>
      </c>
      <c r="G362">
        <v>12</v>
      </c>
      <c r="H362" t="s">
        <v>13</v>
      </c>
      <c r="I362" t="s">
        <v>25</v>
      </c>
      <c r="J362">
        <v>24</v>
      </c>
    </row>
    <row r="363" spans="1:10" x14ac:dyDescent="0.3">
      <c r="A363">
        <v>935</v>
      </c>
      <c r="B363" t="s">
        <v>19</v>
      </c>
      <c r="C363" s="1">
        <v>45905</v>
      </c>
      <c r="D363" t="s">
        <v>11</v>
      </c>
      <c r="E363" t="s">
        <v>30</v>
      </c>
      <c r="F363">
        <v>5</v>
      </c>
      <c r="G363">
        <v>8</v>
      </c>
      <c r="H363" t="s">
        <v>21</v>
      </c>
      <c r="I363" t="s">
        <v>18</v>
      </c>
      <c r="J363">
        <v>40</v>
      </c>
    </row>
    <row r="364" spans="1:10" x14ac:dyDescent="0.3">
      <c r="A364">
        <v>1100</v>
      </c>
      <c r="B364" t="s">
        <v>32</v>
      </c>
      <c r="C364" s="1">
        <v>45875</v>
      </c>
      <c r="D364" t="s">
        <v>11</v>
      </c>
      <c r="E364" t="s">
        <v>17</v>
      </c>
      <c r="F364">
        <v>1</v>
      </c>
      <c r="G364">
        <v>12</v>
      </c>
      <c r="H364" t="s">
        <v>21</v>
      </c>
      <c r="I364" t="s">
        <v>25</v>
      </c>
      <c r="J364">
        <v>12</v>
      </c>
    </row>
    <row r="365" spans="1:10" x14ac:dyDescent="0.3">
      <c r="A365">
        <v>1242</v>
      </c>
      <c r="B365" t="s">
        <v>31</v>
      </c>
      <c r="C365" s="1">
        <v>45858</v>
      </c>
      <c r="D365" t="s">
        <v>16</v>
      </c>
      <c r="E365" t="s">
        <v>17</v>
      </c>
      <c r="F365">
        <v>4</v>
      </c>
      <c r="G365">
        <v>12</v>
      </c>
      <c r="H365" t="s">
        <v>23</v>
      </c>
      <c r="I365" t="s">
        <v>14</v>
      </c>
      <c r="J365">
        <v>48</v>
      </c>
    </row>
    <row r="366" spans="1:10" x14ac:dyDescent="0.3">
      <c r="A366">
        <v>1727</v>
      </c>
      <c r="B366" t="s">
        <v>31</v>
      </c>
      <c r="C366" s="1">
        <v>45857</v>
      </c>
      <c r="D366" t="s">
        <v>20</v>
      </c>
      <c r="E366" t="s">
        <v>17</v>
      </c>
      <c r="F366">
        <v>3</v>
      </c>
      <c r="G366">
        <v>12</v>
      </c>
      <c r="H366" t="s">
        <v>21</v>
      </c>
      <c r="I366" t="s">
        <v>14</v>
      </c>
      <c r="J366">
        <v>36</v>
      </c>
    </row>
    <row r="367" spans="1:10" x14ac:dyDescent="0.3">
      <c r="A367">
        <v>576</v>
      </c>
      <c r="B367" t="s">
        <v>10</v>
      </c>
      <c r="C367" s="1">
        <v>45878</v>
      </c>
      <c r="D367" t="s">
        <v>20</v>
      </c>
      <c r="E367" t="s">
        <v>12</v>
      </c>
      <c r="F367">
        <v>5</v>
      </c>
      <c r="G367">
        <v>25</v>
      </c>
      <c r="H367" t="s">
        <v>13</v>
      </c>
      <c r="I367" t="s">
        <v>14</v>
      </c>
      <c r="J367">
        <v>125</v>
      </c>
    </row>
    <row r="368" spans="1:10" x14ac:dyDescent="0.3">
      <c r="A368">
        <v>1934</v>
      </c>
      <c r="B368" t="s">
        <v>32</v>
      </c>
      <c r="C368" s="1">
        <v>45845</v>
      </c>
      <c r="D368" t="s">
        <v>16</v>
      </c>
      <c r="E368" t="s">
        <v>17</v>
      </c>
      <c r="F368">
        <v>5</v>
      </c>
      <c r="G368">
        <v>12</v>
      </c>
      <c r="H368" t="s">
        <v>13</v>
      </c>
      <c r="I368" t="s">
        <v>14</v>
      </c>
      <c r="J368">
        <v>60</v>
      </c>
    </row>
    <row r="369" spans="1:10" x14ac:dyDescent="0.3">
      <c r="A369">
        <v>1135</v>
      </c>
      <c r="B369" t="s">
        <v>32</v>
      </c>
      <c r="C369" s="1">
        <v>45919</v>
      </c>
      <c r="D369" t="s">
        <v>20</v>
      </c>
      <c r="E369" t="s">
        <v>17</v>
      </c>
      <c r="F369">
        <v>5</v>
      </c>
      <c r="G369">
        <v>12</v>
      </c>
      <c r="H369" t="s">
        <v>23</v>
      </c>
      <c r="I369" t="s">
        <v>25</v>
      </c>
      <c r="J369">
        <v>60</v>
      </c>
    </row>
    <row r="370" spans="1:10" x14ac:dyDescent="0.3">
      <c r="A370">
        <v>248</v>
      </c>
      <c r="B370" t="s">
        <v>24</v>
      </c>
      <c r="C370" s="1">
        <v>45907</v>
      </c>
      <c r="D370" t="s">
        <v>11</v>
      </c>
      <c r="E370" t="s">
        <v>22</v>
      </c>
      <c r="F370">
        <v>3</v>
      </c>
      <c r="G370">
        <v>20</v>
      </c>
      <c r="H370" t="s">
        <v>13</v>
      </c>
      <c r="I370" t="s">
        <v>27</v>
      </c>
      <c r="J370">
        <v>60</v>
      </c>
    </row>
    <row r="371" spans="1:10" x14ac:dyDescent="0.3">
      <c r="A371">
        <v>1197</v>
      </c>
      <c r="B371" t="s">
        <v>24</v>
      </c>
      <c r="C371" s="1">
        <v>45850</v>
      </c>
      <c r="D371" t="s">
        <v>16</v>
      </c>
      <c r="E371" t="s">
        <v>29</v>
      </c>
      <c r="F371">
        <v>1</v>
      </c>
      <c r="G371">
        <v>30</v>
      </c>
      <c r="H371" t="s">
        <v>21</v>
      </c>
      <c r="I371" t="s">
        <v>18</v>
      </c>
      <c r="J371">
        <v>30</v>
      </c>
    </row>
    <row r="372" spans="1:10" x14ac:dyDescent="0.3">
      <c r="A372">
        <v>587</v>
      </c>
      <c r="B372" t="s">
        <v>24</v>
      </c>
      <c r="C372" s="1">
        <v>45864</v>
      </c>
      <c r="D372" t="s">
        <v>20</v>
      </c>
      <c r="E372" t="s">
        <v>17</v>
      </c>
      <c r="F372">
        <v>4</v>
      </c>
      <c r="G372">
        <v>12</v>
      </c>
      <c r="H372" t="s">
        <v>13</v>
      </c>
      <c r="I372" t="s">
        <v>18</v>
      </c>
      <c r="J372">
        <v>48</v>
      </c>
    </row>
    <row r="373" spans="1:10" x14ac:dyDescent="0.3">
      <c r="A373">
        <v>577</v>
      </c>
      <c r="B373" t="s">
        <v>24</v>
      </c>
      <c r="C373" s="1">
        <v>45886</v>
      </c>
      <c r="D373" t="s">
        <v>33</v>
      </c>
      <c r="E373" t="s">
        <v>29</v>
      </c>
      <c r="F373">
        <v>1</v>
      </c>
      <c r="G373">
        <v>30</v>
      </c>
      <c r="H373" t="s">
        <v>21</v>
      </c>
      <c r="I373" t="s">
        <v>27</v>
      </c>
      <c r="J373">
        <v>30</v>
      </c>
    </row>
    <row r="374" spans="1:10" x14ac:dyDescent="0.3">
      <c r="A374">
        <v>219</v>
      </c>
      <c r="B374" t="s">
        <v>24</v>
      </c>
      <c r="C374" s="1">
        <v>45905</v>
      </c>
      <c r="D374" t="s">
        <v>16</v>
      </c>
      <c r="E374" t="s">
        <v>22</v>
      </c>
      <c r="F374">
        <v>4</v>
      </c>
      <c r="G374">
        <v>20</v>
      </c>
      <c r="H374" t="s">
        <v>13</v>
      </c>
      <c r="I374" t="s">
        <v>25</v>
      </c>
      <c r="J374">
        <v>80</v>
      </c>
    </row>
    <row r="375" spans="1:10" x14ac:dyDescent="0.3">
      <c r="A375">
        <v>1639</v>
      </c>
      <c r="B375" t="s">
        <v>24</v>
      </c>
      <c r="C375" s="1">
        <v>45849</v>
      </c>
      <c r="D375" t="s">
        <v>20</v>
      </c>
      <c r="E375" t="s">
        <v>17</v>
      </c>
      <c r="F375">
        <v>1</v>
      </c>
      <c r="G375">
        <v>12</v>
      </c>
      <c r="H375" t="s">
        <v>21</v>
      </c>
      <c r="I375" t="s">
        <v>18</v>
      </c>
      <c r="J375">
        <v>12</v>
      </c>
    </row>
    <row r="376" spans="1:10" x14ac:dyDescent="0.3">
      <c r="A376">
        <v>982</v>
      </c>
      <c r="B376" t="s">
        <v>19</v>
      </c>
      <c r="C376" s="1">
        <v>45881</v>
      </c>
      <c r="D376" t="s">
        <v>16</v>
      </c>
      <c r="E376" t="s">
        <v>17</v>
      </c>
      <c r="F376">
        <v>1</v>
      </c>
      <c r="G376">
        <v>12</v>
      </c>
      <c r="H376" t="s">
        <v>21</v>
      </c>
      <c r="I376" t="s">
        <v>25</v>
      </c>
      <c r="J376">
        <v>12</v>
      </c>
    </row>
    <row r="377" spans="1:10" x14ac:dyDescent="0.3">
      <c r="A377">
        <v>1432</v>
      </c>
      <c r="B377" t="s">
        <v>15</v>
      </c>
      <c r="C377" s="1">
        <v>45899</v>
      </c>
      <c r="D377" t="s">
        <v>20</v>
      </c>
      <c r="E377" t="s">
        <v>29</v>
      </c>
      <c r="F377">
        <v>5</v>
      </c>
      <c r="G377">
        <v>30</v>
      </c>
      <c r="H377" t="s">
        <v>23</v>
      </c>
      <c r="I377" t="s">
        <v>14</v>
      </c>
      <c r="J377">
        <v>150</v>
      </c>
    </row>
    <row r="378" spans="1:10" x14ac:dyDescent="0.3">
      <c r="A378">
        <v>523</v>
      </c>
      <c r="B378" t="s">
        <v>10</v>
      </c>
      <c r="C378" s="1">
        <v>45914</v>
      </c>
      <c r="D378" t="s">
        <v>16</v>
      </c>
      <c r="E378" t="s">
        <v>17</v>
      </c>
      <c r="F378">
        <v>3</v>
      </c>
      <c r="G378">
        <v>12</v>
      </c>
      <c r="H378" t="s">
        <v>23</v>
      </c>
      <c r="I378" t="s">
        <v>25</v>
      </c>
      <c r="J378">
        <v>36</v>
      </c>
    </row>
    <row r="379" spans="1:10" x14ac:dyDescent="0.3">
      <c r="A379">
        <v>1764</v>
      </c>
      <c r="B379" t="s">
        <v>10</v>
      </c>
      <c r="C379" s="1">
        <v>45886</v>
      </c>
      <c r="D379" t="s">
        <v>16</v>
      </c>
      <c r="E379" t="s">
        <v>17</v>
      </c>
      <c r="F379">
        <v>4</v>
      </c>
      <c r="G379">
        <v>12</v>
      </c>
      <c r="H379" t="s">
        <v>13</v>
      </c>
      <c r="I379" t="s">
        <v>18</v>
      </c>
      <c r="J379">
        <v>48</v>
      </c>
    </row>
    <row r="380" spans="1:10" x14ac:dyDescent="0.3">
      <c r="A380">
        <v>51</v>
      </c>
      <c r="B380" t="s">
        <v>10</v>
      </c>
      <c r="C380" s="1">
        <v>45922</v>
      </c>
      <c r="D380" t="s">
        <v>20</v>
      </c>
      <c r="E380" t="s">
        <v>17</v>
      </c>
      <c r="F380">
        <v>1</v>
      </c>
      <c r="G380">
        <v>12</v>
      </c>
      <c r="H380" t="s">
        <v>13</v>
      </c>
      <c r="I380" t="s">
        <v>18</v>
      </c>
      <c r="J380">
        <v>12</v>
      </c>
    </row>
    <row r="381" spans="1:10" x14ac:dyDescent="0.3">
      <c r="A381">
        <v>1595</v>
      </c>
      <c r="B381" t="s">
        <v>10</v>
      </c>
      <c r="C381" s="1">
        <v>45856</v>
      </c>
      <c r="D381" t="s">
        <v>20</v>
      </c>
      <c r="E381" t="s">
        <v>17</v>
      </c>
      <c r="F381">
        <v>4</v>
      </c>
      <c r="G381">
        <v>12</v>
      </c>
      <c r="H381" t="s">
        <v>13</v>
      </c>
      <c r="I381" t="s">
        <v>25</v>
      </c>
      <c r="J381">
        <v>48</v>
      </c>
    </row>
    <row r="382" spans="1:10" x14ac:dyDescent="0.3">
      <c r="A382">
        <v>110</v>
      </c>
      <c r="B382" t="s">
        <v>10</v>
      </c>
      <c r="C382" s="1">
        <v>45918</v>
      </c>
      <c r="D382" t="s">
        <v>20</v>
      </c>
      <c r="E382" t="s">
        <v>29</v>
      </c>
      <c r="F382">
        <v>5</v>
      </c>
      <c r="G382">
        <v>30</v>
      </c>
      <c r="H382" t="s">
        <v>23</v>
      </c>
      <c r="I382" t="s">
        <v>25</v>
      </c>
      <c r="J382">
        <v>150</v>
      </c>
    </row>
    <row r="383" spans="1:10" x14ac:dyDescent="0.3">
      <c r="A383">
        <v>350</v>
      </c>
      <c r="B383" t="s">
        <v>10</v>
      </c>
      <c r="C383" s="1">
        <v>45851</v>
      </c>
      <c r="D383" t="s">
        <v>16</v>
      </c>
      <c r="E383" t="s">
        <v>17</v>
      </c>
      <c r="F383">
        <v>4</v>
      </c>
      <c r="G383">
        <v>12</v>
      </c>
      <c r="H383" t="s">
        <v>21</v>
      </c>
      <c r="I383" t="s">
        <v>25</v>
      </c>
      <c r="J383">
        <v>48</v>
      </c>
    </row>
    <row r="384" spans="1:10" x14ac:dyDescent="0.3">
      <c r="A384">
        <v>1695</v>
      </c>
      <c r="B384" t="s">
        <v>15</v>
      </c>
      <c r="C384" s="1">
        <v>45893</v>
      </c>
      <c r="D384" t="s">
        <v>16</v>
      </c>
      <c r="E384" t="s">
        <v>17</v>
      </c>
      <c r="F384">
        <v>2</v>
      </c>
      <c r="G384">
        <v>12</v>
      </c>
      <c r="H384" t="s">
        <v>13</v>
      </c>
      <c r="I384" t="s">
        <v>25</v>
      </c>
      <c r="J384">
        <v>24</v>
      </c>
    </row>
    <row r="385" spans="1:10" x14ac:dyDescent="0.3">
      <c r="A385">
        <v>702</v>
      </c>
      <c r="B385" t="s">
        <v>19</v>
      </c>
      <c r="C385" s="1">
        <v>45851</v>
      </c>
      <c r="D385" t="s">
        <v>11</v>
      </c>
      <c r="E385" t="s">
        <v>29</v>
      </c>
      <c r="F385">
        <v>1</v>
      </c>
      <c r="G385">
        <v>30</v>
      </c>
      <c r="H385" t="s">
        <v>23</v>
      </c>
      <c r="I385" t="s">
        <v>27</v>
      </c>
      <c r="J385">
        <v>30</v>
      </c>
    </row>
    <row r="386" spans="1:10" x14ac:dyDescent="0.3">
      <c r="A386">
        <v>866</v>
      </c>
      <c r="B386" t="s">
        <v>24</v>
      </c>
      <c r="C386" s="1">
        <v>45866</v>
      </c>
      <c r="D386" t="s">
        <v>11</v>
      </c>
      <c r="E386" t="s">
        <v>12</v>
      </c>
      <c r="F386">
        <v>5</v>
      </c>
      <c r="G386">
        <v>25</v>
      </c>
      <c r="H386" t="s">
        <v>13</v>
      </c>
      <c r="I386" t="s">
        <v>25</v>
      </c>
      <c r="J386">
        <v>125</v>
      </c>
    </row>
    <row r="387" spans="1:10" x14ac:dyDescent="0.3">
      <c r="A387">
        <v>835</v>
      </c>
      <c r="B387" t="s">
        <v>24</v>
      </c>
      <c r="C387" s="1">
        <v>45888</v>
      </c>
      <c r="D387" t="s">
        <v>11</v>
      </c>
      <c r="E387" t="s">
        <v>17</v>
      </c>
      <c r="F387">
        <v>3</v>
      </c>
      <c r="G387">
        <v>12</v>
      </c>
      <c r="H387" t="s">
        <v>13</v>
      </c>
      <c r="I387" t="s">
        <v>27</v>
      </c>
      <c r="J387">
        <v>36</v>
      </c>
    </row>
    <row r="388" spans="1:10" x14ac:dyDescent="0.3">
      <c r="A388">
        <v>1417</v>
      </c>
      <c r="B388" t="s">
        <v>24</v>
      </c>
      <c r="C388" s="1">
        <v>45898</v>
      </c>
      <c r="D388" t="s">
        <v>11</v>
      </c>
      <c r="E388" t="s">
        <v>17</v>
      </c>
      <c r="F388">
        <v>2</v>
      </c>
      <c r="G388">
        <v>12</v>
      </c>
      <c r="H388" t="s">
        <v>23</v>
      </c>
      <c r="I388" t="s">
        <v>18</v>
      </c>
      <c r="J388">
        <v>24</v>
      </c>
    </row>
    <row r="389" spans="1:10" x14ac:dyDescent="0.3">
      <c r="A389">
        <v>83</v>
      </c>
      <c r="B389" t="s">
        <v>15</v>
      </c>
      <c r="C389" s="1">
        <v>45892</v>
      </c>
      <c r="D389" t="s">
        <v>11</v>
      </c>
      <c r="E389" t="s">
        <v>17</v>
      </c>
      <c r="F389">
        <v>4</v>
      </c>
      <c r="G389">
        <v>12</v>
      </c>
      <c r="H389" t="s">
        <v>13</v>
      </c>
      <c r="I389" t="s">
        <v>18</v>
      </c>
      <c r="J389">
        <v>48</v>
      </c>
    </row>
    <row r="390" spans="1:10" x14ac:dyDescent="0.3">
      <c r="A390">
        <v>1770</v>
      </c>
      <c r="B390" t="s">
        <v>15</v>
      </c>
      <c r="C390" s="1">
        <v>45866</v>
      </c>
      <c r="D390" t="s">
        <v>11</v>
      </c>
      <c r="E390" t="s">
        <v>17</v>
      </c>
      <c r="F390">
        <v>3</v>
      </c>
      <c r="G390">
        <v>12</v>
      </c>
      <c r="H390" t="s">
        <v>13</v>
      </c>
      <c r="I390" t="s">
        <v>25</v>
      </c>
      <c r="J390">
        <v>36</v>
      </c>
    </row>
    <row r="391" spans="1:10" x14ac:dyDescent="0.3">
      <c r="A391">
        <v>1706</v>
      </c>
      <c r="B391" t="s">
        <v>19</v>
      </c>
      <c r="C391" s="1">
        <v>45907</v>
      </c>
      <c r="D391" t="s">
        <v>11</v>
      </c>
      <c r="E391" t="s">
        <v>22</v>
      </c>
      <c r="F391">
        <v>5</v>
      </c>
      <c r="G391">
        <v>20</v>
      </c>
      <c r="H391" t="s">
        <v>13</v>
      </c>
      <c r="I391" t="s">
        <v>18</v>
      </c>
      <c r="J391">
        <v>100</v>
      </c>
    </row>
    <row r="392" spans="1:10" x14ac:dyDescent="0.3">
      <c r="A392">
        <v>206</v>
      </c>
      <c r="B392" t="s">
        <v>15</v>
      </c>
      <c r="C392" s="1">
        <v>45879</v>
      </c>
      <c r="D392" t="s">
        <v>11</v>
      </c>
      <c r="E392" t="s">
        <v>29</v>
      </c>
      <c r="F392">
        <v>5</v>
      </c>
      <c r="G392">
        <v>30</v>
      </c>
      <c r="H392" t="s">
        <v>13</v>
      </c>
      <c r="I392" t="s">
        <v>27</v>
      </c>
      <c r="J392">
        <v>150</v>
      </c>
    </row>
    <row r="393" spans="1:10" x14ac:dyDescent="0.3">
      <c r="A393">
        <v>1230</v>
      </c>
      <c r="B393" t="s">
        <v>32</v>
      </c>
      <c r="C393" s="1">
        <v>45864</v>
      </c>
      <c r="D393" t="s">
        <v>11</v>
      </c>
      <c r="E393" t="s">
        <v>17</v>
      </c>
      <c r="F393">
        <v>3</v>
      </c>
      <c r="G393">
        <v>12</v>
      </c>
      <c r="H393" t="s">
        <v>23</v>
      </c>
      <c r="I393" t="s">
        <v>25</v>
      </c>
      <c r="J393">
        <v>36</v>
      </c>
    </row>
    <row r="394" spans="1:10" x14ac:dyDescent="0.3">
      <c r="A394">
        <v>1527</v>
      </c>
      <c r="B394" t="s">
        <v>28</v>
      </c>
      <c r="C394" s="1">
        <v>45873</v>
      </c>
      <c r="D394" t="s">
        <v>11</v>
      </c>
      <c r="E394" t="s">
        <v>29</v>
      </c>
      <c r="F394">
        <v>2</v>
      </c>
      <c r="G394">
        <v>30</v>
      </c>
      <c r="H394" t="s">
        <v>21</v>
      </c>
      <c r="I394" t="s">
        <v>14</v>
      </c>
      <c r="J394">
        <v>60</v>
      </c>
    </row>
    <row r="395" spans="1:10" x14ac:dyDescent="0.3">
      <c r="A395">
        <v>161</v>
      </c>
      <c r="B395" t="s">
        <v>28</v>
      </c>
      <c r="C395" s="1">
        <v>45889</v>
      </c>
      <c r="D395" t="s">
        <v>11</v>
      </c>
      <c r="E395" t="s">
        <v>30</v>
      </c>
      <c r="F395">
        <v>4</v>
      </c>
      <c r="G395">
        <v>8</v>
      </c>
      <c r="H395" t="s">
        <v>21</v>
      </c>
      <c r="I395" t="s">
        <v>14</v>
      </c>
      <c r="J395">
        <v>32</v>
      </c>
    </row>
    <row r="396" spans="1:10" x14ac:dyDescent="0.3">
      <c r="A396">
        <v>1161</v>
      </c>
      <c r="B396" t="s">
        <v>19</v>
      </c>
      <c r="C396" s="1">
        <v>45872</v>
      </c>
      <c r="D396" t="s">
        <v>11</v>
      </c>
      <c r="E396" t="s">
        <v>17</v>
      </c>
      <c r="F396">
        <v>2</v>
      </c>
      <c r="G396">
        <v>12</v>
      </c>
      <c r="H396" t="s">
        <v>13</v>
      </c>
      <c r="I396" t="s">
        <v>18</v>
      </c>
      <c r="J396">
        <v>24</v>
      </c>
    </row>
    <row r="397" spans="1:10" x14ac:dyDescent="0.3">
      <c r="A397">
        <v>1097</v>
      </c>
      <c r="B397" t="s">
        <v>26</v>
      </c>
      <c r="C397" s="1">
        <v>45922</v>
      </c>
      <c r="D397" t="s">
        <v>11</v>
      </c>
      <c r="E397" t="s">
        <v>29</v>
      </c>
      <c r="F397">
        <v>1</v>
      </c>
      <c r="G397">
        <v>30</v>
      </c>
      <c r="H397" t="s">
        <v>23</v>
      </c>
      <c r="I397" t="s">
        <v>25</v>
      </c>
      <c r="J397">
        <v>30</v>
      </c>
    </row>
    <row r="398" spans="1:10" x14ac:dyDescent="0.3">
      <c r="A398">
        <v>810</v>
      </c>
      <c r="B398" t="s">
        <v>15</v>
      </c>
      <c r="C398" s="1">
        <v>45857</v>
      </c>
      <c r="D398" t="s">
        <v>11</v>
      </c>
      <c r="E398" t="s">
        <v>30</v>
      </c>
      <c r="F398">
        <v>1</v>
      </c>
      <c r="G398">
        <v>8</v>
      </c>
      <c r="H398" t="s">
        <v>13</v>
      </c>
      <c r="I398" t="s">
        <v>18</v>
      </c>
      <c r="J398">
        <v>8</v>
      </c>
    </row>
    <row r="399" spans="1:10" x14ac:dyDescent="0.3">
      <c r="A399">
        <v>1901</v>
      </c>
      <c r="B399" t="s">
        <v>31</v>
      </c>
      <c r="C399" s="1">
        <v>45902</v>
      </c>
      <c r="D399" t="s">
        <v>11</v>
      </c>
      <c r="E399" t="s">
        <v>17</v>
      </c>
      <c r="F399">
        <v>5</v>
      </c>
      <c r="G399">
        <v>12</v>
      </c>
      <c r="H399" t="s">
        <v>21</v>
      </c>
      <c r="I399" t="s">
        <v>18</v>
      </c>
      <c r="J399">
        <v>60</v>
      </c>
    </row>
    <row r="400" spans="1:10" x14ac:dyDescent="0.3">
      <c r="A400">
        <v>17</v>
      </c>
      <c r="B400" t="s">
        <v>31</v>
      </c>
      <c r="C400" s="1">
        <v>45850</v>
      </c>
      <c r="D400" t="s">
        <v>11</v>
      </c>
      <c r="E400" t="s">
        <v>17</v>
      </c>
      <c r="F400">
        <v>5</v>
      </c>
      <c r="G400">
        <v>12</v>
      </c>
      <c r="H400" t="s">
        <v>13</v>
      </c>
      <c r="I400" t="s">
        <v>14</v>
      </c>
      <c r="J400">
        <v>60</v>
      </c>
    </row>
    <row r="401" spans="1:10" x14ac:dyDescent="0.3">
      <c r="A401">
        <v>636</v>
      </c>
      <c r="B401" t="s">
        <v>26</v>
      </c>
      <c r="C401" s="1">
        <v>45887</v>
      </c>
      <c r="D401" t="s">
        <v>20</v>
      </c>
      <c r="E401" t="s">
        <v>30</v>
      </c>
      <c r="F401">
        <v>1</v>
      </c>
      <c r="G401">
        <v>8</v>
      </c>
      <c r="H401" t="s">
        <v>23</v>
      </c>
      <c r="I401" t="s">
        <v>14</v>
      </c>
      <c r="J401">
        <v>8</v>
      </c>
    </row>
    <row r="402" spans="1:10" x14ac:dyDescent="0.3">
      <c r="A402">
        <v>1356</v>
      </c>
      <c r="B402" t="s">
        <v>31</v>
      </c>
      <c r="C402" s="1">
        <v>45912</v>
      </c>
      <c r="D402" t="s">
        <v>11</v>
      </c>
      <c r="E402" t="s">
        <v>17</v>
      </c>
      <c r="F402">
        <v>2</v>
      </c>
      <c r="G402">
        <v>12</v>
      </c>
      <c r="H402" t="s">
        <v>23</v>
      </c>
      <c r="I402" t="s">
        <v>14</v>
      </c>
      <c r="J402">
        <v>24</v>
      </c>
    </row>
    <row r="403" spans="1:10" x14ac:dyDescent="0.3">
      <c r="A403">
        <v>1185</v>
      </c>
      <c r="B403" t="s">
        <v>19</v>
      </c>
      <c r="C403" s="1">
        <v>45873</v>
      </c>
      <c r="D403" t="s">
        <v>16</v>
      </c>
      <c r="E403" t="s">
        <v>12</v>
      </c>
      <c r="F403">
        <v>1</v>
      </c>
      <c r="G403">
        <v>25</v>
      </c>
      <c r="H403" t="s">
        <v>23</v>
      </c>
      <c r="I403" t="s">
        <v>14</v>
      </c>
      <c r="J403">
        <v>25</v>
      </c>
    </row>
    <row r="404" spans="1:10" x14ac:dyDescent="0.3">
      <c r="A404">
        <v>1582</v>
      </c>
      <c r="B404" t="s">
        <v>26</v>
      </c>
      <c r="C404" s="1">
        <v>45919</v>
      </c>
      <c r="D404" t="s">
        <v>33</v>
      </c>
      <c r="E404" t="s">
        <v>22</v>
      </c>
      <c r="F404">
        <v>3</v>
      </c>
      <c r="G404">
        <v>20</v>
      </c>
      <c r="H404" t="s">
        <v>23</v>
      </c>
      <c r="I404" t="s">
        <v>25</v>
      </c>
      <c r="J404">
        <v>60</v>
      </c>
    </row>
    <row r="405" spans="1:10" x14ac:dyDescent="0.3">
      <c r="A405">
        <v>369</v>
      </c>
      <c r="B405" t="s">
        <v>32</v>
      </c>
      <c r="C405" s="1">
        <v>45882</v>
      </c>
      <c r="D405" t="s">
        <v>33</v>
      </c>
      <c r="E405" t="s">
        <v>17</v>
      </c>
      <c r="F405">
        <v>3</v>
      </c>
      <c r="G405">
        <v>12</v>
      </c>
      <c r="H405" t="s">
        <v>13</v>
      </c>
      <c r="I405" t="s">
        <v>25</v>
      </c>
      <c r="J405">
        <v>36</v>
      </c>
    </row>
    <row r="406" spans="1:10" x14ac:dyDescent="0.3">
      <c r="A406">
        <v>1773</v>
      </c>
      <c r="B406" t="s">
        <v>24</v>
      </c>
      <c r="C406" s="1">
        <v>45840</v>
      </c>
      <c r="D406" t="s">
        <v>16</v>
      </c>
      <c r="E406" t="s">
        <v>17</v>
      </c>
      <c r="F406">
        <v>4</v>
      </c>
      <c r="G406">
        <v>12</v>
      </c>
      <c r="H406" t="s">
        <v>23</v>
      </c>
      <c r="I406" t="s">
        <v>14</v>
      </c>
      <c r="J406">
        <v>48</v>
      </c>
    </row>
    <row r="407" spans="1:10" x14ac:dyDescent="0.3">
      <c r="A407">
        <v>79</v>
      </c>
      <c r="B407" t="s">
        <v>28</v>
      </c>
      <c r="C407" s="1">
        <v>45857</v>
      </c>
      <c r="D407" t="s">
        <v>11</v>
      </c>
      <c r="E407" t="s">
        <v>29</v>
      </c>
      <c r="F407">
        <v>5</v>
      </c>
      <c r="G407">
        <v>30</v>
      </c>
      <c r="H407" t="s">
        <v>23</v>
      </c>
      <c r="I407" t="s">
        <v>14</v>
      </c>
      <c r="J407">
        <v>150</v>
      </c>
    </row>
    <row r="408" spans="1:10" x14ac:dyDescent="0.3">
      <c r="A408">
        <v>667</v>
      </c>
      <c r="B408" t="s">
        <v>10</v>
      </c>
      <c r="C408" s="1">
        <v>45898</v>
      </c>
      <c r="D408" t="s">
        <v>16</v>
      </c>
      <c r="E408" t="s">
        <v>17</v>
      </c>
      <c r="F408">
        <v>1</v>
      </c>
      <c r="G408">
        <v>12</v>
      </c>
      <c r="H408" t="s">
        <v>21</v>
      </c>
      <c r="I408" t="s">
        <v>14</v>
      </c>
      <c r="J408">
        <v>12</v>
      </c>
    </row>
    <row r="409" spans="1:10" x14ac:dyDescent="0.3">
      <c r="A409">
        <v>515</v>
      </c>
      <c r="B409" t="s">
        <v>26</v>
      </c>
      <c r="C409" s="1">
        <v>45885</v>
      </c>
      <c r="D409" t="s">
        <v>33</v>
      </c>
      <c r="E409" t="s">
        <v>12</v>
      </c>
      <c r="F409">
        <v>5</v>
      </c>
      <c r="G409">
        <v>25</v>
      </c>
      <c r="H409" t="s">
        <v>21</v>
      </c>
      <c r="I409" t="s">
        <v>14</v>
      </c>
      <c r="J409">
        <v>125</v>
      </c>
    </row>
    <row r="410" spans="1:10" x14ac:dyDescent="0.3">
      <c r="A410">
        <v>397</v>
      </c>
      <c r="B410" t="s">
        <v>19</v>
      </c>
      <c r="C410" s="1">
        <v>45864</v>
      </c>
      <c r="D410" t="s">
        <v>16</v>
      </c>
      <c r="E410" t="s">
        <v>17</v>
      </c>
      <c r="F410">
        <v>5</v>
      </c>
      <c r="G410">
        <v>12</v>
      </c>
      <c r="H410" t="s">
        <v>23</v>
      </c>
      <c r="I410" t="s">
        <v>18</v>
      </c>
      <c r="J410">
        <v>60</v>
      </c>
    </row>
    <row r="411" spans="1:10" x14ac:dyDescent="0.3">
      <c r="A411">
        <v>168</v>
      </c>
      <c r="B411" t="s">
        <v>28</v>
      </c>
      <c r="C411" s="1">
        <v>45885</v>
      </c>
      <c r="D411" t="s">
        <v>11</v>
      </c>
      <c r="E411" t="s">
        <v>17</v>
      </c>
      <c r="F411">
        <v>3</v>
      </c>
      <c r="G411">
        <v>12</v>
      </c>
      <c r="H411" t="s">
        <v>13</v>
      </c>
      <c r="I411" t="s">
        <v>27</v>
      </c>
      <c r="J411">
        <v>36</v>
      </c>
    </row>
    <row r="412" spans="1:10" x14ac:dyDescent="0.3">
      <c r="A412">
        <v>1200</v>
      </c>
      <c r="B412" t="s">
        <v>15</v>
      </c>
      <c r="C412" s="1">
        <v>45862</v>
      </c>
      <c r="D412" t="s">
        <v>16</v>
      </c>
      <c r="E412" t="s">
        <v>17</v>
      </c>
      <c r="F412">
        <v>3</v>
      </c>
      <c r="G412">
        <v>12</v>
      </c>
      <c r="H412" t="s">
        <v>23</v>
      </c>
      <c r="I412" t="s">
        <v>18</v>
      </c>
      <c r="J412">
        <v>36</v>
      </c>
    </row>
    <row r="413" spans="1:10" x14ac:dyDescent="0.3">
      <c r="A413">
        <v>871</v>
      </c>
      <c r="B413" t="s">
        <v>15</v>
      </c>
      <c r="C413" s="1">
        <v>45911</v>
      </c>
      <c r="D413" t="s">
        <v>16</v>
      </c>
      <c r="E413" t="s">
        <v>22</v>
      </c>
      <c r="F413">
        <v>5</v>
      </c>
      <c r="G413">
        <v>20</v>
      </c>
      <c r="H413" t="s">
        <v>23</v>
      </c>
      <c r="I413" t="s">
        <v>27</v>
      </c>
      <c r="J413">
        <v>100</v>
      </c>
    </row>
    <row r="414" spans="1:10" x14ac:dyDescent="0.3">
      <c r="A414">
        <v>1102</v>
      </c>
      <c r="B414" t="s">
        <v>26</v>
      </c>
      <c r="C414" s="1">
        <v>45882</v>
      </c>
      <c r="D414" t="s">
        <v>16</v>
      </c>
      <c r="E414" t="s">
        <v>30</v>
      </c>
      <c r="F414">
        <v>2</v>
      </c>
      <c r="G414">
        <v>8</v>
      </c>
      <c r="H414" t="s">
        <v>23</v>
      </c>
      <c r="I414" t="s">
        <v>27</v>
      </c>
      <c r="J414">
        <v>16</v>
      </c>
    </row>
    <row r="415" spans="1:10" x14ac:dyDescent="0.3">
      <c r="A415">
        <v>1820</v>
      </c>
      <c r="B415" t="s">
        <v>32</v>
      </c>
      <c r="C415" s="1">
        <v>45878</v>
      </c>
      <c r="D415" t="s">
        <v>16</v>
      </c>
      <c r="E415" t="s">
        <v>17</v>
      </c>
      <c r="F415">
        <v>4</v>
      </c>
      <c r="G415">
        <v>12</v>
      </c>
      <c r="H415" t="s">
        <v>21</v>
      </c>
      <c r="I415" t="s">
        <v>14</v>
      </c>
      <c r="J415">
        <v>48</v>
      </c>
    </row>
    <row r="416" spans="1:10" x14ac:dyDescent="0.3">
      <c r="A416">
        <v>1148</v>
      </c>
      <c r="B416" t="s">
        <v>26</v>
      </c>
      <c r="C416" s="1">
        <v>45921</v>
      </c>
      <c r="D416" t="s">
        <v>16</v>
      </c>
      <c r="E416" t="s">
        <v>30</v>
      </c>
      <c r="F416">
        <v>5</v>
      </c>
      <c r="G416">
        <v>8</v>
      </c>
      <c r="H416" t="s">
        <v>13</v>
      </c>
      <c r="I416" t="s">
        <v>25</v>
      </c>
      <c r="J416">
        <v>40</v>
      </c>
    </row>
    <row r="417" spans="1:10" x14ac:dyDescent="0.3">
      <c r="A417">
        <v>1158</v>
      </c>
      <c r="B417" t="s">
        <v>24</v>
      </c>
      <c r="C417" s="1">
        <v>45913</v>
      </c>
      <c r="D417" t="s">
        <v>16</v>
      </c>
      <c r="E417" t="s">
        <v>17</v>
      </c>
      <c r="F417">
        <v>2</v>
      </c>
      <c r="G417">
        <v>12</v>
      </c>
      <c r="H417" t="s">
        <v>13</v>
      </c>
      <c r="I417" t="s">
        <v>27</v>
      </c>
      <c r="J417">
        <v>24</v>
      </c>
    </row>
    <row r="418" spans="1:10" x14ac:dyDescent="0.3">
      <c r="A418">
        <v>1547</v>
      </c>
      <c r="B418" t="s">
        <v>19</v>
      </c>
      <c r="C418" s="1">
        <v>45871</v>
      </c>
      <c r="D418" t="s">
        <v>16</v>
      </c>
      <c r="E418" t="s">
        <v>17</v>
      </c>
      <c r="F418">
        <v>2</v>
      </c>
      <c r="G418">
        <v>12</v>
      </c>
      <c r="H418" t="s">
        <v>21</v>
      </c>
      <c r="I418" t="s">
        <v>14</v>
      </c>
      <c r="J418">
        <v>24</v>
      </c>
    </row>
    <row r="419" spans="1:10" x14ac:dyDescent="0.3">
      <c r="A419">
        <v>1325</v>
      </c>
      <c r="B419" t="s">
        <v>15</v>
      </c>
      <c r="C419" s="1">
        <v>45900</v>
      </c>
      <c r="D419" t="s">
        <v>16</v>
      </c>
      <c r="E419" t="s">
        <v>30</v>
      </c>
      <c r="F419">
        <v>2</v>
      </c>
      <c r="G419">
        <v>8</v>
      </c>
      <c r="H419" t="s">
        <v>13</v>
      </c>
      <c r="I419" t="s">
        <v>14</v>
      </c>
      <c r="J419">
        <v>16</v>
      </c>
    </row>
    <row r="420" spans="1:10" x14ac:dyDescent="0.3">
      <c r="A420">
        <v>876</v>
      </c>
      <c r="B420" t="s">
        <v>32</v>
      </c>
      <c r="C420" s="1">
        <v>45908</v>
      </c>
      <c r="D420" t="s">
        <v>16</v>
      </c>
      <c r="E420" t="s">
        <v>17</v>
      </c>
      <c r="F420">
        <v>5</v>
      </c>
      <c r="G420">
        <v>12</v>
      </c>
      <c r="H420" t="s">
        <v>21</v>
      </c>
      <c r="I420" t="s">
        <v>25</v>
      </c>
      <c r="J420">
        <v>60</v>
      </c>
    </row>
    <row r="421" spans="1:10" x14ac:dyDescent="0.3">
      <c r="A421">
        <v>64</v>
      </c>
      <c r="B421" t="s">
        <v>24</v>
      </c>
      <c r="C421" s="1">
        <v>45919</v>
      </c>
      <c r="D421" t="s">
        <v>16</v>
      </c>
      <c r="E421" t="s">
        <v>17</v>
      </c>
      <c r="F421">
        <v>5</v>
      </c>
      <c r="G421">
        <v>12</v>
      </c>
      <c r="H421" t="s">
        <v>23</v>
      </c>
      <c r="I421" t="s">
        <v>14</v>
      </c>
      <c r="J421">
        <v>60</v>
      </c>
    </row>
    <row r="422" spans="1:10" x14ac:dyDescent="0.3">
      <c r="A422">
        <v>1077</v>
      </c>
      <c r="B422" t="s">
        <v>10</v>
      </c>
      <c r="C422" s="1">
        <v>45843</v>
      </c>
      <c r="D422" t="s">
        <v>16</v>
      </c>
      <c r="E422" t="s">
        <v>29</v>
      </c>
      <c r="F422">
        <v>5</v>
      </c>
      <c r="G422">
        <v>30</v>
      </c>
      <c r="H422" t="s">
        <v>21</v>
      </c>
      <c r="I422" t="s">
        <v>14</v>
      </c>
      <c r="J422">
        <v>150</v>
      </c>
    </row>
    <row r="423" spans="1:10" x14ac:dyDescent="0.3">
      <c r="A423">
        <v>1859</v>
      </c>
      <c r="B423" t="s">
        <v>28</v>
      </c>
      <c r="C423" s="1">
        <v>45893</v>
      </c>
      <c r="D423" t="s">
        <v>16</v>
      </c>
      <c r="E423" t="s">
        <v>17</v>
      </c>
      <c r="F423">
        <v>3</v>
      </c>
      <c r="G423">
        <v>12</v>
      </c>
      <c r="H423" t="s">
        <v>23</v>
      </c>
      <c r="I423" t="s">
        <v>25</v>
      </c>
      <c r="J423">
        <v>36</v>
      </c>
    </row>
    <row r="424" spans="1:10" x14ac:dyDescent="0.3">
      <c r="A424">
        <v>943</v>
      </c>
      <c r="B424" t="s">
        <v>19</v>
      </c>
      <c r="C424" s="1">
        <v>45844</v>
      </c>
      <c r="D424" t="s">
        <v>16</v>
      </c>
      <c r="E424" t="s">
        <v>17</v>
      </c>
      <c r="F424">
        <v>2</v>
      </c>
      <c r="G424">
        <v>12</v>
      </c>
      <c r="H424" t="s">
        <v>21</v>
      </c>
      <c r="I424" t="s">
        <v>18</v>
      </c>
      <c r="J424">
        <v>24</v>
      </c>
    </row>
    <row r="425" spans="1:10" x14ac:dyDescent="0.3">
      <c r="A425">
        <v>773</v>
      </c>
      <c r="B425" t="s">
        <v>24</v>
      </c>
      <c r="C425" s="1">
        <v>45858</v>
      </c>
      <c r="D425" t="s">
        <v>16</v>
      </c>
      <c r="E425" t="s">
        <v>22</v>
      </c>
      <c r="F425">
        <v>1</v>
      </c>
      <c r="G425">
        <v>20</v>
      </c>
      <c r="H425" t="s">
        <v>23</v>
      </c>
      <c r="I425" t="s">
        <v>18</v>
      </c>
      <c r="J425">
        <v>20</v>
      </c>
    </row>
    <row r="426" spans="1:10" x14ac:dyDescent="0.3">
      <c r="A426">
        <v>679</v>
      </c>
      <c r="B426" t="s">
        <v>26</v>
      </c>
      <c r="C426" s="1">
        <v>45858</v>
      </c>
      <c r="D426" t="s">
        <v>16</v>
      </c>
      <c r="E426" t="s">
        <v>17</v>
      </c>
      <c r="F426">
        <v>5</v>
      </c>
      <c r="G426">
        <v>12</v>
      </c>
      <c r="H426" t="s">
        <v>21</v>
      </c>
      <c r="I426" t="s">
        <v>14</v>
      </c>
      <c r="J426">
        <v>60</v>
      </c>
    </row>
    <row r="427" spans="1:10" x14ac:dyDescent="0.3">
      <c r="A427">
        <v>1143</v>
      </c>
      <c r="B427" t="s">
        <v>19</v>
      </c>
      <c r="C427" s="1">
        <v>45914</v>
      </c>
      <c r="D427" t="s">
        <v>16</v>
      </c>
      <c r="E427" t="s">
        <v>12</v>
      </c>
      <c r="F427">
        <v>3</v>
      </c>
      <c r="G427">
        <v>25</v>
      </c>
      <c r="H427" t="s">
        <v>13</v>
      </c>
      <c r="I427" t="s">
        <v>27</v>
      </c>
      <c r="J427">
        <v>75</v>
      </c>
    </row>
    <row r="428" spans="1:10" x14ac:dyDescent="0.3">
      <c r="A428">
        <v>1452</v>
      </c>
      <c r="B428" t="s">
        <v>15</v>
      </c>
      <c r="C428" s="1">
        <v>45850</v>
      </c>
      <c r="D428" t="s">
        <v>16</v>
      </c>
      <c r="E428" t="s">
        <v>30</v>
      </c>
      <c r="F428">
        <v>5</v>
      </c>
      <c r="G428">
        <v>8</v>
      </c>
      <c r="H428" t="s">
        <v>21</v>
      </c>
      <c r="I428" t="s">
        <v>14</v>
      </c>
      <c r="J428">
        <v>40</v>
      </c>
    </row>
    <row r="429" spans="1:10" x14ac:dyDescent="0.3">
      <c r="A429">
        <v>932</v>
      </c>
      <c r="B429" t="s">
        <v>31</v>
      </c>
      <c r="C429" s="1">
        <v>45878</v>
      </c>
      <c r="D429" t="s">
        <v>16</v>
      </c>
      <c r="E429" t="s">
        <v>30</v>
      </c>
      <c r="F429">
        <v>2</v>
      </c>
      <c r="G429">
        <v>8</v>
      </c>
      <c r="H429" t="s">
        <v>13</v>
      </c>
      <c r="I429" t="s">
        <v>27</v>
      </c>
      <c r="J429">
        <v>16</v>
      </c>
    </row>
    <row r="430" spans="1:10" x14ac:dyDescent="0.3">
      <c r="A430">
        <v>1037</v>
      </c>
      <c r="B430" t="s">
        <v>19</v>
      </c>
      <c r="C430" s="1">
        <v>45864</v>
      </c>
      <c r="D430" t="s">
        <v>16</v>
      </c>
      <c r="E430" t="s">
        <v>17</v>
      </c>
      <c r="F430">
        <v>3</v>
      </c>
      <c r="G430">
        <v>12</v>
      </c>
      <c r="H430" t="s">
        <v>21</v>
      </c>
      <c r="I430" t="s">
        <v>27</v>
      </c>
      <c r="J430">
        <v>36</v>
      </c>
    </row>
    <row r="431" spans="1:10" x14ac:dyDescent="0.3">
      <c r="A431">
        <v>1905</v>
      </c>
      <c r="B431" t="s">
        <v>28</v>
      </c>
      <c r="C431" s="1">
        <v>45872</v>
      </c>
      <c r="D431" t="s">
        <v>16</v>
      </c>
      <c r="E431" t="s">
        <v>22</v>
      </c>
      <c r="F431">
        <v>2</v>
      </c>
      <c r="G431">
        <v>20</v>
      </c>
      <c r="H431" t="s">
        <v>21</v>
      </c>
      <c r="I431" t="s">
        <v>27</v>
      </c>
      <c r="J431">
        <v>40</v>
      </c>
    </row>
    <row r="432" spans="1:10" x14ac:dyDescent="0.3">
      <c r="A432">
        <v>380</v>
      </c>
      <c r="B432" t="s">
        <v>24</v>
      </c>
      <c r="C432" s="1">
        <v>45894</v>
      </c>
      <c r="D432" t="s">
        <v>16</v>
      </c>
      <c r="E432" t="s">
        <v>30</v>
      </c>
      <c r="F432">
        <v>5</v>
      </c>
      <c r="G432">
        <v>8</v>
      </c>
      <c r="H432" t="s">
        <v>21</v>
      </c>
      <c r="I432" t="s">
        <v>25</v>
      </c>
      <c r="J432">
        <v>40</v>
      </c>
    </row>
    <row r="433" spans="1:10" x14ac:dyDescent="0.3">
      <c r="A433">
        <v>1868</v>
      </c>
      <c r="B433" t="s">
        <v>15</v>
      </c>
      <c r="C433" s="1">
        <v>45864</v>
      </c>
      <c r="D433" t="s">
        <v>16</v>
      </c>
      <c r="E433" t="s">
        <v>30</v>
      </c>
      <c r="F433">
        <v>1</v>
      </c>
      <c r="G433">
        <v>8</v>
      </c>
      <c r="H433" t="s">
        <v>21</v>
      </c>
      <c r="I433" t="s">
        <v>18</v>
      </c>
      <c r="J433">
        <v>8</v>
      </c>
    </row>
    <row r="434" spans="1:10" x14ac:dyDescent="0.3">
      <c r="A434">
        <v>1132</v>
      </c>
      <c r="B434" t="s">
        <v>26</v>
      </c>
      <c r="C434" s="1">
        <v>45857</v>
      </c>
      <c r="D434" t="s">
        <v>16</v>
      </c>
      <c r="E434" t="s">
        <v>22</v>
      </c>
      <c r="F434">
        <v>2</v>
      </c>
      <c r="G434">
        <v>20</v>
      </c>
      <c r="H434" t="s">
        <v>21</v>
      </c>
      <c r="I434" t="s">
        <v>18</v>
      </c>
      <c r="J434">
        <v>40</v>
      </c>
    </row>
    <row r="435" spans="1:10" x14ac:dyDescent="0.3">
      <c r="A435">
        <v>287</v>
      </c>
      <c r="B435" t="s">
        <v>24</v>
      </c>
      <c r="C435" s="1">
        <v>45860</v>
      </c>
      <c r="D435" t="s">
        <v>16</v>
      </c>
      <c r="E435" t="s">
        <v>29</v>
      </c>
      <c r="F435">
        <v>4</v>
      </c>
      <c r="G435">
        <v>30</v>
      </c>
      <c r="H435" t="s">
        <v>23</v>
      </c>
      <c r="I435" t="s">
        <v>14</v>
      </c>
      <c r="J435">
        <v>120</v>
      </c>
    </row>
    <row r="436" spans="1:10" x14ac:dyDescent="0.3">
      <c r="A436">
        <v>1229</v>
      </c>
      <c r="B436" t="s">
        <v>10</v>
      </c>
      <c r="C436" s="1">
        <v>45912</v>
      </c>
      <c r="D436" t="s">
        <v>16</v>
      </c>
      <c r="E436" t="s">
        <v>17</v>
      </c>
      <c r="F436">
        <v>3</v>
      </c>
      <c r="G436">
        <v>12</v>
      </c>
      <c r="H436" t="s">
        <v>21</v>
      </c>
      <c r="I436" t="s">
        <v>27</v>
      </c>
      <c r="J436">
        <v>36</v>
      </c>
    </row>
    <row r="437" spans="1:10" x14ac:dyDescent="0.3">
      <c r="A437">
        <v>894</v>
      </c>
      <c r="B437" t="s">
        <v>15</v>
      </c>
      <c r="C437" s="1">
        <v>45855</v>
      </c>
      <c r="D437" t="s">
        <v>16</v>
      </c>
      <c r="E437" t="s">
        <v>30</v>
      </c>
      <c r="F437">
        <v>4</v>
      </c>
      <c r="G437">
        <v>8</v>
      </c>
      <c r="H437" t="s">
        <v>23</v>
      </c>
      <c r="I437" t="s">
        <v>27</v>
      </c>
      <c r="J437">
        <v>32</v>
      </c>
    </row>
    <row r="438" spans="1:10" x14ac:dyDescent="0.3">
      <c r="A438">
        <v>1614</v>
      </c>
      <c r="B438" t="s">
        <v>24</v>
      </c>
      <c r="C438" s="1">
        <v>45928</v>
      </c>
      <c r="D438" t="s">
        <v>11</v>
      </c>
      <c r="E438" t="s">
        <v>30</v>
      </c>
      <c r="F438">
        <v>1</v>
      </c>
      <c r="G438">
        <v>8</v>
      </c>
      <c r="H438" t="s">
        <v>21</v>
      </c>
      <c r="I438" t="s">
        <v>27</v>
      </c>
      <c r="J438">
        <v>8</v>
      </c>
    </row>
    <row r="439" spans="1:10" x14ac:dyDescent="0.3">
      <c r="A439">
        <v>1554</v>
      </c>
      <c r="B439" t="s">
        <v>31</v>
      </c>
      <c r="C439" s="1">
        <v>45886</v>
      </c>
      <c r="D439" t="s">
        <v>20</v>
      </c>
      <c r="E439" t="s">
        <v>12</v>
      </c>
      <c r="F439">
        <v>2</v>
      </c>
      <c r="G439">
        <v>25</v>
      </c>
      <c r="H439" t="s">
        <v>21</v>
      </c>
      <c r="I439" t="s">
        <v>25</v>
      </c>
      <c r="J439">
        <v>50</v>
      </c>
    </row>
    <row r="440" spans="1:10" x14ac:dyDescent="0.3">
      <c r="A440">
        <v>1013</v>
      </c>
      <c r="B440" t="s">
        <v>10</v>
      </c>
      <c r="C440" s="1">
        <v>45887</v>
      </c>
      <c r="D440" t="s">
        <v>33</v>
      </c>
      <c r="E440" t="s">
        <v>17</v>
      </c>
      <c r="F440">
        <v>2</v>
      </c>
      <c r="G440">
        <v>12</v>
      </c>
      <c r="H440" t="s">
        <v>13</v>
      </c>
      <c r="I440" t="s">
        <v>14</v>
      </c>
      <c r="J440">
        <v>24</v>
      </c>
    </row>
    <row r="441" spans="1:10" x14ac:dyDescent="0.3">
      <c r="A441">
        <v>1533</v>
      </c>
      <c r="B441" t="s">
        <v>10</v>
      </c>
      <c r="C441" s="1">
        <v>45902</v>
      </c>
      <c r="D441" t="s">
        <v>16</v>
      </c>
      <c r="E441" t="s">
        <v>17</v>
      </c>
      <c r="F441">
        <v>1</v>
      </c>
      <c r="G441">
        <v>12</v>
      </c>
      <c r="H441" t="s">
        <v>23</v>
      </c>
      <c r="I441" t="s">
        <v>25</v>
      </c>
      <c r="J441">
        <v>12</v>
      </c>
    </row>
    <row r="442" spans="1:10" x14ac:dyDescent="0.3">
      <c r="A442">
        <v>746</v>
      </c>
      <c r="B442" t="s">
        <v>10</v>
      </c>
      <c r="C442" s="1">
        <v>45893</v>
      </c>
      <c r="D442" t="s">
        <v>20</v>
      </c>
      <c r="E442" t="s">
        <v>30</v>
      </c>
      <c r="F442">
        <v>5</v>
      </c>
      <c r="G442">
        <v>8</v>
      </c>
      <c r="H442" t="s">
        <v>21</v>
      </c>
      <c r="I442" t="s">
        <v>14</v>
      </c>
      <c r="J442">
        <v>40</v>
      </c>
    </row>
    <row r="443" spans="1:10" x14ac:dyDescent="0.3">
      <c r="A443">
        <v>718</v>
      </c>
      <c r="B443" t="s">
        <v>10</v>
      </c>
      <c r="C443" s="1">
        <v>45854</v>
      </c>
      <c r="D443" t="s">
        <v>11</v>
      </c>
      <c r="E443" t="s">
        <v>29</v>
      </c>
      <c r="F443">
        <v>1</v>
      </c>
      <c r="G443">
        <v>30</v>
      </c>
      <c r="H443" t="s">
        <v>23</v>
      </c>
      <c r="I443" t="s">
        <v>27</v>
      </c>
      <c r="J443">
        <v>30</v>
      </c>
    </row>
    <row r="444" spans="1:10" x14ac:dyDescent="0.3">
      <c r="A444">
        <v>1124</v>
      </c>
      <c r="B444" t="s">
        <v>10</v>
      </c>
      <c r="C444" s="1">
        <v>45879</v>
      </c>
      <c r="D444" t="s">
        <v>11</v>
      </c>
      <c r="E444" t="s">
        <v>17</v>
      </c>
      <c r="F444">
        <v>5</v>
      </c>
      <c r="G444">
        <v>12</v>
      </c>
      <c r="H444" t="s">
        <v>13</v>
      </c>
      <c r="I444" t="s">
        <v>25</v>
      </c>
      <c r="J444">
        <v>60</v>
      </c>
    </row>
    <row r="445" spans="1:10" x14ac:dyDescent="0.3">
      <c r="A445">
        <v>650</v>
      </c>
      <c r="B445" t="s">
        <v>10</v>
      </c>
      <c r="C445" s="1">
        <v>45892</v>
      </c>
      <c r="D445" t="s">
        <v>20</v>
      </c>
      <c r="E445" t="s">
        <v>17</v>
      </c>
      <c r="F445">
        <v>4</v>
      </c>
      <c r="G445">
        <v>12</v>
      </c>
      <c r="H445" t="s">
        <v>21</v>
      </c>
      <c r="I445" t="s">
        <v>27</v>
      </c>
      <c r="J445">
        <v>48</v>
      </c>
    </row>
    <row r="446" spans="1:10" x14ac:dyDescent="0.3">
      <c r="A446">
        <v>846</v>
      </c>
      <c r="B446" t="s">
        <v>10</v>
      </c>
      <c r="C446" s="1">
        <v>45889</v>
      </c>
      <c r="D446" t="s">
        <v>16</v>
      </c>
      <c r="E446" t="s">
        <v>17</v>
      </c>
      <c r="F446">
        <v>2</v>
      </c>
      <c r="G446">
        <v>12</v>
      </c>
      <c r="H446" t="s">
        <v>13</v>
      </c>
      <c r="I446" t="s">
        <v>25</v>
      </c>
      <c r="J446">
        <v>24</v>
      </c>
    </row>
    <row r="447" spans="1:10" x14ac:dyDescent="0.3">
      <c r="A447">
        <v>1236</v>
      </c>
      <c r="B447" t="s">
        <v>10</v>
      </c>
      <c r="C447" s="1">
        <v>45866</v>
      </c>
      <c r="D447" t="s">
        <v>20</v>
      </c>
      <c r="E447" t="s">
        <v>17</v>
      </c>
      <c r="F447">
        <v>4</v>
      </c>
      <c r="G447">
        <v>12</v>
      </c>
      <c r="H447" t="s">
        <v>23</v>
      </c>
      <c r="I447" t="s">
        <v>27</v>
      </c>
      <c r="J447">
        <v>48</v>
      </c>
    </row>
    <row r="448" spans="1:10" x14ac:dyDescent="0.3">
      <c r="A448">
        <v>476</v>
      </c>
      <c r="B448" t="s">
        <v>10</v>
      </c>
      <c r="C448" s="1">
        <v>45899</v>
      </c>
      <c r="D448" t="s">
        <v>11</v>
      </c>
      <c r="E448" t="s">
        <v>22</v>
      </c>
      <c r="F448">
        <v>4</v>
      </c>
      <c r="G448">
        <v>20</v>
      </c>
      <c r="H448" t="s">
        <v>21</v>
      </c>
      <c r="I448" t="s">
        <v>27</v>
      </c>
      <c r="J448">
        <v>80</v>
      </c>
    </row>
    <row r="449" spans="1:10" x14ac:dyDescent="0.3">
      <c r="A449">
        <v>100</v>
      </c>
      <c r="B449" t="s">
        <v>10</v>
      </c>
      <c r="C449" s="1">
        <v>45874</v>
      </c>
      <c r="D449" t="s">
        <v>11</v>
      </c>
      <c r="E449" t="s">
        <v>17</v>
      </c>
      <c r="F449">
        <v>2</v>
      </c>
      <c r="G449">
        <v>12</v>
      </c>
      <c r="H449" t="s">
        <v>21</v>
      </c>
      <c r="I449" t="s">
        <v>27</v>
      </c>
      <c r="J449">
        <v>24</v>
      </c>
    </row>
    <row r="450" spans="1:10" x14ac:dyDescent="0.3">
      <c r="A450">
        <v>644</v>
      </c>
      <c r="B450" t="s">
        <v>24</v>
      </c>
      <c r="C450" s="1">
        <v>45889</v>
      </c>
      <c r="D450" t="s">
        <v>11</v>
      </c>
      <c r="E450" t="s">
        <v>12</v>
      </c>
      <c r="F450">
        <v>5</v>
      </c>
      <c r="G450">
        <v>25</v>
      </c>
      <c r="H450" t="s">
        <v>23</v>
      </c>
      <c r="I450" t="s">
        <v>27</v>
      </c>
      <c r="J450">
        <v>125</v>
      </c>
    </row>
    <row r="451" spans="1:10" x14ac:dyDescent="0.3">
      <c r="A451">
        <v>873</v>
      </c>
      <c r="B451" t="s">
        <v>26</v>
      </c>
      <c r="C451" s="1">
        <v>45839</v>
      </c>
      <c r="D451" t="s">
        <v>11</v>
      </c>
      <c r="E451" t="s">
        <v>22</v>
      </c>
      <c r="F451">
        <v>5</v>
      </c>
      <c r="G451">
        <v>20</v>
      </c>
      <c r="H451" t="s">
        <v>13</v>
      </c>
      <c r="I451" t="s">
        <v>18</v>
      </c>
      <c r="J451">
        <v>100</v>
      </c>
    </row>
    <row r="452" spans="1:10" x14ac:dyDescent="0.3">
      <c r="A452">
        <v>1986</v>
      </c>
      <c r="B452" t="s">
        <v>10</v>
      </c>
      <c r="C452" s="1">
        <v>45850</v>
      </c>
      <c r="D452" t="s">
        <v>16</v>
      </c>
      <c r="E452" t="s">
        <v>29</v>
      </c>
      <c r="F452">
        <v>2</v>
      </c>
      <c r="G452">
        <v>30</v>
      </c>
      <c r="H452" t="s">
        <v>21</v>
      </c>
      <c r="I452" t="s">
        <v>25</v>
      </c>
      <c r="J452">
        <v>60</v>
      </c>
    </row>
    <row r="453" spans="1:10" x14ac:dyDescent="0.3">
      <c r="A453">
        <v>414</v>
      </c>
      <c r="B453" t="s">
        <v>24</v>
      </c>
      <c r="C453" s="1">
        <v>45888</v>
      </c>
      <c r="D453" t="s">
        <v>11</v>
      </c>
      <c r="E453" t="s">
        <v>17</v>
      </c>
      <c r="F453">
        <v>4</v>
      </c>
      <c r="G453">
        <v>12</v>
      </c>
      <c r="H453" t="s">
        <v>21</v>
      </c>
      <c r="I453" t="s">
        <v>18</v>
      </c>
      <c r="J453">
        <v>48</v>
      </c>
    </row>
    <row r="454" spans="1:10" x14ac:dyDescent="0.3">
      <c r="A454">
        <v>310</v>
      </c>
      <c r="B454" t="s">
        <v>10</v>
      </c>
      <c r="C454" s="1">
        <v>45861</v>
      </c>
      <c r="D454" t="s">
        <v>11</v>
      </c>
      <c r="E454" t="s">
        <v>17</v>
      </c>
      <c r="F454">
        <v>3</v>
      </c>
      <c r="G454">
        <v>12</v>
      </c>
      <c r="H454" t="s">
        <v>23</v>
      </c>
      <c r="I454" t="s">
        <v>27</v>
      </c>
      <c r="J454">
        <v>36</v>
      </c>
    </row>
    <row r="455" spans="1:10" x14ac:dyDescent="0.3">
      <c r="A455">
        <v>321</v>
      </c>
      <c r="B455" t="s">
        <v>19</v>
      </c>
      <c r="C455" s="1">
        <v>45883</v>
      </c>
      <c r="D455" t="s">
        <v>11</v>
      </c>
      <c r="E455" t="s">
        <v>29</v>
      </c>
      <c r="F455">
        <v>3</v>
      </c>
      <c r="G455">
        <v>30</v>
      </c>
      <c r="H455" t="s">
        <v>13</v>
      </c>
      <c r="I455" t="s">
        <v>25</v>
      </c>
      <c r="J455">
        <v>90</v>
      </c>
    </row>
    <row r="456" spans="1:10" x14ac:dyDescent="0.3">
      <c r="A456">
        <v>947</v>
      </c>
      <c r="B456" t="s">
        <v>15</v>
      </c>
      <c r="C456" s="1">
        <v>45885</v>
      </c>
      <c r="D456" t="s">
        <v>11</v>
      </c>
      <c r="E456" t="s">
        <v>12</v>
      </c>
      <c r="F456">
        <v>2</v>
      </c>
      <c r="G456">
        <v>25</v>
      </c>
      <c r="H456" t="s">
        <v>21</v>
      </c>
      <c r="I456" t="s">
        <v>25</v>
      </c>
      <c r="J456">
        <v>50</v>
      </c>
    </row>
    <row r="457" spans="1:10" x14ac:dyDescent="0.3">
      <c r="A457">
        <v>1821</v>
      </c>
      <c r="B457" t="s">
        <v>28</v>
      </c>
      <c r="C457" s="1">
        <v>45920</v>
      </c>
      <c r="D457" t="s">
        <v>11</v>
      </c>
      <c r="E457" t="s">
        <v>17</v>
      </c>
      <c r="F457">
        <v>3</v>
      </c>
      <c r="G457">
        <v>12</v>
      </c>
      <c r="H457" t="s">
        <v>23</v>
      </c>
      <c r="I457" t="s">
        <v>25</v>
      </c>
      <c r="J457">
        <v>36</v>
      </c>
    </row>
    <row r="458" spans="1:10" x14ac:dyDescent="0.3">
      <c r="A458">
        <v>1657</v>
      </c>
      <c r="B458" t="s">
        <v>26</v>
      </c>
      <c r="C458" s="1">
        <v>45873</v>
      </c>
      <c r="D458" t="s">
        <v>33</v>
      </c>
      <c r="E458" t="s">
        <v>17</v>
      </c>
      <c r="F458">
        <v>5</v>
      </c>
      <c r="G458">
        <v>12</v>
      </c>
      <c r="H458" t="s">
        <v>23</v>
      </c>
      <c r="I458" t="s">
        <v>18</v>
      </c>
      <c r="J458">
        <v>60</v>
      </c>
    </row>
    <row r="459" spans="1:10" x14ac:dyDescent="0.3">
      <c r="A459">
        <v>433</v>
      </c>
      <c r="B459" t="s">
        <v>15</v>
      </c>
      <c r="C459" s="1">
        <v>45909</v>
      </c>
      <c r="D459" t="s">
        <v>20</v>
      </c>
      <c r="E459" t="s">
        <v>29</v>
      </c>
      <c r="F459">
        <v>2</v>
      </c>
      <c r="G459">
        <v>30</v>
      </c>
      <c r="H459" t="s">
        <v>23</v>
      </c>
      <c r="I459" t="s">
        <v>27</v>
      </c>
      <c r="J459">
        <v>60</v>
      </c>
    </row>
    <row r="460" spans="1:10" x14ac:dyDescent="0.3">
      <c r="A460">
        <v>1701</v>
      </c>
      <c r="B460" t="s">
        <v>15</v>
      </c>
      <c r="C460" s="1">
        <v>45871</v>
      </c>
      <c r="D460" t="s">
        <v>11</v>
      </c>
      <c r="E460" t="s">
        <v>12</v>
      </c>
      <c r="F460">
        <v>4</v>
      </c>
      <c r="G460">
        <v>25</v>
      </c>
      <c r="H460" t="s">
        <v>21</v>
      </c>
      <c r="I460" t="s">
        <v>18</v>
      </c>
      <c r="J460">
        <v>100</v>
      </c>
    </row>
    <row r="461" spans="1:10" x14ac:dyDescent="0.3">
      <c r="A461">
        <v>1312</v>
      </c>
      <c r="B461" t="s">
        <v>26</v>
      </c>
      <c r="C461" s="1">
        <v>45915</v>
      </c>
      <c r="D461" t="s">
        <v>33</v>
      </c>
      <c r="E461" t="s">
        <v>30</v>
      </c>
      <c r="F461">
        <v>4</v>
      </c>
      <c r="G461">
        <v>8</v>
      </c>
      <c r="H461" t="s">
        <v>13</v>
      </c>
      <c r="I461" t="s">
        <v>25</v>
      </c>
      <c r="J461">
        <v>32</v>
      </c>
    </row>
    <row r="462" spans="1:10" x14ac:dyDescent="0.3">
      <c r="A462">
        <v>150</v>
      </c>
      <c r="B462" t="s">
        <v>19</v>
      </c>
      <c r="C462" s="1">
        <v>45919</v>
      </c>
      <c r="D462" t="s">
        <v>11</v>
      </c>
      <c r="E462" t="s">
        <v>22</v>
      </c>
      <c r="F462">
        <v>5</v>
      </c>
      <c r="G462">
        <v>20</v>
      </c>
      <c r="H462" t="s">
        <v>13</v>
      </c>
      <c r="I462" t="s">
        <v>18</v>
      </c>
      <c r="J462">
        <v>100</v>
      </c>
    </row>
    <row r="463" spans="1:10" x14ac:dyDescent="0.3">
      <c r="A463">
        <v>1702</v>
      </c>
      <c r="B463" t="s">
        <v>10</v>
      </c>
      <c r="C463" s="1">
        <v>45840</v>
      </c>
      <c r="D463" t="s">
        <v>20</v>
      </c>
      <c r="E463" t="s">
        <v>30</v>
      </c>
      <c r="F463">
        <v>1</v>
      </c>
      <c r="G463">
        <v>8</v>
      </c>
      <c r="H463" t="s">
        <v>13</v>
      </c>
      <c r="I463" t="s">
        <v>18</v>
      </c>
      <c r="J463">
        <v>8</v>
      </c>
    </row>
    <row r="464" spans="1:10" x14ac:dyDescent="0.3">
      <c r="A464">
        <v>1316</v>
      </c>
      <c r="B464" t="s">
        <v>31</v>
      </c>
      <c r="C464" s="1">
        <v>45893</v>
      </c>
      <c r="D464" t="s">
        <v>11</v>
      </c>
      <c r="E464" t="s">
        <v>30</v>
      </c>
      <c r="F464">
        <v>4</v>
      </c>
      <c r="G464">
        <v>8</v>
      </c>
      <c r="H464" t="s">
        <v>23</v>
      </c>
      <c r="I464" t="s">
        <v>14</v>
      </c>
      <c r="J464">
        <v>32</v>
      </c>
    </row>
    <row r="465" spans="1:10" x14ac:dyDescent="0.3">
      <c r="A465">
        <v>1368</v>
      </c>
      <c r="B465" t="s">
        <v>10</v>
      </c>
      <c r="C465" s="1">
        <v>45890</v>
      </c>
      <c r="D465" t="s">
        <v>20</v>
      </c>
      <c r="E465" t="s">
        <v>17</v>
      </c>
      <c r="F465">
        <v>1</v>
      </c>
      <c r="G465">
        <v>12</v>
      </c>
      <c r="H465" t="s">
        <v>13</v>
      </c>
      <c r="I465" t="s">
        <v>14</v>
      </c>
      <c r="J465">
        <v>12</v>
      </c>
    </row>
    <row r="466" spans="1:10" x14ac:dyDescent="0.3">
      <c r="A466">
        <v>1528</v>
      </c>
      <c r="B466" t="s">
        <v>24</v>
      </c>
      <c r="C466" s="1">
        <v>45892</v>
      </c>
      <c r="D466" t="s">
        <v>20</v>
      </c>
      <c r="E466" t="s">
        <v>30</v>
      </c>
      <c r="F466">
        <v>4</v>
      </c>
      <c r="G466">
        <v>8</v>
      </c>
      <c r="H466" t="s">
        <v>23</v>
      </c>
      <c r="I466" t="s">
        <v>25</v>
      </c>
      <c r="J466">
        <v>32</v>
      </c>
    </row>
    <row r="467" spans="1:10" x14ac:dyDescent="0.3">
      <c r="A467">
        <v>1205</v>
      </c>
      <c r="B467" t="s">
        <v>15</v>
      </c>
      <c r="C467" s="1">
        <v>45892</v>
      </c>
      <c r="D467" t="s">
        <v>11</v>
      </c>
      <c r="E467" t="s">
        <v>30</v>
      </c>
      <c r="F467">
        <v>3</v>
      </c>
      <c r="G467">
        <v>8</v>
      </c>
      <c r="H467" t="s">
        <v>13</v>
      </c>
      <c r="I467" t="s">
        <v>27</v>
      </c>
      <c r="J467">
        <v>24</v>
      </c>
    </row>
    <row r="468" spans="1:10" x14ac:dyDescent="0.3">
      <c r="A468">
        <v>931</v>
      </c>
      <c r="B468" t="s">
        <v>28</v>
      </c>
      <c r="C468" s="1">
        <v>45865</v>
      </c>
      <c r="D468" t="s">
        <v>20</v>
      </c>
      <c r="E468" t="s">
        <v>12</v>
      </c>
      <c r="F468">
        <v>5</v>
      </c>
      <c r="G468">
        <v>25</v>
      </c>
      <c r="H468" t="s">
        <v>13</v>
      </c>
      <c r="I468" t="s">
        <v>18</v>
      </c>
      <c r="J468">
        <v>125</v>
      </c>
    </row>
    <row r="469" spans="1:10" x14ac:dyDescent="0.3">
      <c r="A469">
        <v>1214</v>
      </c>
      <c r="B469" t="s">
        <v>10</v>
      </c>
      <c r="C469" s="1">
        <v>45841</v>
      </c>
      <c r="D469" t="s">
        <v>16</v>
      </c>
      <c r="E469" t="s">
        <v>30</v>
      </c>
      <c r="F469">
        <v>2</v>
      </c>
      <c r="G469">
        <v>8</v>
      </c>
      <c r="H469" t="s">
        <v>23</v>
      </c>
      <c r="I469" t="s">
        <v>25</v>
      </c>
      <c r="J469">
        <v>16</v>
      </c>
    </row>
    <row r="470" spans="1:10" x14ac:dyDescent="0.3">
      <c r="A470">
        <v>437</v>
      </c>
      <c r="B470" t="s">
        <v>19</v>
      </c>
      <c r="C470" s="1">
        <v>45864</v>
      </c>
      <c r="D470" t="s">
        <v>20</v>
      </c>
      <c r="E470" t="s">
        <v>17</v>
      </c>
      <c r="F470">
        <v>2</v>
      </c>
      <c r="G470">
        <v>12</v>
      </c>
      <c r="H470" t="s">
        <v>21</v>
      </c>
      <c r="I470" t="s">
        <v>25</v>
      </c>
      <c r="J470">
        <v>24</v>
      </c>
    </row>
    <row r="471" spans="1:10" x14ac:dyDescent="0.3">
      <c r="A471">
        <v>1778</v>
      </c>
      <c r="B471" t="s">
        <v>32</v>
      </c>
      <c r="C471" s="1">
        <v>45876</v>
      </c>
      <c r="D471" t="s">
        <v>11</v>
      </c>
      <c r="E471" t="s">
        <v>12</v>
      </c>
      <c r="F471">
        <v>2</v>
      </c>
      <c r="G471">
        <v>25</v>
      </c>
      <c r="H471" t="s">
        <v>21</v>
      </c>
      <c r="I471" t="s">
        <v>27</v>
      </c>
      <c r="J471">
        <v>50</v>
      </c>
    </row>
    <row r="472" spans="1:10" x14ac:dyDescent="0.3">
      <c r="A472">
        <v>1387</v>
      </c>
      <c r="B472" t="s">
        <v>24</v>
      </c>
      <c r="C472" s="1">
        <v>45923</v>
      </c>
      <c r="D472" t="s">
        <v>11</v>
      </c>
      <c r="E472" t="s">
        <v>17</v>
      </c>
      <c r="F472">
        <v>4</v>
      </c>
      <c r="G472">
        <v>12</v>
      </c>
      <c r="H472" t="s">
        <v>23</v>
      </c>
      <c r="I472" t="s">
        <v>18</v>
      </c>
      <c r="J472">
        <v>48</v>
      </c>
    </row>
    <row r="473" spans="1:10" x14ac:dyDescent="0.3">
      <c r="A473">
        <v>201</v>
      </c>
      <c r="B473" t="s">
        <v>28</v>
      </c>
      <c r="C473" s="1">
        <v>45858</v>
      </c>
      <c r="D473" t="s">
        <v>11</v>
      </c>
      <c r="E473" t="s">
        <v>29</v>
      </c>
      <c r="F473">
        <v>5</v>
      </c>
      <c r="G473">
        <v>30</v>
      </c>
      <c r="H473" t="s">
        <v>13</v>
      </c>
      <c r="I473" t="s">
        <v>25</v>
      </c>
      <c r="J473">
        <v>150</v>
      </c>
    </row>
    <row r="474" spans="1:10" x14ac:dyDescent="0.3">
      <c r="A474">
        <v>379</v>
      </c>
      <c r="B474" t="s">
        <v>26</v>
      </c>
      <c r="C474" s="1">
        <v>45857</v>
      </c>
      <c r="D474" t="s">
        <v>11</v>
      </c>
      <c r="E474" t="s">
        <v>17</v>
      </c>
      <c r="F474">
        <v>4</v>
      </c>
      <c r="G474">
        <v>12</v>
      </c>
      <c r="H474" t="s">
        <v>23</v>
      </c>
      <c r="I474" t="s">
        <v>18</v>
      </c>
      <c r="J474">
        <v>48</v>
      </c>
    </row>
    <row r="475" spans="1:10" x14ac:dyDescent="0.3">
      <c r="A475">
        <v>223</v>
      </c>
      <c r="B475" t="s">
        <v>10</v>
      </c>
      <c r="C475" s="1">
        <v>45898</v>
      </c>
      <c r="D475" t="s">
        <v>20</v>
      </c>
      <c r="E475" t="s">
        <v>17</v>
      </c>
      <c r="F475">
        <v>5</v>
      </c>
      <c r="G475">
        <v>12</v>
      </c>
      <c r="H475" t="s">
        <v>21</v>
      </c>
      <c r="I475" t="s">
        <v>14</v>
      </c>
      <c r="J475">
        <v>60</v>
      </c>
    </row>
    <row r="476" spans="1:10" x14ac:dyDescent="0.3">
      <c r="A476">
        <v>1050</v>
      </c>
      <c r="B476" t="s">
        <v>24</v>
      </c>
      <c r="C476" s="1">
        <v>45865</v>
      </c>
      <c r="D476" t="s">
        <v>16</v>
      </c>
      <c r="E476" t="s">
        <v>17</v>
      </c>
      <c r="F476">
        <v>1</v>
      </c>
      <c r="G476">
        <v>12</v>
      </c>
      <c r="H476" t="s">
        <v>13</v>
      </c>
      <c r="I476" t="s">
        <v>18</v>
      </c>
      <c r="J476">
        <v>12</v>
      </c>
    </row>
    <row r="477" spans="1:10" x14ac:dyDescent="0.3">
      <c r="A477">
        <v>252</v>
      </c>
      <c r="B477" t="s">
        <v>24</v>
      </c>
      <c r="C477" s="1">
        <v>45850</v>
      </c>
      <c r="D477" t="s">
        <v>11</v>
      </c>
      <c r="E477" t="s">
        <v>29</v>
      </c>
      <c r="F477">
        <v>1</v>
      </c>
      <c r="G477">
        <v>30</v>
      </c>
      <c r="H477" t="s">
        <v>13</v>
      </c>
      <c r="I477" t="s">
        <v>18</v>
      </c>
      <c r="J477">
        <v>30</v>
      </c>
    </row>
    <row r="478" spans="1:10" x14ac:dyDescent="0.3">
      <c r="A478">
        <v>490</v>
      </c>
      <c r="B478" t="s">
        <v>15</v>
      </c>
      <c r="C478" s="1">
        <v>45864</v>
      </c>
      <c r="D478" t="s">
        <v>11</v>
      </c>
      <c r="E478" t="s">
        <v>17</v>
      </c>
      <c r="F478">
        <v>1</v>
      </c>
      <c r="G478">
        <v>12</v>
      </c>
      <c r="H478" t="s">
        <v>23</v>
      </c>
      <c r="I478" t="s">
        <v>27</v>
      </c>
      <c r="J478">
        <v>12</v>
      </c>
    </row>
    <row r="479" spans="1:10" x14ac:dyDescent="0.3">
      <c r="A479">
        <v>178</v>
      </c>
      <c r="B479" t="s">
        <v>32</v>
      </c>
      <c r="C479" s="1">
        <v>45840</v>
      </c>
      <c r="D479" t="s">
        <v>16</v>
      </c>
      <c r="E479" t="s">
        <v>12</v>
      </c>
      <c r="F479">
        <v>5</v>
      </c>
      <c r="G479">
        <v>25</v>
      </c>
      <c r="H479" t="s">
        <v>13</v>
      </c>
      <c r="I479" t="s">
        <v>18</v>
      </c>
      <c r="J479">
        <v>125</v>
      </c>
    </row>
    <row r="480" spans="1:10" x14ac:dyDescent="0.3">
      <c r="A480">
        <v>1734</v>
      </c>
      <c r="B480" t="s">
        <v>31</v>
      </c>
      <c r="C480" s="1">
        <v>45859</v>
      </c>
      <c r="D480" t="s">
        <v>33</v>
      </c>
      <c r="E480" t="s">
        <v>12</v>
      </c>
      <c r="F480">
        <v>5</v>
      </c>
      <c r="G480">
        <v>25</v>
      </c>
      <c r="H480" t="s">
        <v>23</v>
      </c>
      <c r="I480" t="s">
        <v>14</v>
      </c>
      <c r="J480">
        <v>125</v>
      </c>
    </row>
    <row r="481" spans="1:10" x14ac:dyDescent="0.3">
      <c r="A481">
        <v>499</v>
      </c>
      <c r="B481" t="s">
        <v>24</v>
      </c>
      <c r="C481" s="1">
        <v>45887</v>
      </c>
      <c r="D481" t="s">
        <v>11</v>
      </c>
      <c r="E481" t="s">
        <v>29</v>
      </c>
      <c r="F481">
        <v>4</v>
      </c>
      <c r="G481">
        <v>30</v>
      </c>
      <c r="H481" t="s">
        <v>23</v>
      </c>
      <c r="I481" t="s">
        <v>25</v>
      </c>
      <c r="J481">
        <v>120</v>
      </c>
    </row>
    <row r="482" spans="1:10" x14ac:dyDescent="0.3">
      <c r="A482">
        <v>1222</v>
      </c>
      <c r="B482" t="s">
        <v>26</v>
      </c>
      <c r="C482" s="1">
        <v>45913</v>
      </c>
      <c r="D482" t="s">
        <v>16</v>
      </c>
      <c r="E482" t="s">
        <v>17</v>
      </c>
      <c r="F482">
        <v>1</v>
      </c>
      <c r="G482">
        <v>12</v>
      </c>
      <c r="H482" t="s">
        <v>21</v>
      </c>
      <c r="I482" t="s">
        <v>27</v>
      </c>
      <c r="J482">
        <v>12</v>
      </c>
    </row>
    <row r="483" spans="1:10" x14ac:dyDescent="0.3">
      <c r="A483">
        <v>1737</v>
      </c>
      <c r="B483" t="s">
        <v>15</v>
      </c>
      <c r="C483" s="1">
        <v>45859</v>
      </c>
      <c r="D483" t="s">
        <v>16</v>
      </c>
      <c r="E483" t="s">
        <v>30</v>
      </c>
      <c r="F483">
        <v>1</v>
      </c>
      <c r="G483">
        <v>8</v>
      </c>
      <c r="H483" t="s">
        <v>21</v>
      </c>
      <c r="I483" t="s">
        <v>14</v>
      </c>
      <c r="J483">
        <v>8</v>
      </c>
    </row>
    <row r="484" spans="1:10" x14ac:dyDescent="0.3">
      <c r="A484">
        <v>519</v>
      </c>
      <c r="B484" t="s">
        <v>19</v>
      </c>
      <c r="C484" s="1">
        <v>45867</v>
      </c>
      <c r="D484" t="s">
        <v>16</v>
      </c>
      <c r="E484" t="s">
        <v>30</v>
      </c>
      <c r="F484">
        <v>5</v>
      </c>
      <c r="G484">
        <v>8</v>
      </c>
      <c r="H484" t="s">
        <v>13</v>
      </c>
      <c r="I484" t="s">
        <v>27</v>
      </c>
      <c r="J484">
        <v>40</v>
      </c>
    </row>
    <row r="485" spans="1:10" x14ac:dyDescent="0.3">
      <c r="A485">
        <v>1116</v>
      </c>
      <c r="B485" t="s">
        <v>28</v>
      </c>
      <c r="C485" s="1">
        <v>45923</v>
      </c>
      <c r="D485" t="s">
        <v>16</v>
      </c>
      <c r="E485" t="s">
        <v>22</v>
      </c>
      <c r="F485">
        <v>1</v>
      </c>
      <c r="G485">
        <v>20</v>
      </c>
      <c r="H485" t="s">
        <v>23</v>
      </c>
      <c r="I485" t="s">
        <v>18</v>
      </c>
      <c r="J485">
        <v>20</v>
      </c>
    </row>
    <row r="486" spans="1:10" x14ac:dyDescent="0.3">
      <c r="A486">
        <v>1201</v>
      </c>
      <c r="B486" t="s">
        <v>15</v>
      </c>
      <c r="C486" s="1">
        <v>45865</v>
      </c>
      <c r="D486" t="s">
        <v>16</v>
      </c>
      <c r="E486" t="s">
        <v>12</v>
      </c>
      <c r="F486">
        <v>4</v>
      </c>
      <c r="G486">
        <v>25</v>
      </c>
      <c r="H486" t="s">
        <v>23</v>
      </c>
      <c r="I486" t="s">
        <v>14</v>
      </c>
      <c r="J486">
        <v>100</v>
      </c>
    </row>
    <row r="487" spans="1:10" x14ac:dyDescent="0.3">
      <c r="A487">
        <v>796</v>
      </c>
      <c r="B487" t="s">
        <v>28</v>
      </c>
      <c r="C487" s="1">
        <v>45876</v>
      </c>
      <c r="D487" t="s">
        <v>16</v>
      </c>
      <c r="E487" t="s">
        <v>12</v>
      </c>
      <c r="F487">
        <v>2</v>
      </c>
      <c r="G487">
        <v>25</v>
      </c>
      <c r="H487" t="s">
        <v>21</v>
      </c>
      <c r="I487" t="s">
        <v>14</v>
      </c>
      <c r="J487">
        <v>50</v>
      </c>
    </row>
    <row r="488" spans="1:10" x14ac:dyDescent="0.3">
      <c r="A488">
        <v>263</v>
      </c>
      <c r="B488" t="s">
        <v>15</v>
      </c>
      <c r="C488" s="1">
        <v>45876</v>
      </c>
      <c r="D488" t="s">
        <v>20</v>
      </c>
      <c r="E488" t="s">
        <v>22</v>
      </c>
      <c r="F488">
        <v>2</v>
      </c>
      <c r="G488">
        <v>20</v>
      </c>
      <c r="H488" t="s">
        <v>23</v>
      </c>
      <c r="I488" t="s">
        <v>18</v>
      </c>
      <c r="J488">
        <v>40</v>
      </c>
    </row>
    <row r="489" spans="1:10" x14ac:dyDescent="0.3">
      <c r="A489">
        <v>354</v>
      </c>
      <c r="B489" t="s">
        <v>19</v>
      </c>
      <c r="C489" s="1">
        <v>45915</v>
      </c>
      <c r="D489" t="s">
        <v>16</v>
      </c>
      <c r="E489" t="s">
        <v>22</v>
      </c>
      <c r="F489">
        <v>5</v>
      </c>
      <c r="G489">
        <v>20</v>
      </c>
      <c r="H489" t="s">
        <v>23</v>
      </c>
      <c r="I489" t="s">
        <v>25</v>
      </c>
      <c r="J489">
        <v>100</v>
      </c>
    </row>
    <row r="490" spans="1:10" x14ac:dyDescent="0.3">
      <c r="A490">
        <v>905</v>
      </c>
      <c r="B490" t="s">
        <v>32</v>
      </c>
      <c r="C490" s="1">
        <v>45857</v>
      </c>
      <c r="D490" t="s">
        <v>16</v>
      </c>
      <c r="E490" t="s">
        <v>12</v>
      </c>
      <c r="F490">
        <v>4</v>
      </c>
      <c r="G490">
        <v>25</v>
      </c>
      <c r="H490" t="s">
        <v>13</v>
      </c>
      <c r="I490" t="s">
        <v>18</v>
      </c>
      <c r="J490">
        <v>100</v>
      </c>
    </row>
    <row r="491" spans="1:10" x14ac:dyDescent="0.3">
      <c r="A491">
        <v>1131</v>
      </c>
      <c r="B491" t="s">
        <v>26</v>
      </c>
      <c r="C491" s="1">
        <v>45843</v>
      </c>
      <c r="D491" t="s">
        <v>16</v>
      </c>
      <c r="E491" t="s">
        <v>22</v>
      </c>
      <c r="F491">
        <v>2</v>
      </c>
      <c r="G491">
        <v>20</v>
      </c>
      <c r="H491" t="s">
        <v>13</v>
      </c>
      <c r="I491" t="s">
        <v>14</v>
      </c>
      <c r="J491">
        <v>40</v>
      </c>
    </row>
    <row r="492" spans="1:10" x14ac:dyDescent="0.3">
      <c r="A492">
        <v>1548</v>
      </c>
      <c r="B492" t="s">
        <v>28</v>
      </c>
      <c r="C492" s="1">
        <v>45893</v>
      </c>
      <c r="D492" t="s">
        <v>16</v>
      </c>
      <c r="E492" t="s">
        <v>17</v>
      </c>
      <c r="F492">
        <v>1</v>
      </c>
      <c r="G492">
        <v>12</v>
      </c>
      <c r="H492" t="s">
        <v>23</v>
      </c>
      <c r="I492" t="s">
        <v>25</v>
      </c>
      <c r="J492">
        <v>12</v>
      </c>
    </row>
    <row r="493" spans="1:10" x14ac:dyDescent="0.3">
      <c r="A493">
        <v>885</v>
      </c>
      <c r="B493" t="s">
        <v>19</v>
      </c>
      <c r="C493" s="1">
        <v>45927</v>
      </c>
      <c r="D493" t="s">
        <v>16</v>
      </c>
      <c r="E493" t="s">
        <v>17</v>
      </c>
      <c r="F493">
        <v>2</v>
      </c>
      <c r="G493">
        <v>12</v>
      </c>
      <c r="H493" t="s">
        <v>13</v>
      </c>
      <c r="I493" t="s">
        <v>14</v>
      </c>
      <c r="J493">
        <v>24</v>
      </c>
    </row>
    <row r="494" spans="1:10" x14ac:dyDescent="0.3">
      <c r="A494">
        <v>1626</v>
      </c>
      <c r="B494" t="s">
        <v>28</v>
      </c>
      <c r="C494" s="1">
        <v>45842</v>
      </c>
      <c r="D494" t="s">
        <v>20</v>
      </c>
      <c r="E494" t="s">
        <v>17</v>
      </c>
      <c r="F494">
        <v>3</v>
      </c>
      <c r="G494">
        <v>12</v>
      </c>
      <c r="H494" t="s">
        <v>13</v>
      </c>
      <c r="I494" t="s">
        <v>14</v>
      </c>
      <c r="J494">
        <v>36</v>
      </c>
    </row>
    <row r="495" spans="1:10" x14ac:dyDescent="0.3">
      <c r="A495">
        <v>1382</v>
      </c>
      <c r="B495" t="s">
        <v>31</v>
      </c>
      <c r="C495" s="1">
        <v>45901</v>
      </c>
      <c r="D495" t="s">
        <v>16</v>
      </c>
      <c r="E495" t="s">
        <v>17</v>
      </c>
      <c r="F495">
        <v>1</v>
      </c>
      <c r="G495">
        <v>12</v>
      </c>
      <c r="H495" t="s">
        <v>23</v>
      </c>
      <c r="I495" t="s">
        <v>14</v>
      </c>
      <c r="J495">
        <v>12</v>
      </c>
    </row>
    <row r="496" spans="1:10" x14ac:dyDescent="0.3">
      <c r="A496">
        <v>84</v>
      </c>
      <c r="B496" t="s">
        <v>19</v>
      </c>
      <c r="C496" s="1">
        <v>45895</v>
      </c>
      <c r="D496" t="s">
        <v>20</v>
      </c>
      <c r="E496" t="s">
        <v>29</v>
      </c>
      <c r="F496">
        <v>4</v>
      </c>
      <c r="G496">
        <v>30</v>
      </c>
      <c r="H496" t="s">
        <v>13</v>
      </c>
      <c r="I496" t="s">
        <v>14</v>
      </c>
      <c r="J496">
        <v>120</v>
      </c>
    </row>
    <row r="497" spans="1:10" x14ac:dyDescent="0.3">
      <c r="A497">
        <v>1496</v>
      </c>
      <c r="B497" t="s">
        <v>15</v>
      </c>
      <c r="C497" s="1">
        <v>45920</v>
      </c>
      <c r="D497" t="s">
        <v>33</v>
      </c>
      <c r="E497" t="s">
        <v>17</v>
      </c>
      <c r="F497">
        <v>1</v>
      </c>
      <c r="G497">
        <v>12</v>
      </c>
      <c r="H497" t="s">
        <v>21</v>
      </c>
      <c r="I497" t="s">
        <v>14</v>
      </c>
      <c r="J497">
        <v>12</v>
      </c>
    </row>
    <row r="498" spans="1:10" x14ac:dyDescent="0.3">
      <c r="A498">
        <v>1133</v>
      </c>
      <c r="B498" t="s">
        <v>10</v>
      </c>
      <c r="C498" s="1">
        <v>45920</v>
      </c>
      <c r="D498" t="s">
        <v>20</v>
      </c>
      <c r="E498" t="s">
        <v>29</v>
      </c>
      <c r="F498">
        <v>4</v>
      </c>
      <c r="G498">
        <v>30</v>
      </c>
      <c r="H498" t="s">
        <v>21</v>
      </c>
      <c r="I498" t="s">
        <v>25</v>
      </c>
      <c r="J498">
        <v>120</v>
      </c>
    </row>
    <row r="499" spans="1:10" x14ac:dyDescent="0.3">
      <c r="A499">
        <v>351</v>
      </c>
      <c r="B499" t="s">
        <v>31</v>
      </c>
      <c r="C499" s="1">
        <v>45863</v>
      </c>
      <c r="D499" t="s">
        <v>16</v>
      </c>
      <c r="E499" t="s">
        <v>12</v>
      </c>
      <c r="F499">
        <v>1</v>
      </c>
      <c r="G499">
        <v>25</v>
      </c>
      <c r="H499" t="s">
        <v>21</v>
      </c>
      <c r="I499" t="s">
        <v>27</v>
      </c>
      <c r="J499">
        <v>25</v>
      </c>
    </row>
    <row r="500" spans="1:10" x14ac:dyDescent="0.3">
      <c r="A500">
        <v>654</v>
      </c>
      <c r="B500" t="s">
        <v>15</v>
      </c>
      <c r="C500" s="1">
        <v>45855</v>
      </c>
      <c r="D500" t="s">
        <v>33</v>
      </c>
      <c r="E500" t="s">
        <v>17</v>
      </c>
      <c r="F500">
        <v>1</v>
      </c>
      <c r="G500">
        <v>12</v>
      </c>
      <c r="H500" t="s">
        <v>23</v>
      </c>
      <c r="I500" t="s">
        <v>27</v>
      </c>
      <c r="J500">
        <v>12</v>
      </c>
    </row>
    <row r="501" spans="1:10" x14ac:dyDescent="0.3">
      <c r="A501">
        <v>978</v>
      </c>
      <c r="B501" t="s">
        <v>19</v>
      </c>
      <c r="C501" s="1">
        <v>45895</v>
      </c>
      <c r="D501" t="s">
        <v>33</v>
      </c>
      <c r="E501" t="s">
        <v>17</v>
      </c>
      <c r="F501">
        <v>3</v>
      </c>
      <c r="G501">
        <v>12</v>
      </c>
      <c r="H501" t="s">
        <v>23</v>
      </c>
      <c r="I501" t="s">
        <v>27</v>
      </c>
      <c r="J501">
        <v>36</v>
      </c>
    </row>
    <row r="502" spans="1:10" x14ac:dyDescent="0.3">
      <c r="A502">
        <v>1090</v>
      </c>
      <c r="B502" t="s">
        <v>26</v>
      </c>
      <c r="C502" s="1">
        <v>45851</v>
      </c>
      <c r="D502" t="s">
        <v>16</v>
      </c>
      <c r="E502" t="s">
        <v>17</v>
      </c>
      <c r="F502">
        <v>3</v>
      </c>
      <c r="G502">
        <v>12</v>
      </c>
      <c r="H502" t="s">
        <v>21</v>
      </c>
      <c r="I502" t="s">
        <v>14</v>
      </c>
      <c r="J502">
        <v>36</v>
      </c>
    </row>
    <row r="503" spans="1:10" x14ac:dyDescent="0.3">
      <c r="A503">
        <v>1941</v>
      </c>
      <c r="B503" t="s">
        <v>28</v>
      </c>
      <c r="C503" s="1">
        <v>45878</v>
      </c>
      <c r="D503" t="s">
        <v>16</v>
      </c>
      <c r="E503" t="s">
        <v>30</v>
      </c>
      <c r="F503">
        <v>2</v>
      </c>
      <c r="G503">
        <v>8</v>
      </c>
      <c r="H503" t="s">
        <v>23</v>
      </c>
      <c r="I503" t="s">
        <v>14</v>
      </c>
      <c r="J503">
        <v>16</v>
      </c>
    </row>
    <row r="504" spans="1:10" x14ac:dyDescent="0.3">
      <c r="A504">
        <v>173</v>
      </c>
      <c r="B504" t="s">
        <v>32</v>
      </c>
      <c r="C504" s="1">
        <v>45893</v>
      </c>
      <c r="D504" t="s">
        <v>16</v>
      </c>
      <c r="E504" t="s">
        <v>17</v>
      </c>
      <c r="F504">
        <v>4</v>
      </c>
      <c r="G504">
        <v>12</v>
      </c>
      <c r="H504" t="s">
        <v>21</v>
      </c>
      <c r="I504" t="s">
        <v>14</v>
      </c>
      <c r="J504">
        <v>48</v>
      </c>
    </row>
    <row r="505" spans="1:10" x14ac:dyDescent="0.3">
      <c r="A505">
        <v>1238</v>
      </c>
      <c r="B505" t="s">
        <v>19</v>
      </c>
      <c r="C505" s="1">
        <v>45912</v>
      </c>
      <c r="D505" t="s">
        <v>11</v>
      </c>
      <c r="E505" t="s">
        <v>29</v>
      </c>
      <c r="F505">
        <v>5</v>
      </c>
      <c r="G505">
        <v>30</v>
      </c>
      <c r="H505" t="s">
        <v>21</v>
      </c>
      <c r="I505" t="s">
        <v>18</v>
      </c>
      <c r="J505">
        <v>150</v>
      </c>
    </row>
    <row r="506" spans="1:10" x14ac:dyDescent="0.3">
      <c r="A506">
        <v>1401</v>
      </c>
      <c r="B506" t="s">
        <v>32</v>
      </c>
      <c r="C506" s="1">
        <v>45895</v>
      </c>
      <c r="D506" t="s">
        <v>16</v>
      </c>
      <c r="E506" t="s">
        <v>17</v>
      </c>
      <c r="F506">
        <v>2</v>
      </c>
      <c r="G506">
        <v>12</v>
      </c>
      <c r="H506" t="s">
        <v>23</v>
      </c>
      <c r="I506" t="s">
        <v>25</v>
      </c>
      <c r="J506">
        <v>24</v>
      </c>
    </row>
    <row r="507" spans="1:10" x14ac:dyDescent="0.3">
      <c r="A507">
        <v>22</v>
      </c>
      <c r="B507" t="s">
        <v>15</v>
      </c>
      <c r="C507" s="1">
        <v>45886</v>
      </c>
      <c r="D507" t="s">
        <v>11</v>
      </c>
      <c r="E507" t="s">
        <v>12</v>
      </c>
      <c r="F507">
        <v>4</v>
      </c>
      <c r="G507">
        <v>25</v>
      </c>
      <c r="H507" t="s">
        <v>13</v>
      </c>
      <c r="I507" t="s">
        <v>27</v>
      </c>
      <c r="J507">
        <v>100</v>
      </c>
    </row>
    <row r="508" spans="1:10" x14ac:dyDescent="0.3">
      <c r="A508">
        <v>430</v>
      </c>
      <c r="B508" t="s">
        <v>31</v>
      </c>
      <c r="C508" s="1">
        <v>45866</v>
      </c>
      <c r="D508" t="s">
        <v>11</v>
      </c>
      <c r="E508" t="s">
        <v>22</v>
      </c>
      <c r="F508">
        <v>2</v>
      </c>
      <c r="G508">
        <v>20</v>
      </c>
      <c r="H508" t="s">
        <v>23</v>
      </c>
      <c r="I508" t="s">
        <v>25</v>
      </c>
      <c r="J508">
        <v>40</v>
      </c>
    </row>
    <row r="509" spans="1:10" x14ac:dyDescent="0.3">
      <c r="A509">
        <v>483</v>
      </c>
      <c r="B509" t="s">
        <v>15</v>
      </c>
      <c r="C509" s="1">
        <v>45917</v>
      </c>
      <c r="D509" t="s">
        <v>33</v>
      </c>
      <c r="E509" t="s">
        <v>29</v>
      </c>
      <c r="F509">
        <v>4</v>
      </c>
      <c r="G509">
        <v>30</v>
      </c>
      <c r="H509" t="s">
        <v>13</v>
      </c>
      <c r="I509" t="s">
        <v>27</v>
      </c>
      <c r="J509">
        <v>120</v>
      </c>
    </row>
    <row r="510" spans="1:10" x14ac:dyDescent="0.3">
      <c r="A510">
        <v>1651</v>
      </c>
      <c r="B510" t="s">
        <v>32</v>
      </c>
      <c r="C510" s="1">
        <v>45845</v>
      </c>
      <c r="D510" t="s">
        <v>20</v>
      </c>
      <c r="E510" t="s">
        <v>30</v>
      </c>
      <c r="F510">
        <v>2</v>
      </c>
      <c r="G510">
        <v>8</v>
      </c>
      <c r="H510" t="s">
        <v>23</v>
      </c>
      <c r="I510" t="s">
        <v>18</v>
      </c>
      <c r="J510">
        <v>16</v>
      </c>
    </row>
    <row r="511" spans="1:10" x14ac:dyDescent="0.3">
      <c r="A511">
        <v>767</v>
      </c>
      <c r="B511" t="s">
        <v>15</v>
      </c>
      <c r="C511" s="1">
        <v>45877</v>
      </c>
      <c r="D511" t="s">
        <v>20</v>
      </c>
      <c r="E511" t="s">
        <v>12</v>
      </c>
      <c r="F511">
        <v>4</v>
      </c>
      <c r="G511">
        <v>25</v>
      </c>
      <c r="H511" t="s">
        <v>21</v>
      </c>
      <c r="I511" t="s">
        <v>27</v>
      </c>
      <c r="J511">
        <v>100</v>
      </c>
    </row>
    <row r="512" spans="1:10" x14ac:dyDescent="0.3">
      <c r="A512">
        <v>1649</v>
      </c>
      <c r="B512" t="s">
        <v>24</v>
      </c>
      <c r="C512" s="1">
        <v>45921</v>
      </c>
      <c r="D512" t="s">
        <v>33</v>
      </c>
      <c r="E512" t="s">
        <v>12</v>
      </c>
      <c r="F512">
        <v>5</v>
      </c>
      <c r="G512">
        <v>25</v>
      </c>
      <c r="H512" t="s">
        <v>21</v>
      </c>
      <c r="I512" t="s">
        <v>27</v>
      </c>
      <c r="J512">
        <v>125</v>
      </c>
    </row>
    <row r="513" spans="1:10" x14ac:dyDescent="0.3">
      <c r="A513">
        <v>463</v>
      </c>
      <c r="B513" t="s">
        <v>10</v>
      </c>
      <c r="C513" s="1">
        <v>45855</v>
      </c>
      <c r="D513" t="s">
        <v>11</v>
      </c>
      <c r="E513" t="s">
        <v>12</v>
      </c>
      <c r="F513">
        <v>5</v>
      </c>
      <c r="G513">
        <v>25</v>
      </c>
      <c r="H513" t="s">
        <v>21</v>
      </c>
      <c r="I513" t="s">
        <v>14</v>
      </c>
      <c r="J513">
        <v>125</v>
      </c>
    </row>
    <row r="514" spans="1:10" x14ac:dyDescent="0.3">
      <c r="A514">
        <v>236</v>
      </c>
      <c r="B514" t="s">
        <v>31</v>
      </c>
      <c r="C514" s="1">
        <v>45922</v>
      </c>
      <c r="D514" t="s">
        <v>16</v>
      </c>
      <c r="E514" t="s">
        <v>12</v>
      </c>
      <c r="F514">
        <v>3</v>
      </c>
      <c r="G514">
        <v>25</v>
      </c>
      <c r="H514" t="s">
        <v>13</v>
      </c>
      <c r="I514" t="s">
        <v>14</v>
      </c>
      <c r="J514">
        <v>75</v>
      </c>
    </row>
    <row r="515" spans="1:10" x14ac:dyDescent="0.3">
      <c r="A515">
        <v>1336</v>
      </c>
      <c r="B515" t="s">
        <v>10</v>
      </c>
      <c r="C515" s="1">
        <v>45878</v>
      </c>
      <c r="D515" t="s">
        <v>33</v>
      </c>
      <c r="E515" t="s">
        <v>30</v>
      </c>
      <c r="F515">
        <v>3</v>
      </c>
      <c r="G515">
        <v>8</v>
      </c>
      <c r="H515" t="s">
        <v>23</v>
      </c>
      <c r="I515" t="s">
        <v>18</v>
      </c>
      <c r="J515">
        <v>24</v>
      </c>
    </row>
    <row r="516" spans="1:10" x14ac:dyDescent="0.3">
      <c r="A516">
        <v>1798</v>
      </c>
      <c r="B516" t="s">
        <v>26</v>
      </c>
      <c r="C516" s="1">
        <v>45892</v>
      </c>
      <c r="D516" t="s">
        <v>16</v>
      </c>
      <c r="E516" t="s">
        <v>17</v>
      </c>
      <c r="F516">
        <v>5</v>
      </c>
      <c r="G516">
        <v>12</v>
      </c>
      <c r="H516" t="s">
        <v>13</v>
      </c>
      <c r="I516" t="s">
        <v>27</v>
      </c>
      <c r="J516">
        <v>60</v>
      </c>
    </row>
    <row r="517" spans="1:10" x14ac:dyDescent="0.3">
      <c r="A517">
        <v>1453</v>
      </c>
      <c r="B517" t="s">
        <v>19</v>
      </c>
      <c r="C517" s="1">
        <v>45898</v>
      </c>
      <c r="D517" t="s">
        <v>16</v>
      </c>
      <c r="E517" t="s">
        <v>30</v>
      </c>
      <c r="F517">
        <v>5</v>
      </c>
      <c r="G517">
        <v>8</v>
      </c>
      <c r="H517" t="s">
        <v>21</v>
      </c>
      <c r="I517" t="s">
        <v>27</v>
      </c>
      <c r="J517">
        <v>40</v>
      </c>
    </row>
    <row r="518" spans="1:10" x14ac:dyDescent="0.3">
      <c r="A518">
        <v>1581</v>
      </c>
      <c r="B518" t="s">
        <v>31</v>
      </c>
      <c r="C518" s="1">
        <v>45871</v>
      </c>
      <c r="D518" t="s">
        <v>11</v>
      </c>
      <c r="E518" t="s">
        <v>17</v>
      </c>
      <c r="F518">
        <v>5</v>
      </c>
      <c r="G518">
        <v>12</v>
      </c>
      <c r="H518" t="s">
        <v>21</v>
      </c>
      <c r="I518" t="s">
        <v>25</v>
      </c>
      <c r="J518">
        <v>60</v>
      </c>
    </row>
    <row r="519" spans="1:10" x14ac:dyDescent="0.3">
      <c r="A519">
        <v>294</v>
      </c>
      <c r="B519" t="s">
        <v>26</v>
      </c>
      <c r="C519" s="1">
        <v>45854</v>
      </c>
      <c r="D519" t="s">
        <v>16</v>
      </c>
      <c r="E519" t="s">
        <v>12</v>
      </c>
      <c r="F519">
        <v>4</v>
      </c>
      <c r="G519">
        <v>25</v>
      </c>
      <c r="H519" t="s">
        <v>21</v>
      </c>
      <c r="I519" t="s">
        <v>25</v>
      </c>
      <c r="J519">
        <v>100</v>
      </c>
    </row>
    <row r="520" spans="1:10" x14ac:dyDescent="0.3">
      <c r="A520">
        <v>880</v>
      </c>
      <c r="B520" t="s">
        <v>15</v>
      </c>
      <c r="C520" s="1">
        <v>45867</v>
      </c>
      <c r="D520" t="s">
        <v>16</v>
      </c>
      <c r="E520" t="s">
        <v>17</v>
      </c>
      <c r="F520">
        <v>2</v>
      </c>
      <c r="G520">
        <v>12</v>
      </c>
      <c r="H520" t="s">
        <v>23</v>
      </c>
      <c r="I520" t="s">
        <v>18</v>
      </c>
      <c r="J520">
        <v>24</v>
      </c>
    </row>
    <row r="521" spans="1:10" x14ac:dyDescent="0.3">
      <c r="A521">
        <v>616</v>
      </c>
      <c r="B521" t="s">
        <v>32</v>
      </c>
      <c r="C521" s="1">
        <v>45897</v>
      </c>
      <c r="D521" t="s">
        <v>16</v>
      </c>
      <c r="E521" t="s">
        <v>17</v>
      </c>
      <c r="F521">
        <v>1</v>
      </c>
      <c r="G521">
        <v>12</v>
      </c>
      <c r="H521" t="s">
        <v>13</v>
      </c>
      <c r="I521" t="s">
        <v>27</v>
      </c>
      <c r="J521">
        <v>12</v>
      </c>
    </row>
    <row r="522" spans="1:10" x14ac:dyDescent="0.3">
      <c r="A522">
        <v>141</v>
      </c>
      <c r="B522" t="s">
        <v>19</v>
      </c>
      <c r="C522" s="1">
        <v>45860</v>
      </c>
      <c r="D522" t="s">
        <v>16</v>
      </c>
      <c r="E522" t="s">
        <v>22</v>
      </c>
      <c r="F522">
        <v>2</v>
      </c>
      <c r="G522">
        <v>20</v>
      </c>
      <c r="H522" t="s">
        <v>13</v>
      </c>
      <c r="I522" t="s">
        <v>14</v>
      </c>
      <c r="J522">
        <v>40</v>
      </c>
    </row>
    <row r="523" spans="1:10" x14ac:dyDescent="0.3">
      <c r="A523">
        <v>1535</v>
      </c>
      <c r="B523" t="s">
        <v>32</v>
      </c>
      <c r="C523" s="1">
        <v>45842</v>
      </c>
      <c r="D523" t="s">
        <v>16</v>
      </c>
      <c r="E523" t="s">
        <v>17</v>
      </c>
      <c r="F523">
        <v>1</v>
      </c>
      <c r="G523">
        <v>12</v>
      </c>
      <c r="H523" t="s">
        <v>13</v>
      </c>
      <c r="I523" t="s">
        <v>27</v>
      </c>
      <c r="J523">
        <v>12</v>
      </c>
    </row>
    <row r="524" spans="1:10" x14ac:dyDescent="0.3">
      <c r="A524">
        <v>859</v>
      </c>
      <c r="B524" t="s">
        <v>26</v>
      </c>
      <c r="C524" s="1">
        <v>45899</v>
      </c>
      <c r="D524" t="s">
        <v>33</v>
      </c>
      <c r="E524" t="s">
        <v>17</v>
      </c>
      <c r="F524">
        <v>2</v>
      </c>
      <c r="G524">
        <v>12</v>
      </c>
      <c r="H524" t="s">
        <v>13</v>
      </c>
      <c r="I524" t="s">
        <v>14</v>
      </c>
      <c r="J524">
        <v>24</v>
      </c>
    </row>
    <row r="525" spans="1:10" x14ac:dyDescent="0.3">
      <c r="A525">
        <v>621</v>
      </c>
      <c r="B525" t="s">
        <v>31</v>
      </c>
      <c r="C525" s="1">
        <v>45903</v>
      </c>
      <c r="D525" t="s">
        <v>11</v>
      </c>
      <c r="E525" t="s">
        <v>30</v>
      </c>
      <c r="F525">
        <v>2</v>
      </c>
      <c r="G525">
        <v>8</v>
      </c>
      <c r="H525" t="s">
        <v>21</v>
      </c>
      <c r="I525" t="s">
        <v>25</v>
      </c>
      <c r="J525">
        <v>16</v>
      </c>
    </row>
    <row r="526" spans="1:10" x14ac:dyDescent="0.3">
      <c r="A526">
        <v>745</v>
      </c>
      <c r="B526" t="s">
        <v>32</v>
      </c>
      <c r="C526" s="1">
        <v>45864</v>
      </c>
      <c r="D526" t="s">
        <v>33</v>
      </c>
      <c r="E526" t="s">
        <v>12</v>
      </c>
      <c r="F526">
        <v>1</v>
      </c>
      <c r="G526">
        <v>25</v>
      </c>
      <c r="H526" t="s">
        <v>23</v>
      </c>
      <c r="I526" t="s">
        <v>14</v>
      </c>
      <c r="J526">
        <v>25</v>
      </c>
    </row>
    <row r="527" spans="1:10" x14ac:dyDescent="0.3">
      <c r="A527">
        <v>272</v>
      </c>
      <c r="B527" t="s">
        <v>19</v>
      </c>
      <c r="C527" s="1">
        <v>45888</v>
      </c>
      <c r="D527" t="s">
        <v>33</v>
      </c>
      <c r="E527" t="s">
        <v>17</v>
      </c>
      <c r="F527">
        <v>3</v>
      </c>
      <c r="G527">
        <v>12</v>
      </c>
      <c r="H527" t="s">
        <v>23</v>
      </c>
      <c r="I527" t="s">
        <v>14</v>
      </c>
      <c r="J527">
        <v>36</v>
      </c>
    </row>
    <row r="528" spans="1:10" x14ac:dyDescent="0.3">
      <c r="A528">
        <v>25</v>
      </c>
      <c r="B528" t="s">
        <v>31</v>
      </c>
      <c r="C528" s="1">
        <v>45839</v>
      </c>
      <c r="D528" t="s">
        <v>33</v>
      </c>
      <c r="E528" t="s">
        <v>17</v>
      </c>
      <c r="F528">
        <v>3</v>
      </c>
      <c r="G528">
        <v>12</v>
      </c>
      <c r="H528" t="s">
        <v>13</v>
      </c>
      <c r="I528" t="s">
        <v>27</v>
      </c>
      <c r="J528">
        <v>36</v>
      </c>
    </row>
    <row r="529" spans="1:10" x14ac:dyDescent="0.3">
      <c r="A529">
        <v>895</v>
      </c>
      <c r="B529" t="s">
        <v>31</v>
      </c>
      <c r="C529" s="1">
        <v>45875</v>
      </c>
      <c r="D529" t="s">
        <v>11</v>
      </c>
      <c r="E529" t="s">
        <v>17</v>
      </c>
      <c r="F529">
        <v>3</v>
      </c>
      <c r="G529">
        <v>12</v>
      </c>
      <c r="H529" t="s">
        <v>13</v>
      </c>
      <c r="I529" t="s">
        <v>27</v>
      </c>
      <c r="J529">
        <v>36</v>
      </c>
    </row>
    <row r="530" spans="1:10" x14ac:dyDescent="0.3">
      <c r="A530">
        <v>827</v>
      </c>
      <c r="B530" t="s">
        <v>32</v>
      </c>
      <c r="C530" s="1">
        <v>45904</v>
      </c>
      <c r="D530" t="s">
        <v>20</v>
      </c>
      <c r="E530" t="s">
        <v>30</v>
      </c>
      <c r="F530">
        <v>2</v>
      </c>
      <c r="G530">
        <v>8</v>
      </c>
      <c r="H530" t="s">
        <v>13</v>
      </c>
      <c r="I530" t="s">
        <v>27</v>
      </c>
      <c r="J530">
        <v>16</v>
      </c>
    </row>
    <row r="531" spans="1:10" x14ac:dyDescent="0.3">
      <c r="A531">
        <v>1307</v>
      </c>
      <c r="B531" t="s">
        <v>19</v>
      </c>
      <c r="C531" s="1">
        <v>45841</v>
      </c>
      <c r="D531" t="s">
        <v>20</v>
      </c>
      <c r="E531" t="s">
        <v>17</v>
      </c>
      <c r="F531">
        <v>2</v>
      </c>
      <c r="G531">
        <v>12</v>
      </c>
      <c r="H531" t="s">
        <v>21</v>
      </c>
      <c r="I531" t="s">
        <v>27</v>
      </c>
      <c r="J531">
        <v>24</v>
      </c>
    </row>
    <row r="532" spans="1:10" x14ac:dyDescent="0.3">
      <c r="A532">
        <v>917</v>
      </c>
      <c r="B532" t="s">
        <v>26</v>
      </c>
      <c r="C532" s="1">
        <v>45861</v>
      </c>
      <c r="D532" t="s">
        <v>11</v>
      </c>
      <c r="E532" t="s">
        <v>30</v>
      </c>
      <c r="F532">
        <v>2</v>
      </c>
      <c r="G532">
        <v>8</v>
      </c>
      <c r="H532" t="s">
        <v>21</v>
      </c>
      <c r="I532" t="s">
        <v>18</v>
      </c>
      <c r="J532">
        <v>16</v>
      </c>
    </row>
    <row r="533" spans="1:10" x14ac:dyDescent="0.3">
      <c r="A533">
        <v>241</v>
      </c>
      <c r="B533" t="s">
        <v>26</v>
      </c>
      <c r="C533" s="1">
        <v>45852</v>
      </c>
      <c r="D533" t="s">
        <v>11</v>
      </c>
      <c r="E533" t="s">
        <v>30</v>
      </c>
      <c r="F533">
        <v>4</v>
      </c>
      <c r="G533">
        <v>8</v>
      </c>
      <c r="H533" t="s">
        <v>21</v>
      </c>
      <c r="I533" t="s">
        <v>25</v>
      </c>
      <c r="J533">
        <v>32</v>
      </c>
    </row>
    <row r="534" spans="1:10" x14ac:dyDescent="0.3">
      <c r="A534">
        <v>1504</v>
      </c>
      <c r="B534" t="s">
        <v>32</v>
      </c>
      <c r="C534" s="1">
        <v>45930</v>
      </c>
      <c r="D534" t="s">
        <v>11</v>
      </c>
      <c r="E534" t="s">
        <v>17</v>
      </c>
      <c r="F534">
        <v>2</v>
      </c>
      <c r="G534">
        <v>12</v>
      </c>
      <c r="H534" t="s">
        <v>21</v>
      </c>
      <c r="I534" t="s">
        <v>14</v>
      </c>
      <c r="J534">
        <v>24</v>
      </c>
    </row>
    <row r="535" spans="1:10" x14ac:dyDescent="0.3">
      <c r="A535">
        <v>1392</v>
      </c>
      <c r="B535" t="s">
        <v>10</v>
      </c>
      <c r="C535" s="1">
        <v>45892</v>
      </c>
      <c r="D535" t="s">
        <v>11</v>
      </c>
      <c r="E535" t="s">
        <v>22</v>
      </c>
      <c r="F535">
        <v>2</v>
      </c>
      <c r="G535">
        <v>20</v>
      </c>
      <c r="H535" t="s">
        <v>13</v>
      </c>
      <c r="I535" t="s">
        <v>18</v>
      </c>
      <c r="J535">
        <v>40</v>
      </c>
    </row>
    <row r="536" spans="1:10" x14ac:dyDescent="0.3">
      <c r="A536">
        <v>634</v>
      </c>
      <c r="B536" t="s">
        <v>10</v>
      </c>
      <c r="C536" s="1">
        <v>45905</v>
      </c>
      <c r="D536" t="s">
        <v>11</v>
      </c>
      <c r="E536" t="s">
        <v>17</v>
      </c>
      <c r="F536">
        <v>2</v>
      </c>
      <c r="G536">
        <v>12</v>
      </c>
      <c r="H536" t="s">
        <v>21</v>
      </c>
      <c r="I536" t="s">
        <v>25</v>
      </c>
      <c r="J536">
        <v>24</v>
      </c>
    </row>
    <row r="537" spans="1:10" x14ac:dyDescent="0.3">
      <c r="A537">
        <v>1671</v>
      </c>
      <c r="B537" t="s">
        <v>10</v>
      </c>
      <c r="C537" s="1">
        <v>45885</v>
      </c>
      <c r="D537" t="s">
        <v>11</v>
      </c>
      <c r="E537" t="s">
        <v>17</v>
      </c>
      <c r="F537">
        <v>2</v>
      </c>
      <c r="G537">
        <v>12</v>
      </c>
      <c r="H537" t="s">
        <v>13</v>
      </c>
      <c r="I537" t="s">
        <v>27</v>
      </c>
      <c r="J537">
        <v>24</v>
      </c>
    </row>
    <row r="538" spans="1:10" x14ac:dyDescent="0.3">
      <c r="A538">
        <v>1888</v>
      </c>
      <c r="B538" t="s">
        <v>10</v>
      </c>
      <c r="C538" s="1">
        <v>45883</v>
      </c>
      <c r="D538" t="s">
        <v>11</v>
      </c>
      <c r="E538" t="s">
        <v>12</v>
      </c>
      <c r="F538">
        <v>3</v>
      </c>
      <c r="G538">
        <v>25</v>
      </c>
      <c r="H538" t="s">
        <v>21</v>
      </c>
      <c r="I538" t="s">
        <v>27</v>
      </c>
      <c r="J538">
        <v>75</v>
      </c>
    </row>
    <row r="539" spans="1:10" x14ac:dyDescent="0.3">
      <c r="A539">
        <v>1168</v>
      </c>
      <c r="B539" t="s">
        <v>10</v>
      </c>
      <c r="C539" s="1">
        <v>45874</v>
      </c>
      <c r="D539" t="s">
        <v>11</v>
      </c>
      <c r="E539" t="s">
        <v>17</v>
      </c>
      <c r="F539">
        <v>1</v>
      </c>
      <c r="G539">
        <v>12</v>
      </c>
      <c r="H539" t="s">
        <v>23</v>
      </c>
      <c r="I539" t="s">
        <v>27</v>
      </c>
      <c r="J539">
        <v>12</v>
      </c>
    </row>
    <row r="540" spans="1:10" x14ac:dyDescent="0.3">
      <c r="A540">
        <v>1543</v>
      </c>
      <c r="B540" t="s">
        <v>10</v>
      </c>
      <c r="C540" s="1">
        <v>45905</v>
      </c>
      <c r="D540" t="s">
        <v>11</v>
      </c>
      <c r="E540" t="s">
        <v>17</v>
      </c>
      <c r="F540">
        <v>1</v>
      </c>
      <c r="G540">
        <v>12</v>
      </c>
      <c r="H540" t="s">
        <v>13</v>
      </c>
      <c r="I540" t="s">
        <v>14</v>
      </c>
      <c r="J540">
        <v>12</v>
      </c>
    </row>
    <row r="541" spans="1:10" x14ac:dyDescent="0.3">
      <c r="A541">
        <v>1656</v>
      </c>
      <c r="B541" t="s">
        <v>10</v>
      </c>
      <c r="C541" s="1">
        <v>45846</v>
      </c>
      <c r="D541" t="s">
        <v>11</v>
      </c>
      <c r="E541" t="s">
        <v>17</v>
      </c>
      <c r="F541">
        <v>1</v>
      </c>
      <c r="G541">
        <v>12</v>
      </c>
      <c r="H541" t="s">
        <v>13</v>
      </c>
      <c r="I541" t="s">
        <v>18</v>
      </c>
      <c r="J541">
        <v>12</v>
      </c>
    </row>
    <row r="542" spans="1:10" x14ac:dyDescent="0.3">
      <c r="A542">
        <v>1482</v>
      </c>
      <c r="B542" t="s">
        <v>10</v>
      </c>
      <c r="C542" s="1">
        <v>45892</v>
      </c>
      <c r="D542" t="s">
        <v>11</v>
      </c>
      <c r="E542" t="s">
        <v>12</v>
      </c>
      <c r="F542">
        <v>5</v>
      </c>
      <c r="G542">
        <v>25</v>
      </c>
      <c r="H542" t="s">
        <v>23</v>
      </c>
      <c r="I542" t="s">
        <v>25</v>
      </c>
      <c r="J542">
        <v>125</v>
      </c>
    </row>
    <row r="543" spans="1:10" x14ac:dyDescent="0.3">
      <c r="A543">
        <v>1372</v>
      </c>
      <c r="B543" t="s">
        <v>10</v>
      </c>
      <c r="C543" s="1">
        <v>45920</v>
      </c>
      <c r="D543" t="s">
        <v>11</v>
      </c>
      <c r="E543" t="s">
        <v>12</v>
      </c>
      <c r="F543">
        <v>3</v>
      </c>
      <c r="G543">
        <v>25</v>
      </c>
      <c r="H543" t="s">
        <v>23</v>
      </c>
      <c r="I543" t="s">
        <v>25</v>
      </c>
      <c r="J543">
        <v>75</v>
      </c>
    </row>
    <row r="544" spans="1:10" x14ac:dyDescent="0.3">
      <c r="A544">
        <v>285</v>
      </c>
      <c r="B544" t="s">
        <v>26</v>
      </c>
      <c r="C544" s="1">
        <v>45902</v>
      </c>
      <c r="D544" t="s">
        <v>11</v>
      </c>
      <c r="E544" t="s">
        <v>17</v>
      </c>
      <c r="F544">
        <v>3</v>
      </c>
      <c r="G544">
        <v>12</v>
      </c>
      <c r="H544" t="s">
        <v>21</v>
      </c>
      <c r="I544" t="s">
        <v>18</v>
      </c>
      <c r="J544">
        <v>36</v>
      </c>
    </row>
    <row r="545" spans="1:10" x14ac:dyDescent="0.3">
      <c r="A545">
        <v>542</v>
      </c>
      <c r="B545" t="s">
        <v>26</v>
      </c>
      <c r="C545" s="1">
        <v>45899</v>
      </c>
      <c r="D545" t="s">
        <v>11</v>
      </c>
      <c r="E545" t="s">
        <v>30</v>
      </c>
      <c r="F545">
        <v>4</v>
      </c>
      <c r="G545">
        <v>8</v>
      </c>
      <c r="H545" t="s">
        <v>21</v>
      </c>
      <c r="I545" t="s">
        <v>27</v>
      </c>
      <c r="J545">
        <v>32</v>
      </c>
    </row>
    <row r="546" spans="1:10" x14ac:dyDescent="0.3">
      <c r="A546">
        <v>1613</v>
      </c>
      <c r="B546" t="s">
        <v>19</v>
      </c>
      <c r="C546" s="1">
        <v>45876</v>
      </c>
      <c r="D546" t="s">
        <v>11</v>
      </c>
      <c r="E546" t="s">
        <v>17</v>
      </c>
      <c r="F546">
        <v>4</v>
      </c>
      <c r="G546">
        <v>12</v>
      </c>
      <c r="H546" t="s">
        <v>21</v>
      </c>
      <c r="I546" t="s">
        <v>25</v>
      </c>
      <c r="J546">
        <v>48</v>
      </c>
    </row>
    <row r="547" spans="1:10" x14ac:dyDescent="0.3">
      <c r="A547">
        <v>1237</v>
      </c>
      <c r="B547" t="s">
        <v>24</v>
      </c>
      <c r="C547" s="1">
        <v>45909</v>
      </c>
      <c r="D547" t="s">
        <v>11</v>
      </c>
      <c r="E547" t="s">
        <v>17</v>
      </c>
      <c r="F547">
        <v>5</v>
      </c>
      <c r="G547">
        <v>12</v>
      </c>
      <c r="H547" t="s">
        <v>13</v>
      </c>
      <c r="I547" t="s">
        <v>18</v>
      </c>
      <c r="J547">
        <v>60</v>
      </c>
    </row>
    <row r="548" spans="1:10" x14ac:dyDescent="0.3">
      <c r="A548">
        <v>434</v>
      </c>
      <c r="B548" t="s">
        <v>19</v>
      </c>
      <c r="C548" s="1">
        <v>45852</v>
      </c>
      <c r="D548" t="s">
        <v>11</v>
      </c>
      <c r="E548" t="s">
        <v>17</v>
      </c>
      <c r="F548">
        <v>1</v>
      </c>
      <c r="G548">
        <v>12</v>
      </c>
      <c r="H548" t="s">
        <v>23</v>
      </c>
      <c r="I548" t="s">
        <v>27</v>
      </c>
      <c r="J548">
        <v>12</v>
      </c>
    </row>
    <row r="549" spans="1:10" x14ac:dyDescent="0.3">
      <c r="A549">
        <v>1522</v>
      </c>
      <c r="B549" t="s">
        <v>24</v>
      </c>
      <c r="C549" s="1">
        <v>45849</v>
      </c>
      <c r="D549" t="s">
        <v>11</v>
      </c>
      <c r="E549" t="s">
        <v>17</v>
      </c>
      <c r="F549">
        <v>5</v>
      </c>
      <c r="G549">
        <v>12</v>
      </c>
      <c r="H549" t="s">
        <v>13</v>
      </c>
      <c r="I549" t="s">
        <v>27</v>
      </c>
      <c r="J549">
        <v>60</v>
      </c>
    </row>
    <row r="550" spans="1:10" x14ac:dyDescent="0.3">
      <c r="A550">
        <v>21</v>
      </c>
      <c r="B550" t="s">
        <v>10</v>
      </c>
      <c r="C550" s="1">
        <v>45880</v>
      </c>
      <c r="D550" t="s">
        <v>11</v>
      </c>
      <c r="E550" t="s">
        <v>29</v>
      </c>
      <c r="F550">
        <v>4</v>
      </c>
      <c r="G550">
        <v>30</v>
      </c>
      <c r="H550" t="s">
        <v>13</v>
      </c>
      <c r="I550" t="s">
        <v>27</v>
      </c>
      <c r="J550">
        <v>120</v>
      </c>
    </row>
    <row r="551" spans="1:10" x14ac:dyDescent="0.3">
      <c r="A551">
        <v>764</v>
      </c>
      <c r="B551" t="s">
        <v>26</v>
      </c>
      <c r="C551" s="1">
        <v>45865</v>
      </c>
      <c r="D551" t="s">
        <v>11</v>
      </c>
      <c r="E551" t="s">
        <v>17</v>
      </c>
      <c r="F551">
        <v>1</v>
      </c>
      <c r="G551">
        <v>12</v>
      </c>
      <c r="H551" t="s">
        <v>23</v>
      </c>
      <c r="I551" t="s">
        <v>27</v>
      </c>
      <c r="J551">
        <v>12</v>
      </c>
    </row>
    <row r="552" spans="1:10" x14ac:dyDescent="0.3">
      <c r="A552">
        <v>1874</v>
      </c>
      <c r="B552" t="s">
        <v>10</v>
      </c>
      <c r="C552" s="1">
        <v>45871</v>
      </c>
      <c r="D552" t="s">
        <v>11</v>
      </c>
      <c r="E552" t="s">
        <v>22</v>
      </c>
      <c r="F552">
        <v>2</v>
      </c>
      <c r="G552">
        <v>20</v>
      </c>
      <c r="H552" t="s">
        <v>21</v>
      </c>
      <c r="I552" t="s">
        <v>25</v>
      </c>
      <c r="J552">
        <v>40</v>
      </c>
    </row>
    <row r="553" spans="1:10" x14ac:dyDescent="0.3">
      <c r="A553">
        <v>928</v>
      </c>
      <c r="B553" t="s">
        <v>31</v>
      </c>
      <c r="C553" s="1">
        <v>45865</v>
      </c>
      <c r="D553" t="s">
        <v>11</v>
      </c>
      <c r="E553" t="s">
        <v>29</v>
      </c>
      <c r="F553">
        <v>2</v>
      </c>
      <c r="G553">
        <v>30</v>
      </c>
      <c r="H553" t="s">
        <v>23</v>
      </c>
      <c r="I553" t="s">
        <v>27</v>
      </c>
      <c r="J553">
        <v>60</v>
      </c>
    </row>
    <row r="554" spans="1:10" x14ac:dyDescent="0.3">
      <c r="A554">
        <v>1850</v>
      </c>
      <c r="B554" t="s">
        <v>26</v>
      </c>
      <c r="C554" s="1">
        <v>45865</v>
      </c>
      <c r="D554" t="s">
        <v>11</v>
      </c>
      <c r="E554" t="s">
        <v>17</v>
      </c>
      <c r="F554">
        <v>1</v>
      </c>
      <c r="G554">
        <v>12</v>
      </c>
      <c r="H554" t="s">
        <v>23</v>
      </c>
      <c r="I554" t="s">
        <v>27</v>
      </c>
      <c r="J554">
        <v>12</v>
      </c>
    </row>
    <row r="555" spans="1:10" x14ac:dyDescent="0.3">
      <c r="A555">
        <v>735</v>
      </c>
      <c r="B555" t="s">
        <v>26</v>
      </c>
      <c r="C555" s="1">
        <v>45869</v>
      </c>
      <c r="D555" t="s">
        <v>11</v>
      </c>
      <c r="E555" t="s">
        <v>29</v>
      </c>
      <c r="F555">
        <v>4</v>
      </c>
      <c r="G555">
        <v>30</v>
      </c>
      <c r="H555" t="s">
        <v>23</v>
      </c>
      <c r="I555" t="s">
        <v>27</v>
      </c>
      <c r="J555">
        <v>120</v>
      </c>
    </row>
    <row r="556" spans="1:10" x14ac:dyDescent="0.3">
      <c r="A556">
        <v>611</v>
      </c>
      <c r="B556" t="s">
        <v>15</v>
      </c>
      <c r="C556" s="1">
        <v>45879</v>
      </c>
      <c r="D556" t="s">
        <v>11</v>
      </c>
      <c r="E556" t="s">
        <v>22</v>
      </c>
      <c r="F556">
        <v>2</v>
      </c>
      <c r="G556">
        <v>20</v>
      </c>
      <c r="H556" t="s">
        <v>13</v>
      </c>
      <c r="I556" t="s">
        <v>18</v>
      </c>
      <c r="J556">
        <v>40</v>
      </c>
    </row>
    <row r="557" spans="1:10" x14ac:dyDescent="0.3">
      <c r="A557">
        <v>609</v>
      </c>
      <c r="B557" t="s">
        <v>31</v>
      </c>
      <c r="C557" s="1">
        <v>45893</v>
      </c>
      <c r="D557" t="s">
        <v>11</v>
      </c>
      <c r="E557" t="s">
        <v>30</v>
      </c>
      <c r="F557">
        <v>3</v>
      </c>
      <c r="G557">
        <v>8</v>
      </c>
      <c r="H557" t="s">
        <v>13</v>
      </c>
      <c r="I557" t="s">
        <v>25</v>
      </c>
      <c r="J557">
        <v>24</v>
      </c>
    </row>
    <row r="558" spans="1:10" x14ac:dyDescent="0.3">
      <c r="A558">
        <v>196</v>
      </c>
      <c r="B558" t="s">
        <v>26</v>
      </c>
      <c r="C558" s="1">
        <v>45855</v>
      </c>
      <c r="D558" t="s">
        <v>11</v>
      </c>
      <c r="E558" t="s">
        <v>17</v>
      </c>
      <c r="F558">
        <v>3</v>
      </c>
      <c r="G558">
        <v>12</v>
      </c>
      <c r="H558" t="s">
        <v>21</v>
      </c>
      <c r="I558" t="s">
        <v>25</v>
      </c>
      <c r="J558">
        <v>36</v>
      </c>
    </row>
    <row r="559" spans="1:10" x14ac:dyDescent="0.3">
      <c r="A559">
        <v>1485</v>
      </c>
      <c r="B559" t="s">
        <v>28</v>
      </c>
      <c r="C559" s="1">
        <v>45882</v>
      </c>
      <c r="D559" t="s">
        <v>11</v>
      </c>
      <c r="E559" t="s">
        <v>12</v>
      </c>
      <c r="F559">
        <v>2</v>
      </c>
      <c r="G559">
        <v>25</v>
      </c>
      <c r="H559" t="s">
        <v>23</v>
      </c>
      <c r="I559" t="s">
        <v>14</v>
      </c>
      <c r="J559">
        <v>50</v>
      </c>
    </row>
    <row r="560" spans="1:10" x14ac:dyDescent="0.3">
      <c r="A560">
        <v>1388</v>
      </c>
      <c r="B560" t="s">
        <v>31</v>
      </c>
      <c r="C560" s="1">
        <v>45921</v>
      </c>
      <c r="D560" t="s">
        <v>11</v>
      </c>
      <c r="E560" t="s">
        <v>12</v>
      </c>
      <c r="F560">
        <v>1</v>
      </c>
      <c r="G560">
        <v>25</v>
      </c>
      <c r="H560" t="s">
        <v>13</v>
      </c>
      <c r="I560" t="s">
        <v>14</v>
      </c>
      <c r="J560">
        <v>25</v>
      </c>
    </row>
    <row r="561" spans="1:10" x14ac:dyDescent="0.3">
      <c r="A561">
        <v>1082</v>
      </c>
      <c r="B561" t="s">
        <v>15</v>
      </c>
      <c r="C561" s="1">
        <v>45880</v>
      </c>
      <c r="D561" t="s">
        <v>11</v>
      </c>
      <c r="E561" t="s">
        <v>22</v>
      </c>
      <c r="F561">
        <v>3</v>
      </c>
      <c r="G561">
        <v>20</v>
      </c>
      <c r="H561" t="s">
        <v>21</v>
      </c>
      <c r="I561" t="s">
        <v>14</v>
      </c>
      <c r="J561">
        <v>60</v>
      </c>
    </row>
    <row r="562" spans="1:10" x14ac:dyDescent="0.3">
      <c r="A562">
        <v>1705</v>
      </c>
      <c r="B562" t="s">
        <v>32</v>
      </c>
      <c r="C562" s="1">
        <v>45913</v>
      </c>
      <c r="D562" t="s">
        <v>11</v>
      </c>
      <c r="E562" t="s">
        <v>29</v>
      </c>
      <c r="F562">
        <v>4</v>
      </c>
      <c r="G562">
        <v>30</v>
      </c>
      <c r="H562" t="s">
        <v>21</v>
      </c>
      <c r="I562" t="s">
        <v>18</v>
      </c>
      <c r="J562">
        <v>120</v>
      </c>
    </row>
    <row r="563" spans="1:10" x14ac:dyDescent="0.3">
      <c r="A563">
        <v>1460</v>
      </c>
      <c r="B563" t="s">
        <v>32</v>
      </c>
      <c r="C563" s="1">
        <v>45887</v>
      </c>
      <c r="D563" t="s">
        <v>11</v>
      </c>
      <c r="E563" t="s">
        <v>12</v>
      </c>
      <c r="F563">
        <v>5</v>
      </c>
      <c r="G563">
        <v>25</v>
      </c>
      <c r="H563" t="s">
        <v>13</v>
      </c>
      <c r="I563" t="s">
        <v>25</v>
      </c>
      <c r="J563">
        <v>125</v>
      </c>
    </row>
    <row r="564" spans="1:10" x14ac:dyDescent="0.3">
      <c r="A564">
        <v>376</v>
      </c>
      <c r="B564" t="s">
        <v>31</v>
      </c>
      <c r="C564" s="1">
        <v>45889</v>
      </c>
      <c r="D564" t="s">
        <v>11</v>
      </c>
      <c r="E564" t="s">
        <v>17</v>
      </c>
      <c r="F564">
        <v>1</v>
      </c>
      <c r="G564">
        <v>12</v>
      </c>
      <c r="H564" t="s">
        <v>21</v>
      </c>
      <c r="I564" t="s">
        <v>14</v>
      </c>
      <c r="J564">
        <v>12</v>
      </c>
    </row>
    <row r="565" spans="1:10" x14ac:dyDescent="0.3">
      <c r="A565">
        <v>556</v>
      </c>
      <c r="B565" t="s">
        <v>19</v>
      </c>
      <c r="C565" s="1">
        <v>45900</v>
      </c>
      <c r="D565" t="s">
        <v>11</v>
      </c>
      <c r="E565" t="s">
        <v>29</v>
      </c>
      <c r="F565">
        <v>5</v>
      </c>
      <c r="G565">
        <v>30</v>
      </c>
      <c r="H565" t="s">
        <v>13</v>
      </c>
      <c r="I565" t="s">
        <v>14</v>
      </c>
      <c r="J565">
        <v>150</v>
      </c>
    </row>
    <row r="566" spans="1:10" x14ac:dyDescent="0.3">
      <c r="A566">
        <v>16</v>
      </c>
      <c r="B566" t="s">
        <v>15</v>
      </c>
      <c r="C566" s="1">
        <v>45916</v>
      </c>
      <c r="D566" t="s">
        <v>11</v>
      </c>
      <c r="E566" t="s">
        <v>17</v>
      </c>
      <c r="F566">
        <v>2</v>
      </c>
      <c r="G566">
        <v>12</v>
      </c>
      <c r="H566" t="s">
        <v>21</v>
      </c>
      <c r="I566" t="s">
        <v>25</v>
      </c>
      <c r="J566">
        <v>24</v>
      </c>
    </row>
    <row r="567" spans="1:10" x14ac:dyDescent="0.3">
      <c r="A567">
        <v>1752</v>
      </c>
      <c r="B567" t="s">
        <v>19</v>
      </c>
      <c r="C567" s="1">
        <v>45914</v>
      </c>
      <c r="D567" t="s">
        <v>11</v>
      </c>
      <c r="E567" t="s">
        <v>29</v>
      </c>
      <c r="F567">
        <v>4</v>
      </c>
      <c r="G567">
        <v>30</v>
      </c>
      <c r="H567" t="s">
        <v>23</v>
      </c>
      <c r="I567" t="s">
        <v>27</v>
      </c>
      <c r="J567">
        <v>120</v>
      </c>
    </row>
    <row r="568" spans="1:10" x14ac:dyDescent="0.3">
      <c r="A568">
        <v>1861</v>
      </c>
      <c r="B568" t="s">
        <v>10</v>
      </c>
      <c r="C568" s="1">
        <v>45886</v>
      </c>
      <c r="D568" t="s">
        <v>11</v>
      </c>
      <c r="E568" t="s">
        <v>22</v>
      </c>
      <c r="F568">
        <v>3</v>
      </c>
      <c r="G568">
        <v>20</v>
      </c>
      <c r="H568" t="s">
        <v>21</v>
      </c>
      <c r="I568" t="s">
        <v>25</v>
      </c>
      <c r="J568">
        <v>60</v>
      </c>
    </row>
    <row r="569" spans="1:10" x14ac:dyDescent="0.3">
      <c r="A569">
        <v>113</v>
      </c>
      <c r="B569" t="s">
        <v>19</v>
      </c>
      <c r="C569" s="1">
        <v>45892</v>
      </c>
      <c r="D569" t="s">
        <v>11</v>
      </c>
      <c r="E569" t="s">
        <v>17</v>
      </c>
      <c r="F569">
        <v>5</v>
      </c>
      <c r="G569">
        <v>12</v>
      </c>
      <c r="H569" t="s">
        <v>13</v>
      </c>
      <c r="I569" t="s">
        <v>18</v>
      </c>
      <c r="J569">
        <v>60</v>
      </c>
    </row>
    <row r="570" spans="1:10" x14ac:dyDescent="0.3">
      <c r="A570">
        <v>776</v>
      </c>
      <c r="B570" t="s">
        <v>15</v>
      </c>
      <c r="C570" s="1">
        <v>45888</v>
      </c>
      <c r="D570" t="s">
        <v>11</v>
      </c>
      <c r="E570" t="s">
        <v>17</v>
      </c>
      <c r="F570">
        <v>2</v>
      </c>
      <c r="G570">
        <v>12</v>
      </c>
      <c r="H570" t="s">
        <v>23</v>
      </c>
      <c r="I570" t="s">
        <v>14</v>
      </c>
      <c r="J570">
        <v>24</v>
      </c>
    </row>
    <row r="571" spans="1:10" x14ac:dyDescent="0.3">
      <c r="A571">
        <v>1302</v>
      </c>
      <c r="B571" t="s">
        <v>31</v>
      </c>
      <c r="C571" s="1">
        <v>45888</v>
      </c>
      <c r="D571" t="s">
        <v>11</v>
      </c>
      <c r="E571" t="s">
        <v>29</v>
      </c>
      <c r="F571">
        <v>3</v>
      </c>
      <c r="G571">
        <v>30</v>
      </c>
      <c r="H571" t="s">
        <v>21</v>
      </c>
      <c r="I571" t="s">
        <v>14</v>
      </c>
      <c r="J571">
        <v>90</v>
      </c>
    </row>
    <row r="572" spans="1:10" x14ac:dyDescent="0.3">
      <c r="A572">
        <v>924</v>
      </c>
      <c r="B572" t="s">
        <v>28</v>
      </c>
      <c r="C572" s="1">
        <v>45913</v>
      </c>
      <c r="D572" t="s">
        <v>11</v>
      </c>
      <c r="E572" t="s">
        <v>17</v>
      </c>
      <c r="F572">
        <v>1</v>
      </c>
      <c r="G572">
        <v>12</v>
      </c>
      <c r="H572" t="s">
        <v>13</v>
      </c>
      <c r="I572" t="s">
        <v>14</v>
      </c>
      <c r="J572">
        <v>12</v>
      </c>
    </row>
    <row r="573" spans="1:10" x14ac:dyDescent="0.3">
      <c r="A573">
        <v>239</v>
      </c>
      <c r="B573" t="s">
        <v>32</v>
      </c>
      <c r="C573" s="1">
        <v>45872</v>
      </c>
      <c r="D573" t="s">
        <v>11</v>
      </c>
      <c r="E573" t="s">
        <v>17</v>
      </c>
      <c r="F573">
        <v>4</v>
      </c>
      <c r="G573">
        <v>12</v>
      </c>
      <c r="H573" t="s">
        <v>21</v>
      </c>
      <c r="I573" t="s">
        <v>25</v>
      </c>
      <c r="J573">
        <v>48</v>
      </c>
    </row>
    <row r="574" spans="1:10" x14ac:dyDescent="0.3">
      <c r="A574">
        <v>315</v>
      </c>
      <c r="B574" t="s">
        <v>32</v>
      </c>
      <c r="C574" s="1">
        <v>45883</v>
      </c>
      <c r="D574" t="s">
        <v>11</v>
      </c>
      <c r="E574" t="s">
        <v>29</v>
      </c>
      <c r="F574">
        <v>4</v>
      </c>
      <c r="G574">
        <v>30</v>
      </c>
      <c r="H574" t="s">
        <v>13</v>
      </c>
      <c r="I574" t="s">
        <v>27</v>
      </c>
      <c r="J574">
        <v>120</v>
      </c>
    </row>
    <row r="575" spans="1:10" x14ac:dyDescent="0.3">
      <c r="A575">
        <v>914</v>
      </c>
      <c r="B575" t="s">
        <v>26</v>
      </c>
      <c r="C575" s="1">
        <v>45863</v>
      </c>
      <c r="D575" t="s">
        <v>11</v>
      </c>
      <c r="E575" t="s">
        <v>29</v>
      </c>
      <c r="F575">
        <v>4</v>
      </c>
      <c r="G575">
        <v>30</v>
      </c>
      <c r="H575" t="s">
        <v>21</v>
      </c>
      <c r="I575" t="s">
        <v>27</v>
      </c>
      <c r="J575">
        <v>120</v>
      </c>
    </row>
    <row r="576" spans="1:10" x14ac:dyDescent="0.3">
      <c r="A576">
        <v>1970</v>
      </c>
      <c r="B576" t="s">
        <v>24</v>
      </c>
      <c r="C576" s="1">
        <v>45885</v>
      </c>
      <c r="D576" t="s">
        <v>11</v>
      </c>
      <c r="E576" t="s">
        <v>17</v>
      </c>
      <c r="F576">
        <v>2</v>
      </c>
      <c r="G576">
        <v>12</v>
      </c>
      <c r="H576" t="s">
        <v>21</v>
      </c>
      <c r="I576" t="s">
        <v>27</v>
      </c>
      <c r="J576">
        <v>24</v>
      </c>
    </row>
    <row r="577" spans="1:10" x14ac:dyDescent="0.3">
      <c r="A577">
        <v>708</v>
      </c>
      <c r="B577" t="s">
        <v>19</v>
      </c>
      <c r="C577" s="1">
        <v>45906</v>
      </c>
      <c r="D577" t="s">
        <v>11</v>
      </c>
      <c r="E577" t="s">
        <v>17</v>
      </c>
      <c r="F577">
        <v>2</v>
      </c>
      <c r="G577">
        <v>12</v>
      </c>
      <c r="H577" t="s">
        <v>23</v>
      </c>
      <c r="I577" t="s">
        <v>14</v>
      </c>
      <c r="J577">
        <v>24</v>
      </c>
    </row>
    <row r="578" spans="1:10" x14ac:dyDescent="0.3">
      <c r="A578">
        <v>389</v>
      </c>
      <c r="B578" t="s">
        <v>24</v>
      </c>
      <c r="C578" s="1">
        <v>45852</v>
      </c>
      <c r="D578" t="s">
        <v>11</v>
      </c>
      <c r="E578" t="s">
        <v>30</v>
      </c>
      <c r="F578">
        <v>4</v>
      </c>
      <c r="G578">
        <v>8</v>
      </c>
      <c r="H578" t="s">
        <v>21</v>
      </c>
      <c r="I578" t="s">
        <v>18</v>
      </c>
      <c r="J578">
        <v>32</v>
      </c>
    </row>
    <row r="579" spans="1:10" x14ac:dyDescent="0.3">
      <c r="A579">
        <v>114</v>
      </c>
      <c r="B579" t="s">
        <v>10</v>
      </c>
      <c r="C579" s="1">
        <v>45904</v>
      </c>
      <c r="D579" t="s">
        <v>11</v>
      </c>
      <c r="E579" t="s">
        <v>22</v>
      </c>
      <c r="F579">
        <v>5</v>
      </c>
      <c r="G579">
        <v>20</v>
      </c>
      <c r="H579" t="s">
        <v>21</v>
      </c>
      <c r="I579" t="s">
        <v>25</v>
      </c>
      <c r="J579">
        <v>100</v>
      </c>
    </row>
    <row r="580" spans="1:10" x14ac:dyDescent="0.3">
      <c r="A580">
        <v>1648</v>
      </c>
      <c r="B580" t="s">
        <v>31</v>
      </c>
      <c r="C580" s="1">
        <v>45866</v>
      </c>
      <c r="D580" t="s">
        <v>11</v>
      </c>
      <c r="E580" t="s">
        <v>17</v>
      </c>
      <c r="F580">
        <v>4</v>
      </c>
      <c r="G580">
        <v>12</v>
      </c>
      <c r="H580" t="s">
        <v>21</v>
      </c>
      <c r="I580" t="s">
        <v>25</v>
      </c>
      <c r="J580">
        <v>48</v>
      </c>
    </row>
    <row r="581" spans="1:10" x14ac:dyDescent="0.3">
      <c r="A581">
        <v>1329</v>
      </c>
      <c r="B581" t="s">
        <v>10</v>
      </c>
      <c r="C581" s="1">
        <v>45872</v>
      </c>
      <c r="D581" t="s">
        <v>11</v>
      </c>
      <c r="E581" t="s">
        <v>17</v>
      </c>
      <c r="F581">
        <v>2</v>
      </c>
      <c r="G581">
        <v>12</v>
      </c>
      <c r="H581" t="s">
        <v>13</v>
      </c>
      <c r="I581" t="s">
        <v>18</v>
      </c>
      <c r="J581">
        <v>24</v>
      </c>
    </row>
    <row r="582" spans="1:10" x14ac:dyDescent="0.3">
      <c r="A582">
        <v>1735</v>
      </c>
      <c r="B582" t="s">
        <v>10</v>
      </c>
      <c r="C582" s="1">
        <v>45900</v>
      </c>
      <c r="D582" t="s">
        <v>11</v>
      </c>
      <c r="E582" t="s">
        <v>17</v>
      </c>
      <c r="F582">
        <v>1</v>
      </c>
      <c r="G582">
        <v>12</v>
      </c>
      <c r="H582" t="s">
        <v>23</v>
      </c>
      <c r="I582" t="s">
        <v>14</v>
      </c>
      <c r="J582">
        <v>12</v>
      </c>
    </row>
    <row r="583" spans="1:10" x14ac:dyDescent="0.3">
      <c r="A583">
        <v>1465</v>
      </c>
      <c r="B583" t="s">
        <v>10</v>
      </c>
      <c r="C583" s="1">
        <v>45887</v>
      </c>
      <c r="D583" t="s">
        <v>11</v>
      </c>
      <c r="E583" t="s">
        <v>17</v>
      </c>
      <c r="F583">
        <v>2</v>
      </c>
      <c r="G583">
        <v>12</v>
      </c>
      <c r="H583" t="s">
        <v>13</v>
      </c>
      <c r="I583" t="s">
        <v>14</v>
      </c>
      <c r="J583">
        <v>24</v>
      </c>
    </row>
    <row r="584" spans="1:10" x14ac:dyDescent="0.3">
      <c r="A584">
        <v>830</v>
      </c>
      <c r="B584" t="s">
        <v>10</v>
      </c>
      <c r="C584" s="1">
        <v>45896</v>
      </c>
      <c r="D584" t="s">
        <v>11</v>
      </c>
      <c r="E584" t="s">
        <v>17</v>
      </c>
      <c r="F584">
        <v>1</v>
      </c>
      <c r="G584">
        <v>12</v>
      </c>
      <c r="H584" t="s">
        <v>23</v>
      </c>
      <c r="I584" t="s">
        <v>18</v>
      </c>
      <c r="J584">
        <v>12</v>
      </c>
    </row>
    <row r="585" spans="1:10" x14ac:dyDescent="0.3">
      <c r="A585">
        <v>3</v>
      </c>
      <c r="B585" t="s">
        <v>10</v>
      </c>
      <c r="C585" s="1">
        <v>45895</v>
      </c>
      <c r="D585" t="s">
        <v>11</v>
      </c>
      <c r="E585" t="s">
        <v>29</v>
      </c>
      <c r="F585">
        <v>5</v>
      </c>
      <c r="G585">
        <v>30</v>
      </c>
      <c r="H585" t="s">
        <v>23</v>
      </c>
      <c r="I585" t="s">
        <v>27</v>
      </c>
      <c r="J585">
        <v>150</v>
      </c>
    </row>
    <row r="586" spans="1:10" x14ac:dyDescent="0.3">
      <c r="A586">
        <v>526</v>
      </c>
      <c r="B586" t="s">
        <v>10</v>
      </c>
      <c r="C586" s="1">
        <v>45913</v>
      </c>
      <c r="D586" t="s">
        <v>11</v>
      </c>
      <c r="E586" t="s">
        <v>17</v>
      </c>
      <c r="F586">
        <v>4</v>
      </c>
      <c r="G586">
        <v>12</v>
      </c>
      <c r="H586" t="s">
        <v>13</v>
      </c>
      <c r="I586" t="s">
        <v>27</v>
      </c>
      <c r="J586">
        <v>48</v>
      </c>
    </row>
    <row r="587" spans="1:10" x14ac:dyDescent="0.3">
      <c r="A587">
        <v>809</v>
      </c>
      <c r="B587" t="s">
        <v>10</v>
      </c>
      <c r="C587" s="1">
        <v>45864</v>
      </c>
      <c r="D587" t="s">
        <v>11</v>
      </c>
      <c r="E587" t="s">
        <v>17</v>
      </c>
      <c r="F587">
        <v>5</v>
      </c>
      <c r="G587">
        <v>12</v>
      </c>
      <c r="H587" t="s">
        <v>23</v>
      </c>
      <c r="I587" t="s">
        <v>14</v>
      </c>
      <c r="J587">
        <v>60</v>
      </c>
    </row>
    <row r="588" spans="1:10" x14ac:dyDescent="0.3">
      <c r="A588">
        <v>1745</v>
      </c>
      <c r="B588" t="s">
        <v>10</v>
      </c>
      <c r="C588" s="1">
        <v>45927</v>
      </c>
      <c r="D588" t="s">
        <v>11</v>
      </c>
      <c r="E588" t="s">
        <v>17</v>
      </c>
      <c r="F588">
        <v>2</v>
      </c>
      <c r="G588">
        <v>12</v>
      </c>
      <c r="H588" t="s">
        <v>13</v>
      </c>
      <c r="I588" t="s">
        <v>18</v>
      </c>
      <c r="J588">
        <v>24</v>
      </c>
    </row>
    <row r="589" spans="1:10" x14ac:dyDescent="0.3">
      <c r="A589">
        <v>1439</v>
      </c>
      <c r="B589" t="s">
        <v>19</v>
      </c>
      <c r="C589" s="1">
        <v>45874</v>
      </c>
      <c r="D589" t="s">
        <v>11</v>
      </c>
      <c r="E589" t="s">
        <v>29</v>
      </c>
      <c r="F589">
        <v>1</v>
      </c>
      <c r="G589">
        <v>30</v>
      </c>
      <c r="H589" t="s">
        <v>23</v>
      </c>
      <c r="I589" t="s">
        <v>18</v>
      </c>
      <c r="J589">
        <v>30</v>
      </c>
    </row>
    <row r="590" spans="1:10" x14ac:dyDescent="0.3">
      <c r="A590">
        <v>1552</v>
      </c>
      <c r="B590" t="s">
        <v>15</v>
      </c>
      <c r="C590" s="1">
        <v>45840</v>
      </c>
      <c r="D590" t="s">
        <v>11</v>
      </c>
      <c r="E590" t="s">
        <v>17</v>
      </c>
      <c r="F590">
        <v>1</v>
      </c>
      <c r="G590">
        <v>12</v>
      </c>
      <c r="H590" t="s">
        <v>23</v>
      </c>
      <c r="I590" t="s">
        <v>25</v>
      </c>
      <c r="J590">
        <v>12</v>
      </c>
    </row>
    <row r="591" spans="1:10" x14ac:dyDescent="0.3">
      <c r="A591">
        <v>1071</v>
      </c>
      <c r="B591" t="s">
        <v>15</v>
      </c>
      <c r="C591" s="1">
        <v>45902</v>
      </c>
      <c r="D591" t="s">
        <v>11</v>
      </c>
      <c r="E591" t="s">
        <v>30</v>
      </c>
      <c r="F591">
        <v>5</v>
      </c>
      <c r="G591">
        <v>8</v>
      </c>
      <c r="H591" t="s">
        <v>13</v>
      </c>
      <c r="I591" t="s">
        <v>18</v>
      </c>
      <c r="J591">
        <v>40</v>
      </c>
    </row>
    <row r="592" spans="1:10" x14ac:dyDescent="0.3">
      <c r="A592">
        <v>1087</v>
      </c>
      <c r="B592" t="s">
        <v>24</v>
      </c>
      <c r="C592" s="1">
        <v>45839</v>
      </c>
      <c r="D592" t="s">
        <v>11</v>
      </c>
      <c r="E592" t="s">
        <v>17</v>
      </c>
      <c r="F592">
        <v>3</v>
      </c>
      <c r="G592">
        <v>12</v>
      </c>
      <c r="H592" t="s">
        <v>23</v>
      </c>
      <c r="I592" t="s">
        <v>14</v>
      </c>
      <c r="J592">
        <v>36</v>
      </c>
    </row>
    <row r="593" spans="1:10" x14ac:dyDescent="0.3">
      <c r="A593">
        <v>1003</v>
      </c>
      <c r="B593" t="s">
        <v>24</v>
      </c>
      <c r="C593" s="1">
        <v>45878</v>
      </c>
      <c r="D593" t="s">
        <v>20</v>
      </c>
      <c r="E593" t="s">
        <v>17</v>
      </c>
      <c r="F593">
        <v>3</v>
      </c>
      <c r="G593">
        <v>12</v>
      </c>
      <c r="H593" t="s">
        <v>23</v>
      </c>
      <c r="I593" t="s">
        <v>25</v>
      </c>
      <c r="J593">
        <v>36</v>
      </c>
    </row>
    <row r="594" spans="1:10" x14ac:dyDescent="0.3">
      <c r="A594">
        <v>996</v>
      </c>
      <c r="B594" t="s">
        <v>15</v>
      </c>
      <c r="C594" s="1">
        <v>45872</v>
      </c>
      <c r="D594" t="s">
        <v>33</v>
      </c>
      <c r="E594" t="s">
        <v>22</v>
      </c>
      <c r="F594">
        <v>4</v>
      </c>
      <c r="G594">
        <v>20</v>
      </c>
      <c r="H594" t="s">
        <v>21</v>
      </c>
      <c r="I594" t="s">
        <v>18</v>
      </c>
      <c r="J594">
        <v>80</v>
      </c>
    </row>
    <row r="595" spans="1:10" x14ac:dyDescent="0.3">
      <c r="A595">
        <v>954</v>
      </c>
      <c r="B595" t="s">
        <v>31</v>
      </c>
      <c r="C595" s="1">
        <v>45921</v>
      </c>
      <c r="D595" t="s">
        <v>20</v>
      </c>
      <c r="E595" t="s">
        <v>17</v>
      </c>
      <c r="F595">
        <v>2</v>
      </c>
      <c r="G595">
        <v>12</v>
      </c>
      <c r="H595" t="s">
        <v>21</v>
      </c>
      <c r="I595" t="s">
        <v>18</v>
      </c>
      <c r="J595">
        <v>24</v>
      </c>
    </row>
    <row r="596" spans="1:10" x14ac:dyDescent="0.3">
      <c r="A596">
        <v>657</v>
      </c>
      <c r="B596" t="s">
        <v>28</v>
      </c>
      <c r="C596" s="1">
        <v>45892</v>
      </c>
      <c r="D596" t="s">
        <v>11</v>
      </c>
      <c r="E596" t="s">
        <v>22</v>
      </c>
      <c r="F596">
        <v>5</v>
      </c>
      <c r="G596">
        <v>20</v>
      </c>
      <c r="H596" t="s">
        <v>13</v>
      </c>
      <c r="I596" t="s">
        <v>25</v>
      </c>
      <c r="J596">
        <v>100</v>
      </c>
    </row>
    <row r="597" spans="1:10" x14ac:dyDescent="0.3">
      <c r="A597">
        <v>1598</v>
      </c>
      <c r="B597" t="s">
        <v>15</v>
      </c>
      <c r="C597" s="1">
        <v>45922</v>
      </c>
      <c r="D597" t="s">
        <v>11</v>
      </c>
      <c r="E597" t="s">
        <v>12</v>
      </c>
      <c r="F597">
        <v>2</v>
      </c>
      <c r="G597">
        <v>25</v>
      </c>
      <c r="H597" t="s">
        <v>13</v>
      </c>
      <c r="I597" t="s">
        <v>27</v>
      </c>
      <c r="J597">
        <v>50</v>
      </c>
    </row>
    <row r="598" spans="1:10" x14ac:dyDescent="0.3">
      <c r="A598">
        <v>183</v>
      </c>
      <c r="B598" t="s">
        <v>10</v>
      </c>
      <c r="C598" s="1">
        <v>45845</v>
      </c>
      <c r="D598" t="s">
        <v>11</v>
      </c>
      <c r="E598" t="s">
        <v>17</v>
      </c>
      <c r="F598">
        <v>4</v>
      </c>
      <c r="G598">
        <v>12</v>
      </c>
      <c r="H598" t="s">
        <v>23</v>
      </c>
      <c r="I598" t="s">
        <v>18</v>
      </c>
      <c r="J598">
        <v>48</v>
      </c>
    </row>
    <row r="599" spans="1:10" x14ac:dyDescent="0.3">
      <c r="A599">
        <v>1218</v>
      </c>
      <c r="B599" t="s">
        <v>26</v>
      </c>
      <c r="C599" s="1">
        <v>45855</v>
      </c>
      <c r="D599" t="s">
        <v>16</v>
      </c>
      <c r="E599" t="s">
        <v>17</v>
      </c>
      <c r="F599">
        <v>4</v>
      </c>
      <c r="G599">
        <v>12</v>
      </c>
      <c r="H599" t="s">
        <v>21</v>
      </c>
      <c r="I599" t="s">
        <v>25</v>
      </c>
      <c r="J599">
        <v>48</v>
      </c>
    </row>
    <row r="600" spans="1:10" x14ac:dyDescent="0.3">
      <c r="A600">
        <v>705</v>
      </c>
      <c r="B600" t="s">
        <v>15</v>
      </c>
      <c r="C600" s="1">
        <v>45853</v>
      </c>
      <c r="D600" t="s">
        <v>16</v>
      </c>
      <c r="E600" t="s">
        <v>30</v>
      </c>
      <c r="F600">
        <v>5</v>
      </c>
      <c r="G600">
        <v>8</v>
      </c>
      <c r="H600" t="s">
        <v>23</v>
      </c>
      <c r="I600" t="s">
        <v>18</v>
      </c>
      <c r="J600">
        <v>40</v>
      </c>
    </row>
    <row r="601" spans="1:10" x14ac:dyDescent="0.3">
      <c r="A601">
        <v>1373</v>
      </c>
      <c r="B601" t="s">
        <v>19</v>
      </c>
      <c r="C601" s="1">
        <v>45876</v>
      </c>
      <c r="D601" t="s">
        <v>16</v>
      </c>
      <c r="E601" t="s">
        <v>17</v>
      </c>
      <c r="F601">
        <v>3</v>
      </c>
      <c r="G601">
        <v>12</v>
      </c>
      <c r="H601" t="s">
        <v>21</v>
      </c>
      <c r="I601" t="s">
        <v>14</v>
      </c>
      <c r="J601">
        <v>36</v>
      </c>
    </row>
    <row r="602" spans="1:10" x14ac:dyDescent="0.3">
      <c r="A602">
        <v>1190</v>
      </c>
      <c r="B602" t="s">
        <v>19</v>
      </c>
      <c r="C602" s="1">
        <v>45844</v>
      </c>
      <c r="D602" t="s">
        <v>20</v>
      </c>
      <c r="E602" t="s">
        <v>30</v>
      </c>
      <c r="F602">
        <v>4</v>
      </c>
      <c r="G602">
        <v>8</v>
      </c>
      <c r="H602" t="s">
        <v>23</v>
      </c>
      <c r="I602" t="s">
        <v>27</v>
      </c>
      <c r="J602">
        <v>32</v>
      </c>
    </row>
    <row r="603" spans="1:10" x14ac:dyDescent="0.3">
      <c r="A603">
        <v>938</v>
      </c>
      <c r="B603" t="s">
        <v>15</v>
      </c>
      <c r="C603" s="1">
        <v>45927</v>
      </c>
      <c r="D603" t="s">
        <v>33</v>
      </c>
      <c r="E603" t="s">
        <v>12</v>
      </c>
      <c r="F603">
        <v>2</v>
      </c>
      <c r="G603">
        <v>25</v>
      </c>
      <c r="H603" t="s">
        <v>21</v>
      </c>
      <c r="I603" t="s">
        <v>14</v>
      </c>
      <c r="J603">
        <v>50</v>
      </c>
    </row>
    <row r="604" spans="1:10" x14ac:dyDescent="0.3">
      <c r="A604">
        <v>1663</v>
      </c>
      <c r="B604" t="s">
        <v>31</v>
      </c>
      <c r="C604" s="1">
        <v>45913</v>
      </c>
      <c r="D604" t="s">
        <v>20</v>
      </c>
      <c r="E604" t="s">
        <v>17</v>
      </c>
      <c r="F604">
        <v>3</v>
      </c>
      <c r="G604">
        <v>12</v>
      </c>
      <c r="H604" t="s">
        <v>21</v>
      </c>
      <c r="I604" t="s">
        <v>18</v>
      </c>
      <c r="J604">
        <v>36</v>
      </c>
    </row>
    <row r="605" spans="1:10" x14ac:dyDescent="0.3">
      <c r="A605">
        <v>842</v>
      </c>
      <c r="B605" t="s">
        <v>19</v>
      </c>
      <c r="C605" s="1">
        <v>45910</v>
      </c>
      <c r="D605" t="s">
        <v>33</v>
      </c>
      <c r="E605" t="s">
        <v>30</v>
      </c>
      <c r="F605">
        <v>4</v>
      </c>
      <c r="G605">
        <v>8</v>
      </c>
      <c r="H605" t="s">
        <v>13</v>
      </c>
      <c r="I605" t="s">
        <v>18</v>
      </c>
      <c r="J605">
        <v>32</v>
      </c>
    </row>
    <row r="606" spans="1:10" x14ac:dyDescent="0.3">
      <c r="A606">
        <v>517</v>
      </c>
      <c r="B606" t="s">
        <v>19</v>
      </c>
      <c r="C606" s="1">
        <v>45874</v>
      </c>
      <c r="D606" t="s">
        <v>11</v>
      </c>
      <c r="E606" t="s">
        <v>17</v>
      </c>
      <c r="F606">
        <v>1</v>
      </c>
      <c r="G606">
        <v>12</v>
      </c>
      <c r="H606" t="s">
        <v>23</v>
      </c>
      <c r="I606" t="s">
        <v>25</v>
      </c>
      <c r="J606">
        <v>12</v>
      </c>
    </row>
    <row r="607" spans="1:10" x14ac:dyDescent="0.3">
      <c r="A607">
        <v>402</v>
      </c>
      <c r="B607" t="s">
        <v>31</v>
      </c>
      <c r="C607" s="1">
        <v>45863</v>
      </c>
      <c r="D607" t="s">
        <v>16</v>
      </c>
      <c r="E607" t="s">
        <v>17</v>
      </c>
      <c r="F607">
        <v>2</v>
      </c>
      <c r="G607">
        <v>12</v>
      </c>
      <c r="H607" t="s">
        <v>23</v>
      </c>
      <c r="I607" t="s">
        <v>18</v>
      </c>
      <c r="J607">
        <v>24</v>
      </c>
    </row>
    <row r="608" spans="1:10" x14ac:dyDescent="0.3">
      <c r="A608">
        <v>1466</v>
      </c>
      <c r="B608" t="s">
        <v>10</v>
      </c>
      <c r="C608" s="1">
        <v>45899</v>
      </c>
      <c r="D608" t="s">
        <v>20</v>
      </c>
      <c r="E608" t="s">
        <v>30</v>
      </c>
      <c r="F608">
        <v>1</v>
      </c>
      <c r="G608">
        <v>8</v>
      </c>
      <c r="H608" t="s">
        <v>23</v>
      </c>
      <c r="I608" t="s">
        <v>25</v>
      </c>
      <c r="J608">
        <v>8</v>
      </c>
    </row>
    <row r="609" spans="1:10" x14ac:dyDescent="0.3">
      <c r="A609">
        <v>1922</v>
      </c>
      <c r="B609" t="s">
        <v>15</v>
      </c>
      <c r="C609" s="1">
        <v>45927</v>
      </c>
      <c r="D609" t="s">
        <v>11</v>
      </c>
      <c r="E609" t="s">
        <v>17</v>
      </c>
      <c r="F609">
        <v>2</v>
      </c>
      <c r="G609">
        <v>12</v>
      </c>
      <c r="H609" t="s">
        <v>21</v>
      </c>
      <c r="I609" t="s">
        <v>18</v>
      </c>
      <c r="J609">
        <v>24</v>
      </c>
    </row>
    <row r="610" spans="1:10" x14ac:dyDescent="0.3">
      <c r="A610">
        <v>1897</v>
      </c>
      <c r="B610" t="s">
        <v>10</v>
      </c>
      <c r="C610" s="1">
        <v>45862</v>
      </c>
      <c r="D610" t="s">
        <v>11</v>
      </c>
      <c r="E610" t="s">
        <v>17</v>
      </c>
      <c r="F610">
        <v>2</v>
      </c>
      <c r="G610">
        <v>12</v>
      </c>
      <c r="H610" t="s">
        <v>21</v>
      </c>
      <c r="I610" t="s">
        <v>25</v>
      </c>
      <c r="J610">
        <v>24</v>
      </c>
    </row>
    <row r="611" spans="1:10" x14ac:dyDescent="0.3">
      <c r="A611">
        <v>1950</v>
      </c>
      <c r="B611" t="s">
        <v>28</v>
      </c>
      <c r="C611" s="1">
        <v>45923</v>
      </c>
      <c r="D611" t="s">
        <v>11</v>
      </c>
      <c r="E611" t="s">
        <v>17</v>
      </c>
      <c r="F611">
        <v>2</v>
      </c>
      <c r="G611">
        <v>12</v>
      </c>
      <c r="H611" t="s">
        <v>23</v>
      </c>
      <c r="I611" t="s">
        <v>18</v>
      </c>
      <c r="J611">
        <v>24</v>
      </c>
    </row>
    <row r="612" spans="1:10" x14ac:dyDescent="0.3">
      <c r="A612">
        <v>1306</v>
      </c>
      <c r="B612" t="s">
        <v>28</v>
      </c>
      <c r="C612" s="1">
        <v>45906</v>
      </c>
      <c r="D612" t="s">
        <v>33</v>
      </c>
      <c r="E612" t="s">
        <v>17</v>
      </c>
      <c r="F612">
        <v>1</v>
      </c>
      <c r="G612">
        <v>12</v>
      </c>
      <c r="H612" t="s">
        <v>13</v>
      </c>
      <c r="I612" t="s">
        <v>18</v>
      </c>
      <c r="J612">
        <v>12</v>
      </c>
    </row>
    <row r="613" spans="1:10" x14ac:dyDescent="0.3">
      <c r="A613">
        <v>169</v>
      </c>
      <c r="B613" t="s">
        <v>28</v>
      </c>
      <c r="C613" s="1">
        <v>45871</v>
      </c>
      <c r="D613" t="s">
        <v>20</v>
      </c>
      <c r="E613" t="s">
        <v>30</v>
      </c>
      <c r="F613">
        <v>5</v>
      </c>
      <c r="G613">
        <v>8</v>
      </c>
      <c r="H613" t="s">
        <v>21</v>
      </c>
      <c r="I613" t="s">
        <v>14</v>
      </c>
      <c r="J613">
        <v>40</v>
      </c>
    </row>
    <row r="614" spans="1:10" x14ac:dyDescent="0.3">
      <c r="A614">
        <v>1157</v>
      </c>
      <c r="B614" t="s">
        <v>26</v>
      </c>
      <c r="C614" s="1">
        <v>45930</v>
      </c>
      <c r="D614" t="s">
        <v>16</v>
      </c>
      <c r="E614" t="s">
        <v>29</v>
      </c>
      <c r="F614">
        <v>2</v>
      </c>
      <c r="G614">
        <v>30</v>
      </c>
      <c r="H614" t="s">
        <v>13</v>
      </c>
      <c r="I614" t="s">
        <v>14</v>
      </c>
      <c r="J614">
        <v>60</v>
      </c>
    </row>
    <row r="615" spans="1:10" x14ac:dyDescent="0.3">
      <c r="A615">
        <v>1314</v>
      </c>
      <c r="B615" t="s">
        <v>15</v>
      </c>
      <c r="C615" s="1">
        <v>45893</v>
      </c>
      <c r="D615" t="s">
        <v>11</v>
      </c>
      <c r="E615" t="s">
        <v>17</v>
      </c>
      <c r="F615">
        <v>5</v>
      </c>
      <c r="G615">
        <v>12</v>
      </c>
      <c r="H615" t="s">
        <v>21</v>
      </c>
      <c r="I615" t="s">
        <v>27</v>
      </c>
      <c r="J615">
        <v>60</v>
      </c>
    </row>
    <row r="616" spans="1:10" x14ac:dyDescent="0.3">
      <c r="A616">
        <v>1509</v>
      </c>
      <c r="B616" t="s">
        <v>19</v>
      </c>
      <c r="C616" s="1">
        <v>45848</v>
      </c>
      <c r="D616" t="s">
        <v>11</v>
      </c>
      <c r="E616" t="s">
        <v>22</v>
      </c>
      <c r="F616">
        <v>4</v>
      </c>
      <c r="G616">
        <v>20</v>
      </c>
      <c r="H616" t="s">
        <v>23</v>
      </c>
      <c r="I616" t="s">
        <v>18</v>
      </c>
      <c r="J616">
        <v>80</v>
      </c>
    </row>
    <row r="617" spans="1:10" x14ac:dyDescent="0.3">
      <c r="A617">
        <v>103</v>
      </c>
      <c r="B617" t="s">
        <v>26</v>
      </c>
      <c r="C617" s="1">
        <v>45898</v>
      </c>
      <c r="D617" t="s">
        <v>11</v>
      </c>
      <c r="E617" t="s">
        <v>17</v>
      </c>
      <c r="F617">
        <v>4</v>
      </c>
      <c r="G617">
        <v>12</v>
      </c>
      <c r="H617" t="s">
        <v>23</v>
      </c>
      <c r="I617" t="s">
        <v>25</v>
      </c>
      <c r="J617">
        <v>48</v>
      </c>
    </row>
    <row r="618" spans="1:10" x14ac:dyDescent="0.3">
      <c r="A618">
        <v>1470</v>
      </c>
      <c r="B618" t="s">
        <v>24</v>
      </c>
      <c r="C618" s="1">
        <v>45916</v>
      </c>
      <c r="D618" t="s">
        <v>11</v>
      </c>
      <c r="E618" t="s">
        <v>17</v>
      </c>
      <c r="F618">
        <v>5</v>
      </c>
      <c r="G618">
        <v>12</v>
      </c>
      <c r="H618" t="s">
        <v>23</v>
      </c>
      <c r="I618" t="s">
        <v>14</v>
      </c>
      <c r="J618">
        <v>60</v>
      </c>
    </row>
    <row r="619" spans="1:10" x14ac:dyDescent="0.3">
      <c r="A619">
        <v>383</v>
      </c>
      <c r="B619" t="s">
        <v>31</v>
      </c>
      <c r="C619" s="1">
        <v>45903</v>
      </c>
      <c r="D619" t="s">
        <v>11</v>
      </c>
      <c r="E619" t="s">
        <v>29</v>
      </c>
      <c r="F619">
        <v>3</v>
      </c>
      <c r="G619">
        <v>30</v>
      </c>
      <c r="H619" t="s">
        <v>13</v>
      </c>
      <c r="I619" t="s">
        <v>14</v>
      </c>
      <c r="J619">
        <v>90</v>
      </c>
    </row>
    <row r="620" spans="1:10" x14ac:dyDescent="0.3">
      <c r="A620">
        <v>274</v>
      </c>
      <c r="B620" t="s">
        <v>19</v>
      </c>
      <c r="C620" s="1">
        <v>45843</v>
      </c>
      <c r="D620" t="s">
        <v>11</v>
      </c>
      <c r="E620" t="s">
        <v>30</v>
      </c>
      <c r="F620">
        <v>2</v>
      </c>
      <c r="G620">
        <v>8</v>
      </c>
      <c r="H620" t="s">
        <v>23</v>
      </c>
      <c r="I620" t="s">
        <v>27</v>
      </c>
      <c r="J620">
        <v>16</v>
      </c>
    </row>
    <row r="621" spans="1:10" x14ac:dyDescent="0.3">
      <c r="A621">
        <v>1589</v>
      </c>
      <c r="B621" t="s">
        <v>28</v>
      </c>
      <c r="C621" s="1">
        <v>45914</v>
      </c>
      <c r="D621" t="s">
        <v>11</v>
      </c>
      <c r="E621" t="s">
        <v>17</v>
      </c>
      <c r="F621">
        <v>3</v>
      </c>
      <c r="G621">
        <v>12</v>
      </c>
      <c r="H621" t="s">
        <v>21</v>
      </c>
      <c r="I621" t="s">
        <v>14</v>
      </c>
      <c r="J621">
        <v>36</v>
      </c>
    </row>
    <row r="622" spans="1:10" x14ac:dyDescent="0.3">
      <c r="A622">
        <v>1280</v>
      </c>
      <c r="B622" t="s">
        <v>31</v>
      </c>
      <c r="C622" s="1">
        <v>45906</v>
      </c>
      <c r="D622" t="s">
        <v>11</v>
      </c>
      <c r="E622" t="s">
        <v>30</v>
      </c>
      <c r="F622">
        <v>1</v>
      </c>
      <c r="G622">
        <v>8</v>
      </c>
      <c r="H622" t="s">
        <v>21</v>
      </c>
      <c r="I622" t="s">
        <v>18</v>
      </c>
      <c r="J622">
        <v>8</v>
      </c>
    </row>
    <row r="623" spans="1:10" x14ac:dyDescent="0.3">
      <c r="A623">
        <v>1716</v>
      </c>
      <c r="B623" t="s">
        <v>19</v>
      </c>
      <c r="C623" s="1">
        <v>45918</v>
      </c>
      <c r="D623" t="s">
        <v>11</v>
      </c>
      <c r="E623" t="s">
        <v>17</v>
      </c>
      <c r="F623">
        <v>2</v>
      </c>
      <c r="G623">
        <v>12</v>
      </c>
      <c r="H623" t="s">
        <v>21</v>
      </c>
      <c r="I623" t="s">
        <v>27</v>
      </c>
      <c r="J623">
        <v>24</v>
      </c>
    </row>
    <row r="624" spans="1:10" x14ac:dyDescent="0.3">
      <c r="A624">
        <v>808</v>
      </c>
      <c r="B624" t="s">
        <v>24</v>
      </c>
      <c r="C624" s="1">
        <v>45845</v>
      </c>
      <c r="D624" t="s">
        <v>11</v>
      </c>
      <c r="E624" t="s">
        <v>17</v>
      </c>
      <c r="F624">
        <v>1</v>
      </c>
      <c r="G624">
        <v>12</v>
      </c>
      <c r="H624" t="s">
        <v>21</v>
      </c>
      <c r="I624" t="s">
        <v>18</v>
      </c>
      <c r="J624">
        <v>12</v>
      </c>
    </row>
    <row r="625" spans="1:10" x14ac:dyDescent="0.3">
      <c r="A625">
        <v>435</v>
      </c>
      <c r="B625" t="s">
        <v>31</v>
      </c>
      <c r="C625" s="1">
        <v>45857</v>
      </c>
      <c r="D625" t="s">
        <v>20</v>
      </c>
      <c r="E625" t="s">
        <v>29</v>
      </c>
      <c r="F625">
        <v>4</v>
      </c>
      <c r="G625">
        <v>30</v>
      </c>
      <c r="H625" t="s">
        <v>21</v>
      </c>
      <c r="I625" t="s">
        <v>18</v>
      </c>
      <c r="J625">
        <v>120</v>
      </c>
    </row>
    <row r="626" spans="1:10" x14ac:dyDescent="0.3">
      <c r="A626">
        <v>1303</v>
      </c>
      <c r="B626" t="s">
        <v>28</v>
      </c>
      <c r="C626" s="1">
        <v>45871</v>
      </c>
      <c r="D626" t="s">
        <v>33</v>
      </c>
      <c r="E626" t="s">
        <v>12</v>
      </c>
      <c r="F626">
        <v>3</v>
      </c>
      <c r="G626">
        <v>25</v>
      </c>
      <c r="H626" t="s">
        <v>23</v>
      </c>
      <c r="I626" t="s">
        <v>25</v>
      </c>
      <c r="J626">
        <v>75</v>
      </c>
    </row>
    <row r="627" spans="1:10" x14ac:dyDescent="0.3">
      <c r="A627">
        <v>801</v>
      </c>
      <c r="B627" t="s">
        <v>24</v>
      </c>
      <c r="C627" s="1">
        <v>45906</v>
      </c>
      <c r="D627" t="s">
        <v>16</v>
      </c>
      <c r="E627" t="s">
        <v>30</v>
      </c>
      <c r="F627">
        <v>3</v>
      </c>
      <c r="G627">
        <v>8</v>
      </c>
      <c r="H627" t="s">
        <v>13</v>
      </c>
      <c r="I627" t="s">
        <v>18</v>
      </c>
      <c r="J627">
        <v>24</v>
      </c>
    </row>
    <row r="628" spans="1:10" x14ac:dyDescent="0.3">
      <c r="A628">
        <v>1203</v>
      </c>
      <c r="B628" t="s">
        <v>31</v>
      </c>
      <c r="C628" s="1">
        <v>45882</v>
      </c>
      <c r="D628" t="s">
        <v>16</v>
      </c>
      <c r="E628" t="s">
        <v>17</v>
      </c>
      <c r="F628">
        <v>5</v>
      </c>
      <c r="G628">
        <v>12</v>
      </c>
      <c r="H628" t="s">
        <v>23</v>
      </c>
      <c r="I628" t="s">
        <v>25</v>
      </c>
      <c r="J628">
        <v>60</v>
      </c>
    </row>
    <row r="629" spans="1:10" x14ac:dyDescent="0.3">
      <c r="A629">
        <v>198</v>
      </c>
      <c r="B629" t="s">
        <v>31</v>
      </c>
      <c r="C629" s="1">
        <v>45906</v>
      </c>
      <c r="D629" t="s">
        <v>16</v>
      </c>
      <c r="E629" t="s">
        <v>22</v>
      </c>
      <c r="F629">
        <v>3</v>
      </c>
      <c r="G629">
        <v>20</v>
      </c>
      <c r="H629" t="s">
        <v>13</v>
      </c>
      <c r="I629" t="s">
        <v>14</v>
      </c>
      <c r="J629">
        <v>60</v>
      </c>
    </row>
    <row r="630" spans="1:10" x14ac:dyDescent="0.3">
      <c r="A630">
        <v>994</v>
      </c>
      <c r="B630" t="s">
        <v>31</v>
      </c>
      <c r="C630" s="1">
        <v>45870</v>
      </c>
      <c r="D630" t="s">
        <v>20</v>
      </c>
      <c r="E630" t="s">
        <v>17</v>
      </c>
      <c r="F630">
        <v>5</v>
      </c>
      <c r="G630">
        <v>12</v>
      </c>
      <c r="H630" t="s">
        <v>21</v>
      </c>
      <c r="I630" t="s">
        <v>25</v>
      </c>
      <c r="J630">
        <v>60</v>
      </c>
    </row>
    <row r="631" spans="1:10" x14ac:dyDescent="0.3">
      <c r="A631">
        <v>288</v>
      </c>
      <c r="B631" t="s">
        <v>15</v>
      </c>
      <c r="C631" s="1">
        <v>45912</v>
      </c>
      <c r="D631" t="s">
        <v>33</v>
      </c>
      <c r="E631" t="s">
        <v>17</v>
      </c>
      <c r="F631">
        <v>3</v>
      </c>
      <c r="G631">
        <v>12</v>
      </c>
      <c r="H631" t="s">
        <v>13</v>
      </c>
      <c r="I631" t="s">
        <v>14</v>
      </c>
      <c r="J631">
        <v>36</v>
      </c>
    </row>
    <row r="632" spans="1:10" x14ac:dyDescent="0.3">
      <c r="A632">
        <v>203</v>
      </c>
      <c r="B632" t="s">
        <v>28</v>
      </c>
      <c r="C632" s="1">
        <v>45847</v>
      </c>
      <c r="D632" t="s">
        <v>11</v>
      </c>
      <c r="E632" t="s">
        <v>17</v>
      </c>
      <c r="F632">
        <v>5</v>
      </c>
      <c r="G632">
        <v>12</v>
      </c>
      <c r="H632" t="s">
        <v>23</v>
      </c>
      <c r="I632" t="s">
        <v>25</v>
      </c>
      <c r="J632">
        <v>60</v>
      </c>
    </row>
    <row r="633" spans="1:10" x14ac:dyDescent="0.3">
      <c r="A633">
        <v>965</v>
      </c>
      <c r="B633" t="s">
        <v>28</v>
      </c>
      <c r="C633" s="1">
        <v>45922</v>
      </c>
      <c r="D633" t="s">
        <v>20</v>
      </c>
      <c r="E633" t="s">
        <v>22</v>
      </c>
      <c r="F633">
        <v>4</v>
      </c>
      <c r="G633">
        <v>20</v>
      </c>
      <c r="H633" t="s">
        <v>13</v>
      </c>
      <c r="I633" t="s">
        <v>25</v>
      </c>
      <c r="J633">
        <v>80</v>
      </c>
    </row>
    <row r="634" spans="1:10" x14ac:dyDescent="0.3">
      <c r="A634">
        <v>878</v>
      </c>
      <c r="B634" t="s">
        <v>26</v>
      </c>
      <c r="C634" s="1">
        <v>45878</v>
      </c>
      <c r="D634" t="s">
        <v>16</v>
      </c>
      <c r="E634" t="s">
        <v>17</v>
      </c>
      <c r="F634">
        <v>3</v>
      </c>
      <c r="G634">
        <v>12</v>
      </c>
      <c r="H634" t="s">
        <v>21</v>
      </c>
      <c r="I634" t="s">
        <v>14</v>
      </c>
      <c r="J634">
        <v>36</v>
      </c>
    </row>
    <row r="635" spans="1:10" x14ac:dyDescent="0.3">
      <c r="A635">
        <v>104</v>
      </c>
      <c r="B635" t="s">
        <v>31</v>
      </c>
      <c r="C635" s="1">
        <v>45889</v>
      </c>
      <c r="D635" t="s">
        <v>20</v>
      </c>
      <c r="E635" t="s">
        <v>30</v>
      </c>
      <c r="F635">
        <v>1</v>
      </c>
      <c r="G635">
        <v>8</v>
      </c>
      <c r="H635" t="s">
        <v>23</v>
      </c>
      <c r="I635" t="s">
        <v>14</v>
      </c>
      <c r="J635">
        <v>8</v>
      </c>
    </row>
    <row r="636" spans="1:10" x14ac:dyDescent="0.3">
      <c r="A636">
        <v>216</v>
      </c>
      <c r="B636" t="s">
        <v>15</v>
      </c>
      <c r="C636" s="1">
        <v>45885</v>
      </c>
      <c r="D636" t="s">
        <v>20</v>
      </c>
      <c r="E636" t="s">
        <v>17</v>
      </c>
      <c r="F636">
        <v>5</v>
      </c>
      <c r="G636">
        <v>12</v>
      </c>
      <c r="H636" t="s">
        <v>21</v>
      </c>
      <c r="I636" t="s">
        <v>18</v>
      </c>
      <c r="J636">
        <v>60</v>
      </c>
    </row>
    <row r="637" spans="1:10" x14ac:dyDescent="0.3">
      <c r="A637">
        <v>70</v>
      </c>
      <c r="B637" t="s">
        <v>10</v>
      </c>
      <c r="C637" s="1">
        <v>45906</v>
      </c>
      <c r="D637" t="s">
        <v>11</v>
      </c>
      <c r="E637" t="s">
        <v>17</v>
      </c>
      <c r="F637">
        <v>2</v>
      </c>
      <c r="G637">
        <v>12</v>
      </c>
      <c r="H637" t="s">
        <v>13</v>
      </c>
      <c r="I637" t="s">
        <v>18</v>
      </c>
      <c r="J637">
        <v>24</v>
      </c>
    </row>
    <row r="638" spans="1:10" x14ac:dyDescent="0.3">
      <c r="A638">
        <v>536</v>
      </c>
      <c r="B638" t="s">
        <v>10</v>
      </c>
      <c r="C638" s="1">
        <v>45843</v>
      </c>
      <c r="D638" t="s">
        <v>11</v>
      </c>
      <c r="E638" t="s">
        <v>22</v>
      </c>
      <c r="F638">
        <v>3</v>
      </c>
      <c r="G638">
        <v>20</v>
      </c>
      <c r="H638" t="s">
        <v>13</v>
      </c>
      <c r="I638" t="s">
        <v>25</v>
      </c>
      <c r="J638">
        <v>60</v>
      </c>
    </row>
    <row r="639" spans="1:10" x14ac:dyDescent="0.3">
      <c r="A639">
        <v>1259</v>
      </c>
      <c r="B639" t="s">
        <v>19</v>
      </c>
      <c r="C639" s="1">
        <v>45907</v>
      </c>
      <c r="D639" t="s">
        <v>33</v>
      </c>
      <c r="E639" t="s">
        <v>17</v>
      </c>
      <c r="F639">
        <v>5</v>
      </c>
      <c r="G639">
        <v>12</v>
      </c>
      <c r="H639" t="s">
        <v>21</v>
      </c>
      <c r="I639" t="s">
        <v>27</v>
      </c>
      <c r="J639">
        <v>60</v>
      </c>
    </row>
    <row r="640" spans="1:10" x14ac:dyDescent="0.3">
      <c r="A640">
        <v>1930</v>
      </c>
      <c r="B640" t="s">
        <v>32</v>
      </c>
      <c r="C640" s="1">
        <v>45872</v>
      </c>
      <c r="D640" t="s">
        <v>20</v>
      </c>
      <c r="E640" t="s">
        <v>17</v>
      </c>
      <c r="F640">
        <v>2</v>
      </c>
      <c r="G640">
        <v>12</v>
      </c>
      <c r="H640" t="s">
        <v>21</v>
      </c>
      <c r="I640" t="s">
        <v>27</v>
      </c>
      <c r="J640">
        <v>24</v>
      </c>
    </row>
    <row r="641" spans="1:10" x14ac:dyDescent="0.3">
      <c r="A641">
        <v>862</v>
      </c>
      <c r="B641" t="s">
        <v>24</v>
      </c>
      <c r="C641" s="1">
        <v>45921</v>
      </c>
      <c r="D641" t="s">
        <v>16</v>
      </c>
      <c r="E641" t="s">
        <v>17</v>
      </c>
      <c r="F641">
        <v>5</v>
      </c>
      <c r="G641">
        <v>12</v>
      </c>
      <c r="H641" t="s">
        <v>13</v>
      </c>
      <c r="I641" t="s">
        <v>25</v>
      </c>
      <c r="J641">
        <v>60</v>
      </c>
    </row>
    <row r="642" spans="1:10" x14ac:dyDescent="0.3">
      <c r="A642">
        <v>7</v>
      </c>
      <c r="B642" t="s">
        <v>15</v>
      </c>
      <c r="C642" s="1">
        <v>45921</v>
      </c>
      <c r="D642" t="s">
        <v>16</v>
      </c>
      <c r="E642" t="s">
        <v>17</v>
      </c>
      <c r="F642">
        <v>4</v>
      </c>
      <c r="G642">
        <v>12</v>
      </c>
      <c r="H642" t="s">
        <v>13</v>
      </c>
      <c r="I642" t="s">
        <v>14</v>
      </c>
      <c r="J642">
        <v>48</v>
      </c>
    </row>
    <row r="643" spans="1:10" x14ac:dyDescent="0.3">
      <c r="A643">
        <v>1213</v>
      </c>
      <c r="B643" t="s">
        <v>26</v>
      </c>
      <c r="C643" s="1">
        <v>45910</v>
      </c>
      <c r="D643" t="s">
        <v>20</v>
      </c>
      <c r="E643" t="s">
        <v>17</v>
      </c>
      <c r="F643">
        <v>5</v>
      </c>
      <c r="G643">
        <v>12</v>
      </c>
      <c r="H643" t="s">
        <v>13</v>
      </c>
      <c r="I643" t="s">
        <v>14</v>
      </c>
      <c r="J643">
        <v>60</v>
      </c>
    </row>
    <row r="644" spans="1:10" x14ac:dyDescent="0.3">
      <c r="A644">
        <v>782</v>
      </c>
      <c r="B644" t="s">
        <v>32</v>
      </c>
      <c r="C644" s="1">
        <v>45918</v>
      </c>
      <c r="D644" t="s">
        <v>20</v>
      </c>
      <c r="E644" t="s">
        <v>22</v>
      </c>
      <c r="F644">
        <v>5</v>
      </c>
      <c r="G644">
        <v>20</v>
      </c>
      <c r="H644" t="s">
        <v>23</v>
      </c>
      <c r="I644" t="s">
        <v>14</v>
      </c>
      <c r="J644">
        <v>100</v>
      </c>
    </row>
    <row r="645" spans="1:10" x14ac:dyDescent="0.3">
      <c r="A645">
        <v>289</v>
      </c>
      <c r="B645" t="s">
        <v>24</v>
      </c>
      <c r="C645" s="1">
        <v>45855</v>
      </c>
      <c r="D645" t="s">
        <v>33</v>
      </c>
      <c r="E645" t="s">
        <v>17</v>
      </c>
      <c r="F645">
        <v>5</v>
      </c>
      <c r="G645">
        <v>12</v>
      </c>
      <c r="H645" t="s">
        <v>13</v>
      </c>
      <c r="I645" t="s">
        <v>25</v>
      </c>
      <c r="J645">
        <v>60</v>
      </c>
    </row>
    <row r="646" spans="1:10" x14ac:dyDescent="0.3">
      <c r="A646">
        <v>860</v>
      </c>
      <c r="B646" t="s">
        <v>28</v>
      </c>
      <c r="C646" s="1">
        <v>45929</v>
      </c>
      <c r="D646" t="s">
        <v>11</v>
      </c>
      <c r="E646" t="s">
        <v>17</v>
      </c>
      <c r="F646">
        <v>4</v>
      </c>
      <c r="G646">
        <v>12</v>
      </c>
      <c r="H646" t="s">
        <v>23</v>
      </c>
      <c r="I646" t="s">
        <v>18</v>
      </c>
      <c r="J646">
        <v>48</v>
      </c>
    </row>
    <row r="647" spans="1:10" x14ac:dyDescent="0.3">
      <c r="A647">
        <v>1557</v>
      </c>
      <c r="B647" t="s">
        <v>26</v>
      </c>
      <c r="C647" s="1">
        <v>45844</v>
      </c>
      <c r="D647" t="s">
        <v>33</v>
      </c>
      <c r="E647" t="s">
        <v>17</v>
      </c>
      <c r="F647">
        <v>3</v>
      </c>
      <c r="G647">
        <v>12</v>
      </c>
      <c r="H647" t="s">
        <v>23</v>
      </c>
      <c r="I647" t="s">
        <v>25</v>
      </c>
      <c r="J647">
        <v>36</v>
      </c>
    </row>
    <row r="648" spans="1:10" x14ac:dyDescent="0.3">
      <c r="A648">
        <v>759</v>
      </c>
      <c r="B648" t="s">
        <v>24</v>
      </c>
      <c r="C648" s="1">
        <v>45877</v>
      </c>
      <c r="D648" t="s">
        <v>20</v>
      </c>
      <c r="E648" t="s">
        <v>30</v>
      </c>
      <c r="F648">
        <v>5</v>
      </c>
      <c r="G648">
        <v>8</v>
      </c>
      <c r="H648" t="s">
        <v>23</v>
      </c>
      <c r="I648" t="s">
        <v>14</v>
      </c>
      <c r="J648">
        <v>40</v>
      </c>
    </row>
    <row r="649" spans="1:10" x14ac:dyDescent="0.3">
      <c r="A649">
        <v>1558</v>
      </c>
      <c r="B649" t="s">
        <v>32</v>
      </c>
      <c r="C649" s="1">
        <v>45911</v>
      </c>
      <c r="D649" t="s">
        <v>33</v>
      </c>
      <c r="E649" t="s">
        <v>17</v>
      </c>
      <c r="F649">
        <v>4</v>
      </c>
      <c r="G649">
        <v>12</v>
      </c>
      <c r="H649" t="s">
        <v>23</v>
      </c>
      <c r="I649" t="s">
        <v>14</v>
      </c>
      <c r="J649">
        <v>48</v>
      </c>
    </row>
    <row r="650" spans="1:10" x14ac:dyDescent="0.3">
      <c r="A650">
        <v>1463</v>
      </c>
      <c r="B650" t="s">
        <v>15</v>
      </c>
      <c r="C650" s="1">
        <v>45901</v>
      </c>
      <c r="D650" t="s">
        <v>16</v>
      </c>
      <c r="E650" t="s">
        <v>12</v>
      </c>
      <c r="F650">
        <v>4</v>
      </c>
      <c r="G650">
        <v>25</v>
      </c>
      <c r="H650" t="s">
        <v>21</v>
      </c>
      <c r="I650" t="s">
        <v>18</v>
      </c>
      <c r="J650">
        <v>100</v>
      </c>
    </row>
    <row r="651" spans="1:10" x14ac:dyDescent="0.3">
      <c r="A651">
        <v>1173</v>
      </c>
      <c r="B651" t="s">
        <v>32</v>
      </c>
      <c r="C651" s="1">
        <v>45884</v>
      </c>
      <c r="D651" t="s">
        <v>11</v>
      </c>
      <c r="E651" t="s">
        <v>17</v>
      </c>
      <c r="F651">
        <v>3</v>
      </c>
      <c r="G651">
        <v>12</v>
      </c>
      <c r="H651" t="s">
        <v>23</v>
      </c>
      <c r="I651" t="s">
        <v>14</v>
      </c>
      <c r="J651">
        <v>36</v>
      </c>
    </row>
    <row r="652" spans="1:10" x14ac:dyDescent="0.3">
      <c r="A652">
        <v>199</v>
      </c>
      <c r="B652" t="s">
        <v>15</v>
      </c>
      <c r="C652" s="1">
        <v>45844</v>
      </c>
      <c r="D652" t="s">
        <v>11</v>
      </c>
      <c r="E652" t="s">
        <v>12</v>
      </c>
      <c r="F652">
        <v>4</v>
      </c>
      <c r="G652">
        <v>25</v>
      </c>
      <c r="H652" t="s">
        <v>23</v>
      </c>
      <c r="I652" t="s">
        <v>27</v>
      </c>
      <c r="J652">
        <v>100</v>
      </c>
    </row>
    <row r="653" spans="1:10" x14ac:dyDescent="0.3">
      <c r="A653">
        <v>1196</v>
      </c>
      <c r="B653" t="s">
        <v>15</v>
      </c>
      <c r="C653" s="1">
        <v>45929</v>
      </c>
      <c r="D653" t="s">
        <v>11</v>
      </c>
      <c r="E653" t="s">
        <v>12</v>
      </c>
      <c r="F653">
        <v>2</v>
      </c>
      <c r="G653">
        <v>25</v>
      </c>
      <c r="H653" t="s">
        <v>23</v>
      </c>
      <c r="I653" t="s">
        <v>14</v>
      </c>
      <c r="J653">
        <v>50</v>
      </c>
    </row>
    <row r="654" spans="1:10" x14ac:dyDescent="0.3">
      <c r="A654">
        <v>34</v>
      </c>
      <c r="B654" t="s">
        <v>26</v>
      </c>
      <c r="C654" s="1">
        <v>45909</v>
      </c>
      <c r="D654" t="s">
        <v>11</v>
      </c>
      <c r="E654" t="s">
        <v>29</v>
      </c>
      <c r="F654">
        <v>5</v>
      </c>
      <c r="G654">
        <v>30</v>
      </c>
      <c r="H654" t="s">
        <v>13</v>
      </c>
      <c r="I654" t="s">
        <v>14</v>
      </c>
      <c r="J654">
        <v>150</v>
      </c>
    </row>
    <row r="655" spans="1:10" x14ac:dyDescent="0.3">
      <c r="A655">
        <v>1601</v>
      </c>
      <c r="B655" t="s">
        <v>19</v>
      </c>
      <c r="C655" s="1">
        <v>45867</v>
      </c>
      <c r="D655" t="s">
        <v>11</v>
      </c>
      <c r="E655" t="s">
        <v>17</v>
      </c>
      <c r="F655">
        <v>2</v>
      </c>
      <c r="G655">
        <v>12</v>
      </c>
      <c r="H655" t="s">
        <v>23</v>
      </c>
      <c r="I655" t="s">
        <v>25</v>
      </c>
      <c r="J655">
        <v>24</v>
      </c>
    </row>
    <row r="656" spans="1:10" x14ac:dyDescent="0.3">
      <c r="A656">
        <v>1225</v>
      </c>
      <c r="B656" t="s">
        <v>24</v>
      </c>
      <c r="C656" s="1">
        <v>45906</v>
      </c>
      <c r="D656" t="s">
        <v>11</v>
      </c>
      <c r="E656" t="s">
        <v>17</v>
      </c>
      <c r="F656">
        <v>4</v>
      </c>
      <c r="G656">
        <v>12</v>
      </c>
      <c r="H656" t="s">
        <v>21</v>
      </c>
      <c r="I656" t="s">
        <v>14</v>
      </c>
      <c r="J656">
        <v>48</v>
      </c>
    </row>
    <row r="657" spans="1:10" x14ac:dyDescent="0.3">
      <c r="A657">
        <v>1398</v>
      </c>
      <c r="B657" t="s">
        <v>28</v>
      </c>
      <c r="C657" s="1">
        <v>45850</v>
      </c>
      <c r="D657" t="s">
        <v>11</v>
      </c>
      <c r="E657" t="s">
        <v>22</v>
      </c>
      <c r="F657">
        <v>3</v>
      </c>
      <c r="G657">
        <v>20</v>
      </c>
      <c r="H657" t="s">
        <v>21</v>
      </c>
      <c r="I657" t="s">
        <v>18</v>
      </c>
      <c r="J657">
        <v>60</v>
      </c>
    </row>
    <row r="658" spans="1:10" x14ac:dyDescent="0.3">
      <c r="A658">
        <v>1164</v>
      </c>
      <c r="B658" t="s">
        <v>10</v>
      </c>
      <c r="C658" s="1">
        <v>45927</v>
      </c>
      <c r="D658" t="s">
        <v>11</v>
      </c>
      <c r="E658" t="s">
        <v>12</v>
      </c>
      <c r="F658">
        <v>2</v>
      </c>
      <c r="G658">
        <v>25</v>
      </c>
      <c r="H658" t="s">
        <v>21</v>
      </c>
      <c r="I658" t="s">
        <v>14</v>
      </c>
      <c r="J658">
        <v>50</v>
      </c>
    </row>
    <row r="659" spans="1:10" x14ac:dyDescent="0.3">
      <c r="A659">
        <v>1379</v>
      </c>
      <c r="B659" t="s">
        <v>10</v>
      </c>
      <c r="C659" s="1">
        <v>45858</v>
      </c>
      <c r="D659" t="s">
        <v>11</v>
      </c>
      <c r="E659" t="s">
        <v>17</v>
      </c>
      <c r="F659">
        <v>5</v>
      </c>
      <c r="G659">
        <v>12</v>
      </c>
      <c r="H659" t="s">
        <v>23</v>
      </c>
      <c r="I659" t="s">
        <v>14</v>
      </c>
      <c r="J659">
        <v>60</v>
      </c>
    </row>
    <row r="660" spans="1:10" x14ac:dyDescent="0.3">
      <c r="A660">
        <v>622</v>
      </c>
      <c r="B660" t="s">
        <v>26</v>
      </c>
      <c r="C660" s="1">
        <v>45839</v>
      </c>
      <c r="D660" t="s">
        <v>11</v>
      </c>
      <c r="E660" t="s">
        <v>22</v>
      </c>
      <c r="F660">
        <v>5</v>
      </c>
      <c r="G660">
        <v>20</v>
      </c>
      <c r="H660" t="s">
        <v>23</v>
      </c>
      <c r="I660" t="s">
        <v>25</v>
      </c>
      <c r="J660">
        <v>100</v>
      </c>
    </row>
    <row r="661" spans="1:10" x14ac:dyDescent="0.3">
      <c r="A661">
        <v>985</v>
      </c>
      <c r="B661" t="s">
        <v>19</v>
      </c>
      <c r="C661" s="1">
        <v>45914</v>
      </c>
      <c r="D661" t="s">
        <v>16</v>
      </c>
      <c r="E661" t="s">
        <v>12</v>
      </c>
      <c r="F661">
        <v>1</v>
      </c>
      <c r="G661">
        <v>25</v>
      </c>
      <c r="H661" t="s">
        <v>13</v>
      </c>
      <c r="I661" t="s">
        <v>18</v>
      </c>
      <c r="J661">
        <v>25</v>
      </c>
    </row>
    <row r="662" spans="1:10" x14ac:dyDescent="0.3">
      <c r="A662">
        <v>562</v>
      </c>
      <c r="B662" t="s">
        <v>32</v>
      </c>
      <c r="C662" s="1">
        <v>45890</v>
      </c>
      <c r="D662" t="s">
        <v>16</v>
      </c>
      <c r="E662" t="s">
        <v>30</v>
      </c>
      <c r="F662">
        <v>3</v>
      </c>
      <c r="G662">
        <v>8</v>
      </c>
      <c r="H662" t="s">
        <v>23</v>
      </c>
      <c r="I662" t="s">
        <v>25</v>
      </c>
      <c r="J662">
        <v>24</v>
      </c>
    </row>
    <row r="663" spans="1:10" x14ac:dyDescent="0.3">
      <c r="A663">
        <v>615</v>
      </c>
      <c r="B663" t="s">
        <v>10</v>
      </c>
      <c r="C663" s="1">
        <v>45897</v>
      </c>
      <c r="D663" t="s">
        <v>20</v>
      </c>
      <c r="E663" t="s">
        <v>17</v>
      </c>
      <c r="F663">
        <v>3</v>
      </c>
      <c r="G663">
        <v>12</v>
      </c>
      <c r="H663" t="s">
        <v>13</v>
      </c>
      <c r="I663" t="s">
        <v>14</v>
      </c>
      <c r="J663">
        <v>36</v>
      </c>
    </row>
    <row r="664" spans="1:10" x14ac:dyDescent="0.3">
      <c r="A664">
        <v>789</v>
      </c>
      <c r="B664" t="s">
        <v>19</v>
      </c>
      <c r="C664" s="1">
        <v>45844</v>
      </c>
      <c r="D664" t="s">
        <v>20</v>
      </c>
      <c r="E664" t="s">
        <v>29</v>
      </c>
      <c r="F664">
        <v>2</v>
      </c>
      <c r="G664">
        <v>30</v>
      </c>
      <c r="H664" t="s">
        <v>21</v>
      </c>
      <c r="I664" t="s">
        <v>14</v>
      </c>
      <c r="J664">
        <v>60</v>
      </c>
    </row>
    <row r="665" spans="1:10" x14ac:dyDescent="0.3">
      <c r="A665">
        <v>1176</v>
      </c>
      <c r="B665" t="s">
        <v>28</v>
      </c>
      <c r="C665" s="1">
        <v>45929</v>
      </c>
      <c r="D665" t="s">
        <v>20</v>
      </c>
      <c r="E665" t="s">
        <v>17</v>
      </c>
      <c r="F665">
        <v>2</v>
      </c>
      <c r="G665">
        <v>12</v>
      </c>
      <c r="H665" t="s">
        <v>13</v>
      </c>
      <c r="I665" t="s">
        <v>18</v>
      </c>
      <c r="J665">
        <v>24</v>
      </c>
    </row>
    <row r="666" spans="1:10" x14ac:dyDescent="0.3">
      <c r="A666">
        <v>1233</v>
      </c>
      <c r="B666" t="s">
        <v>15</v>
      </c>
      <c r="C666" s="1">
        <v>45882</v>
      </c>
      <c r="D666" t="s">
        <v>11</v>
      </c>
      <c r="E666" t="s">
        <v>17</v>
      </c>
      <c r="F666">
        <v>4</v>
      </c>
      <c r="G666">
        <v>12</v>
      </c>
      <c r="H666" t="s">
        <v>21</v>
      </c>
      <c r="I666" t="s">
        <v>18</v>
      </c>
      <c r="J666">
        <v>48</v>
      </c>
    </row>
    <row r="667" spans="1:10" x14ac:dyDescent="0.3">
      <c r="A667">
        <v>1249</v>
      </c>
      <c r="B667" t="s">
        <v>26</v>
      </c>
      <c r="C667" s="1">
        <v>45890</v>
      </c>
      <c r="D667" t="s">
        <v>11</v>
      </c>
      <c r="E667" t="s">
        <v>22</v>
      </c>
      <c r="F667">
        <v>5</v>
      </c>
      <c r="G667">
        <v>20</v>
      </c>
      <c r="H667" t="s">
        <v>13</v>
      </c>
      <c r="I667" t="s">
        <v>27</v>
      </c>
      <c r="J667">
        <v>100</v>
      </c>
    </row>
    <row r="668" spans="1:10" x14ac:dyDescent="0.3">
      <c r="A668">
        <v>58</v>
      </c>
      <c r="B668" t="s">
        <v>24</v>
      </c>
      <c r="C668" s="1">
        <v>45928</v>
      </c>
      <c r="D668" t="s">
        <v>11</v>
      </c>
      <c r="E668" t="s">
        <v>17</v>
      </c>
      <c r="F668">
        <v>4</v>
      </c>
      <c r="G668">
        <v>12</v>
      </c>
      <c r="H668" t="s">
        <v>23</v>
      </c>
      <c r="I668" t="s">
        <v>25</v>
      </c>
      <c r="J668">
        <v>48</v>
      </c>
    </row>
    <row r="669" spans="1:10" x14ac:dyDescent="0.3">
      <c r="A669">
        <v>513</v>
      </c>
      <c r="B669" t="s">
        <v>28</v>
      </c>
      <c r="C669" s="1">
        <v>45881</v>
      </c>
      <c r="D669" t="s">
        <v>20</v>
      </c>
      <c r="E669" t="s">
        <v>17</v>
      </c>
      <c r="F669">
        <v>1</v>
      </c>
      <c r="G669">
        <v>12</v>
      </c>
      <c r="H669" t="s">
        <v>13</v>
      </c>
      <c r="I669" t="s">
        <v>18</v>
      </c>
      <c r="J669">
        <v>12</v>
      </c>
    </row>
    <row r="670" spans="1:10" x14ac:dyDescent="0.3">
      <c r="A670">
        <v>1290</v>
      </c>
      <c r="B670" t="s">
        <v>24</v>
      </c>
      <c r="C670" s="1">
        <v>45910</v>
      </c>
      <c r="D670" t="s">
        <v>16</v>
      </c>
      <c r="E670" t="s">
        <v>17</v>
      </c>
      <c r="F670">
        <v>5</v>
      </c>
      <c r="G670">
        <v>12</v>
      </c>
      <c r="H670" t="s">
        <v>23</v>
      </c>
      <c r="I670" t="s">
        <v>25</v>
      </c>
      <c r="J670">
        <v>60</v>
      </c>
    </row>
    <row r="671" spans="1:10" x14ac:dyDescent="0.3">
      <c r="A671">
        <v>1513</v>
      </c>
      <c r="B671" t="s">
        <v>15</v>
      </c>
      <c r="C671" s="1">
        <v>45841</v>
      </c>
      <c r="D671" t="s">
        <v>33</v>
      </c>
      <c r="E671" t="s">
        <v>29</v>
      </c>
      <c r="F671">
        <v>5</v>
      </c>
      <c r="G671">
        <v>30</v>
      </c>
      <c r="H671" t="s">
        <v>23</v>
      </c>
      <c r="I671" t="s">
        <v>25</v>
      </c>
      <c r="J671">
        <v>150</v>
      </c>
    </row>
    <row r="672" spans="1:10" x14ac:dyDescent="0.3">
      <c r="A672">
        <v>1849</v>
      </c>
      <c r="B672" t="s">
        <v>24</v>
      </c>
      <c r="C672" s="1">
        <v>45925</v>
      </c>
      <c r="D672" t="s">
        <v>33</v>
      </c>
      <c r="E672" t="s">
        <v>30</v>
      </c>
      <c r="F672">
        <v>2</v>
      </c>
      <c r="G672">
        <v>8</v>
      </c>
      <c r="H672" t="s">
        <v>21</v>
      </c>
      <c r="I672" t="s">
        <v>27</v>
      </c>
      <c r="J672">
        <v>16</v>
      </c>
    </row>
    <row r="673" spans="1:10" x14ac:dyDescent="0.3">
      <c r="A673">
        <v>729</v>
      </c>
      <c r="B673" t="s">
        <v>15</v>
      </c>
      <c r="C673" s="1">
        <v>45899</v>
      </c>
      <c r="D673" t="s">
        <v>11</v>
      </c>
      <c r="E673" t="s">
        <v>17</v>
      </c>
      <c r="F673">
        <v>5</v>
      </c>
      <c r="G673">
        <v>12</v>
      </c>
      <c r="H673" t="s">
        <v>21</v>
      </c>
      <c r="I673" t="s">
        <v>18</v>
      </c>
      <c r="J673">
        <v>60</v>
      </c>
    </row>
    <row r="674" spans="1:10" x14ac:dyDescent="0.3">
      <c r="A674">
        <v>624</v>
      </c>
      <c r="B674" t="s">
        <v>26</v>
      </c>
      <c r="C674" s="1">
        <v>45911</v>
      </c>
      <c r="D674" t="s">
        <v>16</v>
      </c>
      <c r="E674" t="s">
        <v>29</v>
      </c>
      <c r="F674">
        <v>1</v>
      </c>
      <c r="G674">
        <v>30</v>
      </c>
      <c r="H674" t="s">
        <v>23</v>
      </c>
      <c r="I674" t="s">
        <v>14</v>
      </c>
      <c r="J674">
        <v>30</v>
      </c>
    </row>
    <row r="675" spans="1:10" x14ac:dyDescent="0.3">
      <c r="A675">
        <v>1636</v>
      </c>
      <c r="B675" t="s">
        <v>28</v>
      </c>
      <c r="C675" s="1">
        <v>45921</v>
      </c>
      <c r="D675" t="s">
        <v>16</v>
      </c>
      <c r="E675" t="s">
        <v>17</v>
      </c>
      <c r="F675">
        <v>2</v>
      </c>
      <c r="G675">
        <v>12</v>
      </c>
      <c r="H675" t="s">
        <v>21</v>
      </c>
      <c r="I675" t="s">
        <v>18</v>
      </c>
      <c r="J675">
        <v>24</v>
      </c>
    </row>
    <row r="676" spans="1:10" x14ac:dyDescent="0.3">
      <c r="A676">
        <v>180</v>
      </c>
      <c r="B676" t="s">
        <v>32</v>
      </c>
      <c r="C676" s="1">
        <v>45844</v>
      </c>
      <c r="D676" t="s">
        <v>16</v>
      </c>
      <c r="E676" t="s">
        <v>12</v>
      </c>
      <c r="F676">
        <v>4</v>
      </c>
      <c r="G676">
        <v>25</v>
      </c>
      <c r="H676" t="s">
        <v>13</v>
      </c>
      <c r="I676" t="s">
        <v>18</v>
      </c>
      <c r="J676">
        <v>100</v>
      </c>
    </row>
    <row r="677" spans="1:10" x14ac:dyDescent="0.3">
      <c r="A677">
        <v>1015</v>
      </c>
      <c r="B677" t="s">
        <v>15</v>
      </c>
      <c r="C677" s="1">
        <v>45851</v>
      </c>
      <c r="D677" t="s">
        <v>16</v>
      </c>
      <c r="E677" t="s">
        <v>12</v>
      </c>
      <c r="F677">
        <v>1</v>
      </c>
      <c r="G677">
        <v>25</v>
      </c>
      <c r="H677" t="s">
        <v>13</v>
      </c>
      <c r="I677" t="s">
        <v>14</v>
      </c>
      <c r="J677">
        <v>25</v>
      </c>
    </row>
    <row r="678" spans="1:10" x14ac:dyDescent="0.3">
      <c r="A678">
        <v>1966</v>
      </c>
      <c r="B678" t="s">
        <v>24</v>
      </c>
      <c r="C678" s="1">
        <v>45901</v>
      </c>
      <c r="D678" t="s">
        <v>16</v>
      </c>
      <c r="E678" t="s">
        <v>30</v>
      </c>
      <c r="F678">
        <v>3</v>
      </c>
      <c r="G678">
        <v>8</v>
      </c>
      <c r="H678" t="s">
        <v>21</v>
      </c>
      <c r="I678" t="s">
        <v>25</v>
      </c>
      <c r="J678">
        <v>24</v>
      </c>
    </row>
    <row r="679" spans="1:10" x14ac:dyDescent="0.3">
      <c r="A679">
        <v>160</v>
      </c>
      <c r="B679" t="s">
        <v>31</v>
      </c>
      <c r="C679" s="1">
        <v>45919</v>
      </c>
      <c r="D679" t="s">
        <v>33</v>
      </c>
      <c r="E679" t="s">
        <v>30</v>
      </c>
      <c r="F679">
        <v>5</v>
      </c>
      <c r="G679">
        <v>8</v>
      </c>
      <c r="H679" t="s">
        <v>13</v>
      </c>
      <c r="I679" t="s">
        <v>25</v>
      </c>
      <c r="J679">
        <v>40</v>
      </c>
    </row>
    <row r="680" spans="1:10" x14ac:dyDescent="0.3">
      <c r="A680">
        <v>1658</v>
      </c>
      <c r="B680" t="s">
        <v>32</v>
      </c>
      <c r="C680" s="1">
        <v>45905</v>
      </c>
      <c r="D680" t="s">
        <v>16</v>
      </c>
      <c r="E680" t="s">
        <v>12</v>
      </c>
      <c r="F680">
        <v>3</v>
      </c>
      <c r="G680">
        <v>25</v>
      </c>
      <c r="H680" t="s">
        <v>23</v>
      </c>
      <c r="I680" t="s">
        <v>27</v>
      </c>
      <c r="J680">
        <v>75</v>
      </c>
    </row>
    <row r="681" spans="1:10" x14ac:dyDescent="0.3">
      <c r="A681">
        <v>1642</v>
      </c>
      <c r="B681" t="s">
        <v>24</v>
      </c>
      <c r="C681" s="1">
        <v>45926</v>
      </c>
      <c r="D681" t="s">
        <v>11</v>
      </c>
      <c r="E681" t="s">
        <v>29</v>
      </c>
      <c r="F681">
        <v>3</v>
      </c>
      <c r="G681">
        <v>30</v>
      </c>
      <c r="H681" t="s">
        <v>13</v>
      </c>
      <c r="I681" t="s">
        <v>27</v>
      </c>
      <c r="J681">
        <v>90</v>
      </c>
    </row>
    <row r="682" spans="1:10" x14ac:dyDescent="0.3">
      <c r="A682">
        <v>700</v>
      </c>
      <c r="B682" t="s">
        <v>32</v>
      </c>
      <c r="C682" s="1">
        <v>45853</v>
      </c>
      <c r="D682" t="s">
        <v>20</v>
      </c>
      <c r="E682" t="s">
        <v>30</v>
      </c>
      <c r="F682">
        <v>1</v>
      </c>
      <c r="G682">
        <v>8</v>
      </c>
      <c r="H682" t="s">
        <v>21</v>
      </c>
      <c r="I682" t="s">
        <v>18</v>
      </c>
      <c r="J682">
        <v>8</v>
      </c>
    </row>
    <row r="683" spans="1:10" x14ac:dyDescent="0.3">
      <c r="A683">
        <v>186</v>
      </c>
      <c r="B683" t="s">
        <v>15</v>
      </c>
      <c r="C683" s="1">
        <v>45886</v>
      </c>
      <c r="D683" t="s">
        <v>11</v>
      </c>
      <c r="E683" t="s">
        <v>29</v>
      </c>
      <c r="F683">
        <v>5</v>
      </c>
      <c r="G683">
        <v>30</v>
      </c>
      <c r="H683" t="s">
        <v>21</v>
      </c>
      <c r="I683" t="s">
        <v>14</v>
      </c>
      <c r="J683">
        <v>150</v>
      </c>
    </row>
    <row r="684" spans="1:10" x14ac:dyDescent="0.3">
      <c r="A684">
        <v>1044</v>
      </c>
      <c r="B684" t="s">
        <v>24</v>
      </c>
      <c r="C684" s="1">
        <v>45856</v>
      </c>
      <c r="D684" t="s">
        <v>11</v>
      </c>
      <c r="E684" t="s">
        <v>17</v>
      </c>
      <c r="F684">
        <v>3</v>
      </c>
      <c r="G684">
        <v>12</v>
      </c>
      <c r="H684" t="s">
        <v>21</v>
      </c>
      <c r="I684" t="s">
        <v>25</v>
      </c>
      <c r="J684">
        <v>36</v>
      </c>
    </row>
    <row r="685" spans="1:10" x14ac:dyDescent="0.3">
      <c r="A685">
        <v>1169</v>
      </c>
      <c r="B685" t="s">
        <v>32</v>
      </c>
      <c r="C685" s="1">
        <v>45879</v>
      </c>
      <c r="D685" t="s">
        <v>11</v>
      </c>
      <c r="E685" t="s">
        <v>30</v>
      </c>
      <c r="F685">
        <v>4</v>
      </c>
      <c r="G685">
        <v>8</v>
      </c>
      <c r="H685" t="s">
        <v>23</v>
      </c>
      <c r="I685" t="s">
        <v>25</v>
      </c>
      <c r="J685">
        <v>32</v>
      </c>
    </row>
    <row r="686" spans="1:10" x14ac:dyDescent="0.3">
      <c r="A686">
        <v>618</v>
      </c>
      <c r="B686" t="s">
        <v>19</v>
      </c>
      <c r="C686" s="1">
        <v>45909</v>
      </c>
      <c r="D686" t="s">
        <v>11</v>
      </c>
      <c r="E686" t="s">
        <v>17</v>
      </c>
      <c r="F686">
        <v>5</v>
      </c>
      <c r="G686">
        <v>12</v>
      </c>
      <c r="H686" t="s">
        <v>13</v>
      </c>
      <c r="I686" t="s">
        <v>18</v>
      </c>
      <c r="J686">
        <v>60</v>
      </c>
    </row>
    <row r="687" spans="1:10" x14ac:dyDescent="0.3">
      <c r="A687">
        <v>629</v>
      </c>
      <c r="B687" t="s">
        <v>28</v>
      </c>
      <c r="C687" s="1">
        <v>45886</v>
      </c>
      <c r="D687" t="s">
        <v>20</v>
      </c>
      <c r="E687" t="s">
        <v>17</v>
      </c>
      <c r="F687">
        <v>1</v>
      </c>
      <c r="G687">
        <v>12</v>
      </c>
      <c r="H687" t="s">
        <v>21</v>
      </c>
      <c r="I687" t="s">
        <v>25</v>
      </c>
      <c r="J687">
        <v>12</v>
      </c>
    </row>
    <row r="688" spans="1:10" x14ac:dyDescent="0.3">
      <c r="A688">
        <v>392</v>
      </c>
      <c r="B688" t="s">
        <v>32</v>
      </c>
      <c r="C688" s="1">
        <v>45928</v>
      </c>
      <c r="D688" t="s">
        <v>20</v>
      </c>
      <c r="E688" t="s">
        <v>17</v>
      </c>
      <c r="F688">
        <v>4</v>
      </c>
      <c r="G688">
        <v>12</v>
      </c>
      <c r="H688" t="s">
        <v>13</v>
      </c>
      <c r="I688" t="s">
        <v>14</v>
      </c>
      <c r="J688">
        <v>48</v>
      </c>
    </row>
    <row r="689" spans="1:10" x14ac:dyDescent="0.3">
      <c r="A689">
        <v>1561</v>
      </c>
      <c r="B689" t="s">
        <v>32</v>
      </c>
      <c r="C689" s="1">
        <v>45893</v>
      </c>
      <c r="D689" t="s">
        <v>20</v>
      </c>
      <c r="E689" t="s">
        <v>17</v>
      </c>
      <c r="F689">
        <v>3</v>
      </c>
      <c r="G689">
        <v>12</v>
      </c>
      <c r="H689" t="s">
        <v>13</v>
      </c>
      <c r="I689" t="s">
        <v>18</v>
      </c>
      <c r="J689">
        <v>36</v>
      </c>
    </row>
    <row r="690" spans="1:10" x14ac:dyDescent="0.3">
      <c r="A690">
        <v>861</v>
      </c>
      <c r="B690" t="s">
        <v>31</v>
      </c>
      <c r="C690" s="1">
        <v>45856</v>
      </c>
      <c r="D690" t="s">
        <v>11</v>
      </c>
      <c r="E690" t="s">
        <v>22</v>
      </c>
      <c r="F690">
        <v>1</v>
      </c>
      <c r="G690">
        <v>20</v>
      </c>
      <c r="H690" t="s">
        <v>13</v>
      </c>
      <c r="I690" t="s">
        <v>27</v>
      </c>
      <c r="J690">
        <v>20</v>
      </c>
    </row>
    <row r="691" spans="1:10" x14ac:dyDescent="0.3">
      <c r="A691">
        <v>1221</v>
      </c>
      <c r="B691" t="s">
        <v>10</v>
      </c>
      <c r="C691" s="1">
        <v>45890</v>
      </c>
      <c r="D691" t="s">
        <v>11</v>
      </c>
      <c r="E691" t="s">
        <v>12</v>
      </c>
      <c r="F691">
        <v>2</v>
      </c>
      <c r="G691">
        <v>25</v>
      </c>
      <c r="H691" t="s">
        <v>23</v>
      </c>
      <c r="I691" t="s">
        <v>25</v>
      </c>
      <c r="J691">
        <v>50</v>
      </c>
    </row>
    <row r="692" spans="1:10" x14ac:dyDescent="0.3">
      <c r="A692">
        <v>1576</v>
      </c>
      <c r="B692" t="s">
        <v>10</v>
      </c>
      <c r="C692" s="1">
        <v>45849</v>
      </c>
      <c r="D692" t="s">
        <v>11</v>
      </c>
      <c r="E692" t="s">
        <v>17</v>
      </c>
      <c r="F692">
        <v>5</v>
      </c>
      <c r="G692">
        <v>12</v>
      </c>
      <c r="H692" t="s">
        <v>13</v>
      </c>
      <c r="I692" t="s">
        <v>27</v>
      </c>
      <c r="J692">
        <v>60</v>
      </c>
    </row>
    <row r="693" spans="1:10" x14ac:dyDescent="0.3">
      <c r="A693">
        <v>116</v>
      </c>
      <c r="B693" t="s">
        <v>10</v>
      </c>
      <c r="C693" s="1">
        <v>45885</v>
      </c>
      <c r="D693" t="s">
        <v>11</v>
      </c>
      <c r="E693" t="s">
        <v>17</v>
      </c>
      <c r="F693">
        <v>4</v>
      </c>
      <c r="G693">
        <v>12</v>
      </c>
      <c r="H693" t="s">
        <v>21</v>
      </c>
      <c r="I693" t="s">
        <v>25</v>
      </c>
      <c r="J693">
        <v>48</v>
      </c>
    </row>
    <row r="694" spans="1:10" x14ac:dyDescent="0.3">
      <c r="A694">
        <v>1239</v>
      </c>
      <c r="B694" t="s">
        <v>10</v>
      </c>
      <c r="C694" s="1">
        <v>45892</v>
      </c>
      <c r="D694" t="s">
        <v>11</v>
      </c>
      <c r="E694" t="s">
        <v>12</v>
      </c>
      <c r="F694">
        <v>4</v>
      </c>
      <c r="G694">
        <v>25</v>
      </c>
      <c r="H694" t="s">
        <v>21</v>
      </c>
      <c r="I694" t="s">
        <v>14</v>
      </c>
      <c r="J694">
        <v>100</v>
      </c>
    </row>
    <row r="695" spans="1:10" x14ac:dyDescent="0.3">
      <c r="A695">
        <v>1483</v>
      </c>
      <c r="B695" t="s">
        <v>10</v>
      </c>
      <c r="C695" s="1">
        <v>45895</v>
      </c>
      <c r="D695" t="s">
        <v>11</v>
      </c>
      <c r="E695" t="s">
        <v>17</v>
      </c>
      <c r="F695">
        <v>2</v>
      </c>
      <c r="G695">
        <v>12</v>
      </c>
      <c r="H695" t="s">
        <v>23</v>
      </c>
      <c r="I695" t="s">
        <v>18</v>
      </c>
      <c r="J695">
        <v>24</v>
      </c>
    </row>
    <row r="696" spans="1:10" x14ac:dyDescent="0.3">
      <c r="A696">
        <v>1411</v>
      </c>
      <c r="B696" t="s">
        <v>10</v>
      </c>
      <c r="C696" s="1">
        <v>45926</v>
      </c>
      <c r="D696" t="s">
        <v>16</v>
      </c>
      <c r="E696" t="s">
        <v>17</v>
      </c>
      <c r="F696">
        <v>3</v>
      </c>
      <c r="G696">
        <v>12</v>
      </c>
      <c r="H696" t="s">
        <v>23</v>
      </c>
      <c r="I696" t="s">
        <v>14</v>
      </c>
      <c r="J696">
        <v>36</v>
      </c>
    </row>
    <row r="697" spans="1:10" x14ac:dyDescent="0.3">
      <c r="A697">
        <v>270</v>
      </c>
      <c r="B697" t="s">
        <v>10</v>
      </c>
      <c r="C697" s="1">
        <v>45881</v>
      </c>
      <c r="D697" t="s">
        <v>16</v>
      </c>
      <c r="E697" t="s">
        <v>12</v>
      </c>
      <c r="F697">
        <v>3</v>
      </c>
      <c r="G697">
        <v>25</v>
      </c>
      <c r="H697" t="s">
        <v>23</v>
      </c>
      <c r="I697" t="s">
        <v>27</v>
      </c>
      <c r="J697">
        <v>75</v>
      </c>
    </row>
    <row r="698" spans="1:10" x14ac:dyDescent="0.3">
      <c r="A698">
        <v>1145</v>
      </c>
      <c r="B698" t="s">
        <v>10</v>
      </c>
      <c r="C698" s="1">
        <v>45865</v>
      </c>
      <c r="D698" t="s">
        <v>11</v>
      </c>
      <c r="E698" t="s">
        <v>17</v>
      </c>
      <c r="F698">
        <v>3</v>
      </c>
      <c r="G698">
        <v>12</v>
      </c>
      <c r="H698" t="s">
        <v>13</v>
      </c>
      <c r="I698" t="s">
        <v>14</v>
      </c>
      <c r="J698">
        <v>36</v>
      </c>
    </row>
    <row r="699" spans="1:10" x14ac:dyDescent="0.3">
      <c r="A699">
        <v>946</v>
      </c>
      <c r="B699" t="s">
        <v>10</v>
      </c>
      <c r="C699" s="1">
        <v>45880</v>
      </c>
      <c r="D699" t="s">
        <v>20</v>
      </c>
      <c r="E699" t="s">
        <v>17</v>
      </c>
      <c r="F699">
        <v>3</v>
      </c>
      <c r="G699">
        <v>12</v>
      </c>
      <c r="H699" t="s">
        <v>21</v>
      </c>
      <c r="I699" t="s">
        <v>25</v>
      </c>
      <c r="J699">
        <v>36</v>
      </c>
    </row>
    <row r="700" spans="1:10" x14ac:dyDescent="0.3">
      <c r="A700">
        <v>585</v>
      </c>
      <c r="B700" t="s">
        <v>10</v>
      </c>
      <c r="C700" s="1">
        <v>45900</v>
      </c>
      <c r="D700" t="s">
        <v>11</v>
      </c>
      <c r="E700" t="s">
        <v>12</v>
      </c>
      <c r="F700">
        <v>4</v>
      </c>
      <c r="G700">
        <v>25</v>
      </c>
      <c r="H700" t="s">
        <v>21</v>
      </c>
      <c r="I700" t="s">
        <v>25</v>
      </c>
      <c r="J700">
        <v>100</v>
      </c>
    </row>
    <row r="701" spans="1:10" x14ac:dyDescent="0.3">
      <c r="A701">
        <v>261</v>
      </c>
      <c r="B701" t="s">
        <v>24</v>
      </c>
      <c r="C701" s="1">
        <v>45852</v>
      </c>
      <c r="D701" t="s">
        <v>33</v>
      </c>
      <c r="E701" t="s">
        <v>30</v>
      </c>
      <c r="F701">
        <v>2</v>
      </c>
      <c r="G701">
        <v>8</v>
      </c>
      <c r="H701" t="s">
        <v>13</v>
      </c>
      <c r="I701" t="s">
        <v>18</v>
      </c>
      <c r="J701">
        <v>16</v>
      </c>
    </row>
    <row r="702" spans="1:10" x14ac:dyDescent="0.3">
      <c r="A702">
        <v>144</v>
      </c>
      <c r="B702" t="s">
        <v>19</v>
      </c>
      <c r="C702" s="1">
        <v>45880</v>
      </c>
      <c r="D702" t="s">
        <v>33</v>
      </c>
      <c r="E702" t="s">
        <v>17</v>
      </c>
      <c r="F702">
        <v>5</v>
      </c>
      <c r="G702">
        <v>12</v>
      </c>
      <c r="H702" t="s">
        <v>21</v>
      </c>
      <c r="I702" t="s">
        <v>14</v>
      </c>
      <c r="J702">
        <v>60</v>
      </c>
    </row>
    <row r="703" spans="1:10" x14ac:dyDescent="0.3">
      <c r="A703">
        <v>6</v>
      </c>
      <c r="B703" t="s">
        <v>19</v>
      </c>
      <c r="C703" s="1">
        <v>45862</v>
      </c>
      <c r="D703" t="s">
        <v>11</v>
      </c>
      <c r="E703" t="s">
        <v>30</v>
      </c>
      <c r="F703">
        <v>5</v>
      </c>
      <c r="G703">
        <v>8</v>
      </c>
      <c r="H703" t="s">
        <v>23</v>
      </c>
      <c r="I703" t="s">
        <v>25</v>
      </c>
      <c r="J703">
        <v>40</v>
      </c>
    </row>
    <row r="704" spans="1:10" x14ac:dyDescent="0.3">
      <c r="A704">
        <v>1243</v>
      </c>
      <c r="B704" t="s">
        <v>28</v>
      </c>
      <c r="C704" s="1">
        <v>45897</v>
      </c>
      <c r="D704" t="s">
        <v>16</v>
      </c>
      <c r="E704" t="s">
        <v>12</v>
      </c>
      <c r="F704">
        <v>3</v>
      </c>
      <c r="G704">
        <v>25</v>
      </c>
      <c r="H704" t="s">
        <v>21</v>
      </c>
      <c r="I704" t="s">
        <v>18</v>
      </c>
      <c r="J704">
        <v>75</v>
      </c>
    </row>
    <row r="705" spans="1:10" x14ac:dyDescent="0.3">
      <c r="A705">
        <v>1802</v>
      </c>
      <c r="B705" t="s">
        <v>15</v>
      </c>
      <c r="C705" s="1">
        <v>45891</v>
      </c>
      <c r="D705" t="s">
        <v>16</v>
      </c>
      <c r="E705" t="s">
        <v>29</v>
      </c>
      <c r="F705">
        <v>4</v>
      </c>
      <c r="G705">
        <v>30</v>
      </c>
      <c r="H705" t="s">
        <v>13</v>
      </c>
      <c r="I705" t="s">
        <v>27</v>
      </c>
      <c r="J705">
        <v>120</v>
      </c>
    </row>
    <row r="706" spans="1:10" x14ac:dyDescent="0.3">
      <c r="A706">
        <v>1247</v>
      </c>
      <c r="B706" t="s">
        <v>10</v>
      </c>
      <c r="C706" s="1">
        <v>45892</v>
      </c>
      <c r="D706" t="s">
        <v>16</v>
      </c>
      <c r="E706" t="s">
        <v>12</v>
      </c>
      <c r="F706">
        <v>4</v>
      </c>
      <c r="G706">
        <v>25</v>
      </c>
      <c r="H706" t="s">
        <v>13</v>
      </c>
      <c r="I706" t="s">
        <v>18</v>
      </c>
      <c r="J706">
        <v>100</v>
      </c>
    </row>
    <row r="707" spans="1:10" x14ac:dyDescent="0.3">
      <c r="A707">
        <v>1434</v>
      </c>
      <c r="B707" t="s">
        <v>31</v>
      </c>
      <c r="C707" s="1">
        <v>45880</v>
      </c>
      <c r="D707" t="s">
        <v>11</v>
      </c>
      <c r="E707" t="s">
        <v>17</v>
      </c>
      <c r="F707">
        <v>5</v>
      </c>
      <c r="G707">
        <v>12</v>
      </c>
      <c r="H707" t="s">
        <v>13</v>
      </c>
      <c r="I707" t="s">
        <v>14</v>
      </c>
      <c r="J707">
        <v>60</v>
      </c>
    </row>
    <row r="708" spans="1:10" x14ac:dyDescent="0.3">
      <c r="A708">
        <v>1291</v>
      </c>
      <c r="B708" t="s">
        <v>24</v>
      </c>
      <c r="C708" s="1">
        <v>45929</v>
      </c>
      <c r="D708" t="s">
        <v>11</v>
      </c>
      <c r="E708" t="s">
        <v>17</v>
      </c>
      <c r="F708">
        <v>1</v>
      </c>
      <c r="G708">
        <v>12</v>
      </c>
      <c r="H708" t="s">
        <v>21</v>
      </c>
      <c r="I708" t="s">
        <v>18</v>
      </c>
      <c r="J708">
        <v>12</v>
      </c>
    </row>
    <row r="709" spans="1:10" x14ac:dyDescent="0.3">
      <c r="A709">
        <v>487</v>
      </c>
      <c r="B709" t="s">
        <v>32</v>
      </c>
      <c r="C709" s="1">
        <v>45865</v>
      </c>
      <c r="D709" t="s">
        <v>20</v>
      </c>
      <c r="E709" t="s">
        <v>17</v>
      </c>
      <c r="F709">
        <v>5</v>
      </c>
      <c r="G709">
        <v>12</v>
      </c>
      <c r="H709" t="s">
        <v>23</v>
      </c>
      <c r="I709" t="s">
        <v>18</v>
      </c>
      <c r="J709">
        <v>60</v>
      </c>
    </row>
    <row r="710" spans="1:10" x14ac:dyDescent="0.3">
      <c r="A710">
        <v>1796</v>
      </c>
      <c r="B710" t="s">
        <v>26</v>
      </c>
      <c r="C710" s="1">
        <v>45854</v>
      </c>
      <c r="D710" t="s">
        <v>20</v>
      </c>
      <c r="E710" t="s">
        <v>30</v>
      </c>
      <c r="F710">
        <v>2</v>
      </c>
      <c r="G710">
        <v>8</v>
      </c>
      <c r="H710" t="s">
        <v>23</v>
      </c>
      <c r="I710" t="s">
        <v>18</v>
      </c>
      <c r="J710">
        <v>16</v>
      </c>
    </row>
    <row r="711" spans="1:10" x14ac:dyDescent="0.3">
      <c r="A711">
        <v>1865</v>
      </c>
      <c r="B711" t="s">
        <v>31</v>
      </c>
      <c r="C711" s="1">
        <v>45851</v>
      </c>
      <c r="D711" t="s">
        <v>16</v>
      </c>
      <c r="E711" t="s">
        <v>17</v>
      </c>
      <c r="F711">
        <v>5</v>
      </c>
      <c r="G711">
        <v>12</v>
      </c>
      <c r="H711" t="s">
        <v>21</v>
      </c>
      <c r="I711" t="s">
        <v>27</v>
      </c>
      <c r="J711">
        <v>60</v>
      </c>
    </row>
    <row r="712" spans="1:10" x14ac:dyDescent="0.3">
      <c r="A712">
        <v>962</v>
      </c>
      <c r="B712" t="s">
        <v>24</v>
      </c>
      <c r="C712" s="1">
        <v>45868</v>
      </c>
      <c r="D712" t="s">
        <v>33</v>
      </c>
      <c r="E712" t="s">
        <v>17</v>
      </c>
      <c r="F712">
        <v>2</v>
      </c>
      <c r="G712">
        <v>12</v>
      </c>
      <c r="H712" t="s">
        <v>21</v>
      </c>
      <c r="I712" t="s">
        <v>14</v>
      </c>
      <c r="J712">
        <v>24</v>
      </c>
    </row>
    <row r="713" spans="1:10" x14ac:dyDescent="0.3">
      <c r="A713">
        <v>558</v>
      </c>
      <c r="B713" t="s">
        <v>10</v>
      </c>
      <c r="C713" s="1">
        <v>45879</v>
      </c>
      <c r="D713" t="s">
        <v>11</v>
      </c>
      <c r="E713" t="s">
        <v>17</v>
      </c>
      <c r="F713">
        <v>5</v>
      </c>
      <c r="G713">
        <v>12</v>
      </c>
      <c r="H713" t="s">
        <v>23</v>
      </c>
      <c r="I713" t="s">
        <v>18</v>
      </c>
      <c r="J713">
        <v>60</v>
      </c>
    </row>
    <row r="714" spans="1:10" x14ac:dyDescent="0.3">
      <c r="A714">
        <v>1624</v>
      </c>
      <c r="B714" t="s">
        <v>31</v>
      </c>
      <c r="C714" s="1">
        <v>45900</v>
      </c>
      <c r="D714" t="s">
        <v>11</v>
      </c>
      <c r="E714" t="s">
        <v>22</v>
      </c>
      <c r="F714">
        <v>5</v>
      </c>
      <c r="G714">
        <v>20</v>
      </c>
      <c r="H714" t="s">
        <v>21</v>
      </c>
      <c r="I714" t="s">
        <v>18</v>
      </c>
      <c r="J714">
        <v>100</v>
      </c>
    </row>
    <row r="715" spans="1:10" x14ac:dyDescent="0.3">
      <c r="A715">
        <v>1198</v>
      </c>
      <c r="B715" t="s">
        <v>32</v>
      </c>
      <c r="C715" s="1">
        <v>45907</v>
      </c>
      <c r="D715" t="s">
        <v>11</v>
      </c>
      <c r="E715" t="s">
        <v>22</v>
      </c>
      <c r="F715">
        <v>5</v>
      </c>
      <c r="G715">
        <v>20</v>
      </c>
      <c r="H715" t="s">
        <v>13</v>
      </c>
      <c r="I715" t="s">
        <v>18</v>
      </c>
      <c r="J715">
        <v>100</v>
      </c>
    </row>
    <row r="716" spans="1:10" x14ac:dyDescent="0.3">
      <c r="A716">
        <v>677</v>
      </c>
      <c r="B716" t="s">
        <v>31</v>
      </c>
      <c r="C716" s="1">
        <v>45890</v>
      </c>
      <c r="D716" t="s">
        <v>11</v>
      </c>
      <c r="E716" t="s">
        <v>17</v>
      </c>
      <c r="F716">
        <v>2</v>
      </c>
      <c r="G716">
        <v>12</v>
      </c>
      <c r="H716" t="s">
        <v>23</v>
      </c>
      <c r="I716" t="s">
        <v>27</v>
      </c>
      <c r="J716">
        <v>24</v>
      </c>
    </row>
    <row r="717" spans="1:10" x14ac:dyDescent="0.3">
      <c r="A717">
        <v>1339</v>
      </c>
      <c r="B717" t="s">
        <v>10</v>
      </c>
      <c r="C717" s="1">
        <v>45868</v>
      </c>
      <c r="D717" t="s">
        <v>11</v>
      </c>
      <c r="E717" t="s">
        <v>12</v>
      </c>
      <c r="F717">
        <v>2</v>
      </c>
      <c r="G717">
        <v>25</v>
      </c>
      <c r="H717" t="s">
        <v>21</v>
      </c>
      <c r="I717" t="s">
        <v>27</v>
      </c>
      <c r="J717">
        <v>50</v>
      </c>
    </row>
    <row r="718" spans="1:10" x14ac:dyDescent="0.3">
      <c r="A718">
        <v>405</v>
      </c>
      <c r="B718" t="s">
        <v>19</v>
      </c>
      <c r="C718" s="1">
        <v>45886</v>
      </c>
      <c r="D718" t="s">
        <v>11</v>
      </c>
      <c r="E718" t="s">
        <v>30</v>
      </c>
      <c r="F718">
        <v>3</v>
      </c>
      <c r="G718">
        <v>8</v>
      </c>
      <c r="H718" t="s">
        <v>13</v>
      </c>
      <c r="I718" t="s">
        <v>18</v>
      </c>
      <c r="J718">
        <v>24</v>
      </c>
    </row>
    <row r="719" spans="1:10" x14ac:dyDescent="0.3">
      <c r="A719">
        <v>1362</v>
      </c>
      <c r="B719" t="s">
        <v>10</v>
      </c>
      <c r="C719" s="1">
        <v>45911</v>
      </c>
      <c r="D719" t="s">
        <v>11</v>
      </c>
      <c r="E719" t="s">
        <v>17</v>
      </c>
      <c r="F719">
        <v>4</v>
      </c>
      <c r="G719">
        <v>12</v>
      </c>
      <c r="H719" t="s">
        <v>23</v>
      </c>
      <c r="I719" t="s">
        <v>18</v>
      </c>
      <c r="J719">
        <v>48</v>
      </c>
    </row>
    <row r="720" spans="1:10" x14ac:dyDescent="0.3">
      <c r="A720">
        <v>1295</v>
      </c>
      <c r="B720" t="s">
        <v>31</v>
      </c>
      <c r="C720" s="1">
        <v>45889</v>
      </c>
      <c r="D720" t="s">
        <v>11</v>
      </c>
      <c r="E720" t="s">
        <v>29</v>
      </c>
      <c r="F720">
        <v>3</v>
      </c>
      <c r="G720">
        <v>30</v>
      </c>
      <c r="H720" t="s">
        <v>23</v>
      </c>
      <c r="I720" t="s">
        <v>18</v>
      </c>
      <c r="J720">
        <v>90</v>
      </c>
    </row>
    <row r="721" spans="1:10" x14ac:dyDescent="0.3">
      <c r="A721">
        <v>1416</v>
      </c>
      <c r="B721" t="s">
        <v>31</v>
      </c>
      <c r="C721" s="1">
        <v>45874</v>
      </c>
      <c r="D721" t="s">
        <v>11</v>
      </c>
      <c r="E721" t="s">
        <v>12</v>
      </c>
      <c r="F721">
        <v>4</v>
      </c>
      <c r="G721">
        <v>25</v>
      </c>
      <c r="H721" t="s">
        <v>21</v>
      </c>
      <c r="I721" t="s">
        <v>18</v>
      </c>
      <c r="J721">
        <v>100</v>
      </c>
    </row>
    <row r="722" spans="1:10" x14ac:dyDescent="0.3">
      <c r="A722">
        <v>806</v>
      </c>
      <c r="B722" t="s">
        <v>31</v>
      </c>
      <c r="C722" s="1">
        <v>45879</v>
      </c>
      <c r="D722" t="s">
        <v>11</v>
      </c>
      <c r="E722" t="s">
        <v>29</v>
      </c>
      <c r="F722">
        <v>4</v>
      </c>
      <c r="G722">
        <v>30</v>
      </c>
      <c r="H722" t="s">
        <v>21</v>
      </c>
      <c r="I722" t="s">
        <v>27</v>
      </c>
      <c r="J722">
        <v>120</v>
      </c>
    </row>
    <row r="723" spans="1:10" x14ac:dyDescent="0.3">
      <c r="A723">
        <v>1801</v>
      </c>
      <c r="B723" t="s">
        <v>31</v>
      </c>
      <c r="C723" s="1">
        <v>45886</v>
      </c>
      <c r="D723" t="s">
        <v>11</v>
      </c>
      <c r="E723" t="s">
        <v>17</v>
      </c>
      <c r="F723">
        <v>2</v>
      </c>
      <c r="G723">
        <v>12</v>
      </c>
      <c r="H723" t="s">
        <v>21</v>
      </c>
      <c r="I723" t="s">
        <v>25</v>
      </c>
      <c r="J723">
        <v>24</v>
      </c>
    </row>
    <row r="724" spans="1:10" x14ac:dyDescent="0.3">
      <c r="A724">
        <v>1081</v>
      </c>
      <c r="B724" t="s">
        <v>32</v>
      </c>
      <c r="C724" s="1">
        <v>45925</v>
      </c>
      <c r="D724" t="s">
        <v>11</v>
      </c>
      <c r="E724" t="s">
        <v>30</v>
      </c>
      <c r="F724">
        <v>2</v>
      </c>
      <c r="G724">
        <v>8</v>
      </c>
      <c r="H724" t="s">
        <v>21</v>
      </c>
      <c r="I724" t="s">
        <v>25</v>
      </c>
      <c r="J724">
        <v>16</v>
      </c>
    </row>
    <row r="725" spans="1:10" x14ac:dyDescent="0.3">
      <c r="A725">
        <v>222</v>
      </c>
      <c r="B725" t="s">
        <v>32</v>
      </c>
      <c r="C725" s="1">
        <v>45923</v>
      </c>
      <c r="D725" t="s">
        <v>11</v>
      </c>
      <c r="E725" t="s">
        <v>12</v>
      </c>
      <c r="F725">
        <v>2</v>
      </c>
      <c r="G725">
        <v>25</v>
      </c>
      <c r="H725" t="s">
        <v>21</v>
      </c>
      <c r="I725" t="s">
        <v>14</v>
      </c>
      <c r="J725">
        <v>50</v>
      </c>
    </row>
    <row r="726" spans="1:10" x14ac:dyDescent="0.3">
      <c r="A726">
        <v>1310</v>
      </c>
      <c r="B726" t="s">
        <v>31</v>
      </c>
      <c r="C726" s="1">
        <v>45914</v>
      </c>
      <c r="D726" t="s">
        <v>11</v>
      </c>
      <c r="E726" t="s">
        <v>17</v>
      </c>
      <c r="F726">
        <v>4</v>
      </c>
      <c r="G726">
        <v>12</v>
      </c>
      <c r="H726" t="s">
        <v>23</v>
      </c>
      <c r="I726" t="s">
        <v>27</v>
      </c>
      <c r="J726">
        <v>48</v>
      </c>
    </row>
    <row r="727" spans="1:10" x14ac:dyDescent="0.3">
      <c r="A727">
        <v>1231</v>
      </c>
      <c r="B727" t="s">
        <v>31</v>
      </c>
      <c r="C727" s="1">
        <v>45885</v>
      </c>
      <c r="D727" t="s">
        <v>11</v>
      </c>
      <c r="E727" t="s">
        <v>12</v>
      </c>
      <c r="F727">
        <v>4</v>
      </c>
      <c r="G727">
        <v>25</v>
      </c>
      <c r="H727" t="s">
        <v>23</v>
      </c>
      <c r="I727" t="s">
        <v>18</v>
      </c>
      <c r="J727">
        <v>100</v>
      </c>
    </row>
    <row r="728" spans="1:10" x14ac:dyDescent="0.3">
      <c r="A728">
        <v>2000</v>
      </c>
      <c r="B728" t="s">
        <v>24</v>
      </c>
      <c r="C728" s="1">
        <v>45851</v>
      </c>
      <c r="D728" t="s">
        <v>11</v>
      </c>
      <c r="E728" t="s">
        <v>17</v>
      </c>
      <c r="F728">
        <v>4</v>
      </c>
      <c r="G728">
        <v>12</v>
      </c>
      <c r="H728" t="s">
        <v>13</v>
      </c>
      <c r="I728" t="s">
        <v>25</v>
      </c>
      <c r="J728">
        <v>48</v>
      </c>
    </row>
    <row r="729" spans="1:10" x14ac:dyDescent="0.3">
      <c r="A729">
        <v>703</v>
      </c>
      <c r="B729" t="s">
        <v>24</v>
      </c>
      <c r="C729" s="1">
        <v>45885</v>
      </c>
      <c r="D729" t="s">
        <v>11</v>
      </c>
      <c r="E729" t="s">
        <v>17</v>
      </c>
      <c r="F729">
        <v>4</v>
      </c>
      <c r="G729">
        <v>12</v>
      </c>
      <c r="H729" t="s">
        <v>23</v>
      </c>
      <c r="I729" t="s">
        <v>27</v>
      </c>
      <c r="J729">
        <v>48</v>
      </c>
    </row>
    <row r="730" spans="1:10" x14ac:dyDescent="0.3">
      <c r="A730">
        <v>1524</v>
      </c>
      <c r="B730" t="s">
        <v>15</v>
      </c>
      <c r="C730" s="1">
        <v>45923</v>
      </c>
      <c r="D730" t="s">
        <v>11</v>
      </c>
      <c r="E730" t="s">
        <v>17</v>
      </c>
      <c r="F730">
        <v>5</v>
      </c>
      <c r="G730">
        <v>12</v>
      </c>
      <c r="H730" t="s">
        <v>21</v>
      </c>
      <c r="I730" t="s">
        <v>18</v>
      </c>
      <c r="J730">
        <v>60</v>
      </c>
    </row>
    <row r="731" spans="1:10" x14ac:dyDescent="0.3">
      <c r="A731">
        <v>998</v>
      </c>
      <c r="B731" t="s">
        <v>31</v>
      </c>
      <c r="C731" s="1">
        <v>45925</v>
      </c>
      <c r="D731" t="s">
        <v>11</v>
      </c>
      <c r="E731" t="s">
        <v>17</v>
      </c>
      <c r="F731">
        <v>5</v>
      </c>
      <c r="G731">
        <v>12</v>
      </c>
      <c r="H731" t="s">
        <v>13</v>
      </c>
      <c r="I731" t="s">
        <v>14</v>
      </c>
      <c r="J731">
        <v>60</v>
      </c>
    </row>
    <row r="732" spans="1:10" x14ac:dyDescent="0.3">
      <c r="A732">
        <v>420</v>
      </c>
      <c r="B732" t="s">
        <v>10</v>
      </c>
      <c r="C732" s="1">
        <v>45919</v>
      </c>
      <c r="D732" t="s">
        <v>11</v>
      </c>
      <c r="E732" t="s">
        <v>17</v>
      </c>
      <c r="F732">
        <v>1</v>
      </c>
      <c r="G732">
        <v>12</v>
      </c>
      <c r="H732" t="s">
        <v>23</v>
      </c>
      <c r="I732" t="s">
        <v>27</v>
      </c>
      <c r="J732">
        <v>12</v>
      </c>
    </row>
    <row r="733" spans="1:10" x14ac:dyDescent="0.3">
      <c r="A733">
        <v>742</v>
      </c>
      <c r="B733" t="s">
        <v>10</v>
      </c>
      <c r="C733" s="1">
        <v>45852</v>
      </c>
      <c r="D733" t="s">
        <v>11</v>
      </c>
      <c r="E733" t="s">
        <v>17</v>
      </c>
      <c r="F733">
        <v>2</v>
      </c>
      <c r="G733">
        <v>12</v>
      </c>
      <c r="H733" t="s">
        <v>13</v>
      </c>
      <c r="I733" t="s">
        <v>18</v>
      </c>
      <c r="J733">
        <v>24</v>
      </c>
    </row>
    <row r="734" spans="1:10" x14ac:dyDescent="0.3">
      <c r="A734">
        <v>458</v>
      </c>
      <c r="B734" t="s">
        <v>19</v>
      </c>
      <c r="C734" s="1">
        <v>45857</v>
      </c>
      <c r="D734" t="s">
        <v>11</v>
      </c>
      <c r="E734" t="s">
        <v>12</v>
      </c>
      <c r="F734">
        <v>2</v>
      </c>
      <c r="G734">
        <v>25</v>
      </c>
      <c r="H734" t="s">
        <v>23</v>
      </c>
      <c r="I734" t="s">
        <v>27</v>
      </c>
      <c r="J734">
        <v>50</v>
      </c>
    </row>
    <row r="735" spans="1:10" x14ac:dyDescent="0.3">
      <c r="A735">
        <v>1553</v>
      </c>
      <c r="B735" t="s">
        <v>28</v>
      </c>
      <c r="C735" s="1">
        <v>45876</v>
      </c>
      <c r="D735" t="s">
        <v>11</v>
      </c>
      <c r="E735" t="s">
        <v>12</v>
      </c>
      <c r="F735">
        <v>4</v>
      </c>
      <c r="G735">
        <v>25</v>
      </c>
      <c r="H735" t="s">
        <v>21</v>
      </c>
      <c r="I735" t="s">
        <v>27</v>
      </c>
      <c r="J735">
        <v>100</v>
      </c>
    </row>
    <row r="736" spans="1:10" x14ac:dyDescent="0.3">
      <c r="A736">
        <v>911</v>
      </c>
      <c r="B736" t="s">
        <v>32</v>
      </c>
      <c r="C736" s="1">
        <v>45863</v>
      </c>
      <c r="D736" t="s">
        <v>11</v>
      </c>
      <c r="E736" t="s">
        <v>17</v>
      </c>
      <c r="F736">
        <v>1</v>
      </c>
      <c r="G736">
        <v>12</v>
      </c>
      <c r="H736" t="s">
        <v>21</v>
      </c>
      <c r="I736" t="s">
        <v>27</v>
      </c>
      <c r="J736">
        <v>12</v>
      </c>
    </row>
    <row r="737" spans="1:10" x14ac:dyDescent="0.3">
      <c r="A737">
        <v>284</v>
      </c>
      <c r="B737" t="s">
        <v>28</v>
      </c>
      <c r="C737" s="1">
        <v>45871</v>
      </c>
      <c r="D737" t="s">
        <v>11</v>
      </c>
      <c r="E737" t="s">
        <v>17</v>
      </c>
      <c r="F737">
        <v>1</v>
      </c>
      <c r="G737">
        <v>12</v>
      </c>
      <c r="H737" t="s">
        <v>21</v>
      </c>
      <c r="I737" t="s">
        <v>14</v>
      </c>
      <c r="J737">
        <v>12</v>
      </c>
    </row>
    <row r="738" spans="1:10" x14ac:dyDescent="0.3">
      <c r="A738">
        <v>334</v>
      </c>
      <c r="B738" t="s">
        <v>32</v>
      </c>
      <c r="C738" s="1">
        <v>45914</v>
      </c>
      <c r="D738" t="s">
        <v>11</v>
      </c>
      <c r="E738" t="s">
        <v>30</v>
      </c>
      <c r="F738">
        <v>3</v>
      </c>
      <c r="G738">
        <v>8</v>
      </c>
      <c r="H738" t="s">
        <v>13</v>
      </c>
      <c r="I738" t="s">
        <v>27</v>
      </c>
      <c r="J738">
        <v>24</v>
      </c>
    </row>
    <row r="739" spans="1:10" x14ac:dyDescent="0.3">
      <c r="A739">
        <v>502</v>
      </c>
      <c r="B739" t="s">
        <v>15</v>
      </c>
      <c r="C739" s="1">
        <v>45886</v>
      </c>
      <c r="D739" t="s">
        <v>11</v>
      </c>
      <c r="E739" t="s">
        <v>30</v>
      </c>
      <c r="F739">
        <v>3</v>
      </c>
      <c r="G739">
        <v>8</v>
      </c>
      <c r="H739" t="s">
        <v>21</v>
      </c>
      <c r="I739" t="s">
        <v>25</v>
      </c>
      <c r="J739">
        <v>24</v>
      </c>
    </row>
    <row r="740" spans="1:10" x14ac:dyDescent="0.3">
      <c r="A740">
        <v>1711</v>
      </c>
      <c r="B740" t="s">
        <v>15</v>
      </c>
      <c r="C740" s="1">
        <v>45922</v>
      </c>
      <c r="D740" t="s">
        <v>11</v>
      </c>
      <c r="E740" t="s">
        <v>17</v>
      </c>
      <c r="F740">
        <v>2</v>
      </c>
      <c r="G740">
        <v>12</v>
      </c>
      <c r="H740" t="s">
        <v>23</v>
      </c>
      <c r="I740" t="s">
        <v>27</v>
      </c>
      <c r="J740">
        <v>24</v>
      </c>
    </row>
    <row r="741" spans="1:10" x14ac:dyDescent="0.3">
      <c r="A741">
        <v>1030</v>
      </c>
      <c r="B741" t="s">
        <v>15</v>
      </c>
      <c r="C741" s="1">
        <v>45848</v>
      </c>
      <c r="D741" t="s">
        <v>11</v>
      </c>
      <c r="E741" t="s">
        <v>12</v>
      </c>
      <c r="F741">
        <v>5</v>
      </c>
      <c r="G741">
        <v>25</v>
      </c>
      <c r="H741" t="s">
        <v>21</v>
      </c>
      <c r="I741" t="s">
        <v>27</v>
      </c>
      <c r="J741">
        <v>125</v>
      </c>
    </row>
    <row r="742" spans="1:10" x14ac:dyDescent="0.3">
      <c r="A742">
        <v>1012</v>
      </c>
      <c r="B742" t="s">
        <v>15</v>
      </c>
      <c r="C742" s="1">
        <v>45886</v>
      </c>
      <c r="D742" t="s">
        <v>11</v>
      </c>
      <c r="E742" t="s">
        <v>17</v>
      </c>
      <c r="F742">
        <v>4</v>
      </c>
      <c r="G742">
        <v>12</v>
      </c>
      <c r="H742" t="s">
        <v>13</v>
      </c>
      <c r="I742" t="s">
        <v>25</v>
      </c>
      <c r="J742">
        <v>48</v>
      </c>
    </row>
    <row r="743" spans="1:10" x14ac:dyDescent="0.3">
      <c r="A743">
        <v>812</v>
      </c>
      <c r="B743" t="s">
        <v>32</v>
      </c>
      <c r="C743" s="1">
        <v>45843</v>
      </c>
      <c r="D743" t="s">
        <v>11</v>
      </c>
      <c r="E743" t="s">
        <v>12</v>
      </c>
      <c r="F743">
        <v>4</v>
      </c>
      <c r="G743">
        <v>25</v>
      </c>
      <c r="H743" t="s">
        <v>21</v>
      </c>
      <c r="I743" t="s">
        <v>25</v>
      </c>
      <c r="J743">
        <v>100</v>
      </c>
    </row>
    <row r="744" spans="1:10" x14ac:dyDescent="0.3">
      <c r="A744">
        <v>1676</v>
      </c>
      <c r="B744" t="s">
        <v>15</v>
      </c>
      <c r="C744" s="1">
        <v>45886</v>
      </c>
      <c r="D744" t="s">
        <v>11</v>
      </c>
      <c r="E744" t="s">
        <v>17</v>
      </c>
      <c r="F744">
        <v>1</v>
      </c>
      <c r="G744">
        <v>12</v>
      </c>
      <c r="H744" t="s">
        <v>13</v>
      </c>
      <c r="I744" t="s">
        <v>27</v>
      </c>
      <c r="J744">
        <v>12</v>
      </c>
    </row>
    <row r="745" spans="1:10" x14ac:dyDescent="0.3">
      <c r="A745">
        <v>1272</v>
      </c>
      <c r="B745" t="s">
        <v>10</v>
      </c>
      <c r="C745" s="1">
        <v>45925</v>
      </c>
      <c r="D745" t="s">
        <v>11</v>
      </c>
      <c r="E745" t="s">
        <v>17</v>
      </c>
      <c r="F745">
        <v>2</v>
      </c>
      <c r="G745">
        <v>12</v>
      </c>
      <c r="H745" t="s">
        <v>21</v>
      </c>
      <c r="I745" t="s">
        <v>18</v>
      </c>
      <c r="J745">
        <v>24</v>
      </c>
    </row>
    <row r="746" spans="1:10" x14ac:dyDescent="0.3">
      <c r="A746">
        <v>1804</v>
      </c>
      <c r="B746" t="s">
        <v>19</v>
      </c>
      <c r="C746" s="1">
        <v>45902</v>
      </c>
      <c r="D746" t="s">
        <v>11</v>
      </c>
      <c r="E746" t="s">
        <v>29</v>
      </c>
      <c r="F746">
        <v>5</v>
      </c>
      <c r="G746">
        <v>30</v>
      </c>
      <c r="H746" t="s">
        <v>23</v>
      </c>
      <c r="I746" t="s">
        <v>18</v>
      </c>
      <c r="J746">
        <v>150</v>
      </c>
    </row>
    <row r="747" spans="1:10" x14ac:dyDescent="0.3">
      <c r="A747">
        <v>1408</v>
      </c>
      <c r="B747" t="s">
        <v>15</v>
      </c>
      <c r="C747" s="1">
        <v>45893</v>
      </c>
      <c r="D747" t="s">
        <v>11</v>
      </c>
      <c r="E747" t="s">
        <v>29</v>
      </c>
      <c r="F747">
        <v>5</v>
      </c>
      <c r="G747">
        <v>30</v>
      </c>
      <c r="H747" t="s">
        <v>23</v>
      </c>
      <c r="I747" t="s">
        <v>18</v>
      </c>
      <c r="J747">
        <v>150</v>
      </c>
    </row>
    <row r="748" spans="1:10" x14ac:dyDescent="0.3">
      <c r="A748">
        <v>1627</v>
      </c>
      <c r="B748" t="s">
        <v>24</v>
      </c>
      <c r="C748" s="1">
        <v>45848</v>
      </c>
      <c r="D748" t="s">
        <v>11</v>
      </c>
      <c r="E748" t="s">
        <v>17</v>
      </c>
      <c r="F748">
        <v>4</v>
      </c>
      <c r="G748">
        <v>12</v>
      </c>
      <c r="H748" t="s">
        <v>21</v>
      </c>
      <c r="I748" t="s">
        <v>18</v>
      </c>
      <c r="J748">
        <v>48</v>
      </c>
    </row>
    <row r="749" spans="1:10" x14ac:dyDescent="0.3">
      <c r="A749">
        <v>573</v>
      </c>
      <c r="B749" t="s">
        <v>24</v>
      </c>
      <c r="C749" s="1">
        <v>45846</v>
      </c>
      <c r="D749" t="s">
        <v>11</v>
      </c>
      <c r="E749" t="s">
        <v>17</v>
      </c>
      <c r="F749">
        <v>4</v>
      </c>
      <c r="G749">
        <v>12</v>
      </c>
      <c r="H749" t="s">
        <v>23</v>
      </c>
      <c r="I749" t="s">
        <v>18</v>
      </c>
      <c r="J749">
        <v>48</v>
      </c>
    </row>
    <row r="750" spans="1:10" x14ac:dyDescent="0.3">
      <c r="A750">
        <v>1805</v>
      </c>
      <c r="B750" t="s">
        <v>15</v>
      </c>
      <c r="C750" s="1">
        <v>45928</v>
      </c>
      <c r="D750" t="s">
        <v>11</v>
      </c>
      <c r="E750" t="s">
        <v>17</v>
      </c>
      <c r="F750">
        <v>2</v>
      </c>
      <c r="G750">
        <v>12</v>
      </c>
      <c r="H750" t="s">
        <v>13</v>
      </c>
      <c r="I750" t="s">
        <v>18</v>
      </c>
      <c r="J750">
        <v>24</v>
      </c>
    </row>
    <row r="751" spans="1:10" x14ac:dyDescent="0.3">
      <c r="A751">
        <v>527</v>
      </c>
      <c r="B751" t="s">
        <v>32</v>
      </c>
      <c r="C751" s="1">
        <v>45854</v>
      </c>
      <c r="D751" t="s">
        <v>11</v>
      </c>
      <c r="E751" t="s">
        <v>17</v>
      </c>
      <c r="F751">
        <v>3</v>
      </c>
      <c r="G751">
        <v>12</v>
      </c>
      <c r="H751" t="s">
        <v>23</v>
      </c>
      <c r="I751" t="s">
        <v>18</v>
      </c>
      <c r="J751">
        <v>36</v>
      </c>
    </row>
    <row r="752" spans="1:10" x14ac:dyDescent="0.3">
      <c r="A752">
        <v>302</v>
      </c>
      <c r="B752" t="s">
        <v>24</v>
      </c>
      <c r="C752" s="1">
        <v>45930</v>
      </c>
      <c r="D752" t="s">
        <v>11</v>
      </c>
      <c r="E752" t="s">
        <v>12</v>
      </c>
      <c r="F752">
        <v>1</v>
      </c>
      <c r="G752">
        <v>25</v>
      </c>
      <c r="H752" t="s">
        <v>21</v>
      </c>
      <c r="I752" t="s">
        <v>14</v>
      </c>
      <c r="J752">
        <v>25</v>
      </c>
    </row>
    <row r="753" spans="1:10" x14ac:dyDescent="0.3">
      <c r="A753">
        <v>1647</v>
      </c>
      <c r="B753" t="s">
        <v>28</v>
      </c>
      <c r="C753" s="1">
        <v>45924</v>
      </c>
      <c r="D753" t="s">
        <v>11</v>
      </c>
      <c r="E753" t="s">
        <v>17</v>
      </c>
      <c r="F753">
        <v>1</v>
      </c>
      <c r="G753">
        <v>12</v>
      </c>
      <c r="H753" t="s">
        <v>21</v>
      </c>
      <c r="I753" t="s">
        <v>25</v>
      </c>
      <c r="J753">
        <v>12</v>
      </c>
    </row>
    <row r="754" spans="1:10" x14ac:dyDescent="0.3">
      <c r="A754">
        <v>1955</v>
      </c>
      <c r="B754" t="s">
        <v>32</v>
      </c>
      <c r="C754" s="1">
        <v>45918</v>
      </c>
      <c r="D754" t="s">
        <v>11</v>
      </c>
      <c r="E754" t="s">
        <v>17</v>
      </c>
      <c r="F754">
        <v>5</v>
      </c>
      <c r="G754">
        <v>12</v>
      </c>
      <c r="H754" t="s">
        <v>21</v>
      </c>
      <c r="I754" t="s">
        <v>27</v>
      </c>
      <c r="J754">
        <v>60</v>
      </c>
    </row>
    <row r="755" spans="1:10" x14ac:dyDescent="0.3">
      <c r="A755">
        <v>725</v>
      </c>
      <c r="B755" t="s">
        <v>24</v>
      </c>
      <c r="C755" s="1">
        <v>45879</v>
      </c>
      <c r="D755" t="s">
        <v>11</v>
      </c>
      <c r="E755" t="s">
        <v>17</v>
      </c>
      <c r="F755">
        <v>5</v>
      </c>
      <c r="G755">
        <v>12</v>
      </c>
      <c r="H755" t="s">
        <v>21</v>
      </c>
      <c r="I755" t="s">
        <v>27</v>
      </c>
      <c r="J755">
        <v>60</v>
      </c>
    </row>
    <row r="756" spans="1:10" x14ac:dyDescent="0.3">
      <c r="A756">
        <v>1450</v>
      </c>
      <c r="B756" t="s">
        <v>31</v>
      </c>
      <c r="C756" s="1">
        <v>45920</v>
      </c>
      <c r="D756" t="s">
        <v>11</v>
      </c>
      <c r="E756" t="s">
        <v>17</v>
      </c>
      <c r="F756">
        <v>4</v>
      </c>
      <c r="G756">
        <v>12</v>
      </c>
      <c r="H756" t="s">
        <v>13</v>
      </c>
      <c r="I756" t="s">
        <v>27</v>
      </c>
      <c r="J756">
        <v>48</v>
      </c>
    </row>
    <row r="757" spans="1:10" x14ac:dyDescent="0.3">
      <c r="A757">
        <v>1421</v>
      </c>
      <c r="B757" t="s">
        <v>24</v>
      </c>
      <c r="C757" s="1">
        <v>45886</v>
      </c>
      <c r="D757" t="s">
        <v>11</v>
      </c>
      <c r="E757" t="s">
        <v>30</v>
      </c>
      <c r="F757">
        <v>2</v>
      </c>
      <c r="G757">
        <v>8</v>
      </c>
      <c r="H757" t="s">
        <v>21</v>
      </c>
      <c r="I757" t="s">
        <v>14</v>
      </c>
      <c r="J757">
        <v>16</v>
      </c>
    </row>
    <row r="758" spans="1:10" x14ac:dyDescent="0.3">
      <c r="A758">
        <v>43</v>
      </c>
      <c r="B758" t="s">
        <v>26</v>
      </c>
      <c r="C758" s="1">
        <v>45921</v>
      </c>
      <c r="D758" t="s">
        <v>11</v>
      </c>
      <c r="E758" t="s">
        <v>12</v>
      </c>
      <c r="F758">
        <v>5</v>
      </c>
      <c r="G758">
        <v>25</v>
      </c>
      <c r="H758" t="s">
        <v>13</v>
      </c>
      <c r="I758" t="s">
        <v>27</v>
      </c>
      <c r="J758">
        <v>125</v>
      </c>
    </row>
    <row r="759" spans="1:10" x14ac:dyDescent="0.3">
      <c r="A759">
        <v>1947</v>
      </c>
      <c r="B759" t="s">
        <v>24</v>
      </c>
      <c r="C759" s="1">
        <v>45848</v>
      </c>
      <c r="D759" t="s">
        <v>11</v>
      </c>
      <c r="E759" t="s">
        <v>30</v>
      </c>
      <c r="F759">
        <v>3</v>
      </c>
      <c r="G759">
        <v>8</v>
      </c>
      <c r="H759" t="s">
        <v>23</v>
      </c>
      <c r="I759" t="s">
        <v>14</v>
      </c>
      <c r="J759">
        <v>24</v>
      </c>
    </row>
    <row r="760" spans="1:10" x14ac:dyDescent="0.3">
      <c r="A760">
        <v>1803</v>
      </c>
      <c r="B760" t="s">
        <v>32</v>
      </c>
      <c r="C760" s="1">
        <v>45921</v>
      </c>
      <c r="D760" t="s">
        <v>11</v>
      </c>
      <c r="E760" t="s">
        <v>22</v>
      </c>
      <c r="F760">
        <v>2</v>
      </c>
      <c r="G760">
        <v>20</v>
      </c>
      <c r="H760" t="s">
        <v>21</v>
      </c>
      <c r="I760" t="s">
        <v>27</v>
      </c>
      <c r="J760">
        <v>40</v>
      </c>
    </row>
    <row r="761" spans="1:10" x14ac:dyDescent="0.3">
      <c r="A761">
        <v>71</v>
      </c>
      <c r="B761" t="s">
        <v>26</v>
      </c>
      <c r="C761" s="1">
        <v>45878</v>
      </c>
      <c r="D761" t="s">
        <v>11</v>
      </c>
      <c r="E761" t="s">
        <v>30</v>
      </c>
      <c r="F761">
        <v>2</v>
      </c>
      <c r="G761">
        <v>8</v>
      </c>
      <c r="H761" t="s">
        <v>13</v>
      </c>
      <c r="I761" t="s">
        <v>14</v>
      </c>
      <c r="J761">
        <v>16</v>
      </c>
    </row>
    <row r="762" spans="1:10" x14ac:dyDescent="0.3">
      <c r="A762">
        <v>1040</v>
      </c>
      <c r="B762" t="s">
        <v>32</v>
      </c>
      <c r="C762" s="1">
        <v>45847</v>
      </c>
      <c r="D762" t="s">
        <v>11</v>
      </c>
      <c r="E762" t="s">
        <v>12</v>
      </c>
      <c r="F762">
        <v>1</v>
      </c>
      <c r="G762">
        <v>25</v>
      </c>
      <c r="H762" t="s">
        <v>13</v>
      </c>
      <c r="I762" t="s">
        <v>27</v>
      </c>
      <c r="J762">
        <v>25</v>
      </c>
    </row>
    <row r="763" spans="1:10" x14ac:dyDescent="0.3">
      <c r="A763">
        <v>456</v>
      </c>
      <c r="B763" t="s">
        <v>32</v>
      </c>
      <c r="C763" s="1">
        <v>45886</v>
      </c>
      <c r="D763" t="s">
        <v>11</v>
      </c>
      <c r="E763" t="s">
        <v>17</v>
      </c>
      <c r="F763">
        <v>1</v>
      </c>
      <c r="G763">
        <v>12</v>
      </c>
      <c r="H763" t="s">
        <v>21</v>
      </c>
      <c r="I763" t="s">
        <v>25</v>
      </c>
      <c r="J763">
        <v>12</v>
      </c>
    </row>
    <row r="764" spans="1:10" x14ac:dyDescent="0.3">
      <c r="A764">
        <v>843</v>
      </c>
      <c r="B764" t="s">
        <v>24</v>
      </c>
      <c r="C764" s="1">
        <v>45906</v>
      </c>
      <c r="D764" t="s">
        <v>11</v>
      </c>
      <c r="E764" t="s">
        <v>29</v>
      </c>
      <c r="F764">
        <v>4</v>
      </c>
      <c r="G764">
        <v>30</v>
      </c>
      <c r="H764" t="s">
        <v>13</v>
      </c>
      <c r="I764" t="s">
        <v>14</v>
      </c>
      <c r="J764">
        <v>120</v>
      </c>
    </row>
    <row r="765" spans="1:10" x14ac:dyDescent="0.3">
      <c r="A765">
        <v>200</v>
      </c>
      <c r="B765" t="s">
        <v>32</v>
      </c>
      <c r="C765" s="1">
        <v>45880</v>
      </c>
      <c r="D765" t="s">
        <v>11</v>
      </c>
      <c r="E765" t="s">
        <v>17</v>
      </c>
      <c r="F765">
        <v>3</v>
      </c>
      <c r="G765">
        <v>12</v>
      </c>
      <c r="H765" t="s">
        <v>21</v>
      </c>
      <c r="I765" t="s">
        <v>14</v>
      </c>
      <c r="J765">
        <v>36</v>
      </c>
    </row>
    <row r="766" spans="1:10" x14ac:dyDescent="0.3">
      <c r="A766">
        <v>1840</v>
      </c>
      <c r="B766" t="s">
        <v>24</v>
      </c>
      <c r="C766" s="1">
        <v>45880</v>
      </c>
      <c r="D766" t="s">
        <v>11</v>
      </c>
      <c r="E766" t="s">
        <v>30</v>
      </c>
      <c r="F766">
        <v>4</v>
      </c>
      <c r="G766">
        <v>8</v>
      </c>
      <c r="H766" t="s">
        <v>13</v>
      </c>
      <c r="I766" t="s">
        <v>18</v>
      </c>
      <c r="J766">
        <v>32</v>
      </c>
    </row>
    <row r="767" spans="1:10" x14ac:dyDescent="0.3">
      <c r="A767">
        <v>1060</v>
      </c>
      <c r="B767" t="s">
        <v>31</v>
      </c>
      <c r="C767" s="1">
        <v>45899</v>
      </c>
      <c r="D767" t="s">
        <v>11</v>
      </c>
      <c r="E767" t="s">
        <v>29</v>
      </c>
      <c r="F767">
        <v>5</v>
      </c>
      <c r="G767">
        <v>30</v>
      </c>
      <c r="H767" t="s">
        <v>23</v>
      </c>
      <c r="I767" t="s">
        <v>25</v>
      </c>
      <c r="J767">
        <v>150</v>
      </c>
    </row>
    <row r="768" spans="1:10" x14ac:dyDescent="0.3">
      <c r="A768">
        <v>188</v>
      </c>
      <c r="B768" t="s">
        <v>28</v>
      </c>
      <c r="C768" s="1">
        <v>45871</v>
      </c>
      <c r="D768" t="s">
        <v>11</v>
      </c>
      <c r="E768" t="s">
        <v>30</v>
      </c>
      <c r="F768">
        <v>4</v>
      </c>
      <c r="G768">
        <v>8</v>
      </c>
      <c r="H768" t="s">
        <v>13</v>
      </c>
      <c r="I768" t="s">
        <v>25</v>
      </c>
      <c r="J768">
        <v>32</v>
      </c>
    </row>
    <row r="769" spans="1:10" x14ac:dyDescent="0.3">
      <c r="A769">
        <v>769</v>
      </c>
      <c r="B769" t="s">
        <v>31</v>
      </c>
      <c r="C769" s="1">
        <v>45850</v>
      </c>
      <c r="D769" t="s">
        <v>11</v>
      </c>
      <c r="E769" t="s">
        <v>12</v>
      </c>
      <c r="F769">
        <v>1</v>
      </c>
      <c r="G769">
        <v>25</v>
      </c>
      <c r="H769" t="s">
        <v>21</v>
      </c>
      <c r="I769" t="s">
        <v>27</v>
      </c>
      <c r="J769">
        <v>25</v>
      </c>
    </row>
    <row r="770" spans="1:10" x14ac:dyDescent="0.3">
      <c r="A770">
        <v>1337</v>
      </c>
      <c r="B770" t="s">
        <v>32</v>
      </c>
      <c r="C770" s="1">
        <v>45890</v>
      </c>
      <c r="D770" t="s">
        <v>11</v>
      </c>
      <c r="E770" t="s">
        <v>29</v>
      </c>
      <c r="F770">
        <v>2</v>
      </c>
      <c r="G770">
        <v>30</v>
      </c>
      <c r="H770" t="s">
        <v>21</v>
      </c>
      <c r="I770" t="s">
        <v>27</v>
      </c>
      <c r="J770">
        <v>60</v>
      </c>
    </row>
    <row r="771" spans="1:10" x14ac:dyDescent="0.3">
      <c r="A771">
        <v>1889</v>
      </c>
      <c r="B771" t="s">
        <v>28</v>
      </c>
      <c r="C771" s="1">
        <v>45866</v>
      </c>
      <c r="D771" t="s">
        <v>11</v>
      </c>
      <c r="E771" t="s">
        <v>12</v>
      </c>
      <c r="F771">
        <v>3</v>
      </c>
      <c r="G771">
        <v>25</v>
      </c>
      <c r="H771" t="s">
        <v>13</v>
      </c>
      <c r="I771" t="s">
        <v>14</v>
      </c>
      <c r="J771">
        <v>75</v>
      </c>
    </row>
    <row r="772" spans="1:10" x14ac:dyDescent="0.3">
      <c r="A772">
        <v>1454</v>
      </c>
      <c r="B772" t="s">
        <v>32</v>
      </c>
      <c r="C772" s="1">
        <v>45850</v>
      </c>
      <c r="D772" t="s">
        <v>11</v>
      </c>
      <c r="E772" t="s">
        <v>17</v>
      </c>
      <c r="F772">
        <v>5</v>
      </c>
      <c r="G772">
        <v>12</v>
      </c>
      <c r="H772" t="s">
        <v>13</v>
      </c>
      <c r="I772" t="s">
        <v>18</v>
      </c>
      <c r="J772">
        <v>60</v>
      </c>
    </row>
    <row r="773" spans="1:10" x14ac:dyDescent="0.3">
      <c r="A773">
        <v>524</v>
      </c>
      <c r="B773" t="s">
        <v>28</v>
      </c>
      <c r="C773" s="1">
        <v>45911</v>
      </c>
      <c r="D773" t="s">
        <v>11</v>
      </c>
      <c r="E773" t="s">
        <v>17</v>
      </c>
      <c r="F773">
        <v>4</v>
      </c>
      <c r="G773">
        <v>12</v>
      </c>
      <c r="H773" t="s">
        <v>23</v>
      </c>
      <c r="I773" t="s">
        <v>18</v>
      </c>
      <c r="J773">
        <v>48</v>
      </c>
    </row>
    <row r="774" spans="1:10" x14ac:dyDescent="0.3">
      <c r="A774">
        <v>684</v>
      </c>
      <c r="B774" t="s">
        <v>31</v>
      </c>
      <c r="C774" s="1">
        <v>45890</v>
      </c>
      <c r="D774" t="s">
        <v>11</v>
      </c>
      <c r="E774" t="s">
        <v>17</v>
      </c>
      <c r="F774">
        <v>3</v>
      </c>
      <c r="G774">
        <v>12</v>
      </c>
      <c r="H774" t="s">
        <v>21</v>
      </c>
      <c r="I774" t="s">
        <v>25</v>
      </c>
      <c r="J774">
        <v>36</v>
      </c>
    </row>
    <row r="775" spans="1:10" x14ac:dyDescent="0.3">
      <c r="A775">
        <v>1632</v>
      </c>
      <c r="B775" t="s">
        <v>32</v>
      </c>
      <c r="C775" s="1">
        <v>45875</v>
      </c>
      <c r="D775" t="s">
        <v>11</v>
      </c>
      <c r="E775" t="s">
        <v>17</v>
      </c>
      <c r="F775">
        <v>5</v>
      </c>
      <c r="G775">
        <v>12</v>
      </c>
      <c r="H775" t="s">
        <v>13</v>
      </c>
      <c r="I775" t="s">
        <v>25</v>
      </c>
      <c r="J775">
        <v>60</v>
      </c>
    </row>
    <row r="776" spans="1:10" x14ac:dyDescent="0.3">
      <c r="A776">
        <v>286</v>
      </c>
      <c r="B776" t="s">
        <v>32</v>
      </c>
      <c r="C776" s="1">
        <v>45915</v>
      </c>
      <c r="D776" t="s">
        <v>11</v>
      </c>
      <c r="E776" t="s">
        <v>17</v>
      </c>
      <c r="F776">
        <v>3</v>
      </c>
      <c r="G776">
        <v>12</v>
      </c>
      <c r="H776" t="s">
        <v>23</v>
      </c>
      <c r="I776" t="s">
        <v>14</v>
      </c>
      <c r="J776">
        <v>36</v>
      </c>
    </row>
    <row r="777" spans="1:10" x14ac:dyDescent="0.3">
      <c r="A777">
        <v>1424</v>
      </c>
      <c r="B777" t="s">
        <v>28</v>
      </c>
      <c r="C777" s="1">
        <v>45925</v>
      </c>
      <c r="D777" t="s">
        <v>11</v>
      </c>
      <c r="E777" t="s">
        <v>17</v>
      </c>
      <c r="F777">
        <v>4</v>
      </c>
      <c r="G777">
        <v>12</v>
      </c>
      <c r="H777" t="s">
        <v>23</v>
      </c>
      <c r="I777" t="s">
        <v>14</v>
      </c>
      <c r="J777">
        <v>48</v>
      </c>
    </row>
    <row r="778" spans="1:10" x14ac:dyDescent="0.3">
      <c r="A778">
        <v>1685</v>
      </c>
      <c r="B778" t="s">
        <v>28</v>
      </c>
      <c r="C778" s="1">
        <v>45922</v>
      </c>
      <c r="D778" t="s">
        <v>11</v>
      </c>
      <c r="E778" t="s">
        <v>30</v>
      </c>
      <c r="F778">
        <v>3</v>
      </c>
      <c r="G778">
        <v>8</v>
      </c>
      <c r="H778" t="s">
        <v>13</v>
      </c>
      <c r="I778" t="s">
        <v>14</v>
      </c>
      <c r="J778">
        <v>24</v>
      </c>
    </row>
    <row r="779" spans="1:10" x14ac:dyDescent="0.3">
      <c r="A779">
        <v>1311</v>
      </c>
      <c r="B779" t="s">
        <v>32</v>
      </c>
      <c r="C779" s="1">
        <v>45882</v>
      </c>
      <c r="D779" t="s">
        <v>11</v>
      </c>
      <c r="E779" t="s">
        <v>30</v>
      </c>
      <c r="F779">
        <v>5</v>
      </c>
      <c r="G779">
        <v>8</v>
      </c>
      <c r="H779" t="s">
        <v>23</v>
      </c>
      <c r="I779" t="s">
        <v>18</v>
      </c>
      <c r="J779">
        <v>40</v>
      </c>
    </row>
    <row r="780" spans="1:10" x14ac:dyDescent="0.3">
      <c r="A780">
        <v>1270</v>
      </c>
      <c r="B780" t="s">
        <v>26</v>
      </c>
      <c r="C780" s="1">
        <v>45909</v>
      </c>
      <c r="D780" t="s">
        <v>11</v>
      </c>
      <c r="E780" t="s">
        <v>30</v>
      </c>
      <c r="F780">
        <v>5</v>
      </c>
      <c r="G780">
        <v>8</v>
      </c>
      <c r="H780" t="s">
        <v>13</v>
      </c>
      <c r="I780" t="s">
        <v>14</v>
      </c>
      <c r="J780">
        <v>40</v>
      </c>
    </row>
    <row r="781" spans="1:10" x14ac:dyDescent="0.3">
      <c r="A781">
        <v>1473</v>
      </c>
      <c r="B781" t="s">
        <v>24</v>
      </c>
      <c r="C781" s="1">
        <v>45879</v>
      </c>
      <c r="D781" t="s">
        <v>11</v>
      </c>
      <c r="E781" t="s">
        <v>12</v>
      </c>
      <c r="F781">
        <v>1</v>
      </c>
      <c r="G781">
        <v>25</v>
      </c>
      <c r="H781" t="s">
        <v>23</v>
      </c>
      <c r="I781" t="s">
        <v>14</v>
      </c>
      <c r="J781">
        <v>25</v>
      </c>
    </row>
    <row r="782" spans="1:10" x14ac:dyDescent="0.3">
      <c r="A782">
        <v>1958</v>
      </c>
      <c r="B782" t="s">
        <v>32</v>
      </c>
      <c r="C782" s="1">
        <v>45855</v>
      </c>
      <c r="D782" t="s">
        <v>11</v>
      </c>
      <c r="E782" t="s">
        <v>17</v>
      </c>
      <c r="F782">
        <v>3</v>
      </c>
      <c r="G782">
        <v>12</v>
      </c>
      <c r="H782" t="s">
        <v>21</v>
      </c>
      <c r="I782" t="s">
        <v>25</v>
      </c>
      <c r="J782">
        <v>36</v>
      </c>
    </row>
    <row r="783" spans="1:10" x14ac:dyDescent="0.3">
      <c r="A783">
        <v>545</v>
      </c>
      <c r="B783" t="s">
        <v>24</v>
      </c>
      <c r="C783" s="1">
        <v>45921</v>
      </c>
      <c r="D783" t="s">
        <v>11</v>
      </c>
      <c r="E783" t="s">
        <v>17</v>
      </c>
      <c r="F783">
        <v>2</v>
      </c>
      <c r="G783">
        <v>12</v>
      </c>
      <c r="H783" t="s">
        <v>21</v>
      </c>
      <c r="I783" t="s">
        <v>18</v>
      </c>
      <c r="J783">
        <v>24</v>
      </c>
    </row>
    <row r="784" spans="1:10" x14ac:dyDescent="0.3">
      <c r="A784">
        <v>807</v>
      </c>
      <c r="B784" t="s">
        <v>19</v>
      </c>
      <c r="C784" s="1">
        <v>45863</v>
      </c>
      <c r="D784" t="s">
        <v>11</v>
      </c>
      <c r="E784" t="s">
        <v>30</v>
      </c>
      <c r="F784">
        <v>3</v>
      </c>
      <c r="G784">
        <v>8</v>
      </c>
      <c r="H784" t="s">
        <v>23</v>
      </c>
      <c r="I784" t="s">
        <v>14</v>
      </c>
      <c r="J784">
        <v>24</v>
      </c>
    </row>
    <row r="785" spans="1:10" x14ac:dyDescent="0.3">
      <c r="A785">
        <v>117</v>
      </c>
      <c r="B785" t="s">
        <v>24</v>
      </c>
      <c r="C785" s="1">
        <v>45928</v>
      </c>
      <c r="D785" t="s">
        <v>11</v>
      </c>
      <c r="E785" t="s">
        <v>17</v>
      </c>
      <c r="F785">
        <v>2</v>
      </c>
      <c r="G785">
        <v>12</v>
      </c>
      <c r="H785" t="s">
        <v>21</v>
      </c>
      <c r="I785" t="s">
        <v>18</v>
      </c>
      <c r="J785">
        <v>24</v>
      </c>
    </row>
    <row r="786" spans="1:10" x14ac:dyDescent="0.3">
      <c r="A786">
        <v>560</v>
      </c>
      <c r="B786" t="s">
        <v>10</v>
      </c>
      <c r="C786" s="1">
        <v>45903</v>
      </c>
      <c r="D786" t="s">
        <v>11</v>
      </c>
      <c r="E786" t="s">
        <v>12</v>
      </c>
      <c r="F786">
        <v>1</v>
      </c>
      <c r="G786">
        <v>25</v>
      </c>
      <c r="H786" t="s">
        <v>21</v>
      </c>
      <c r="I786" t="s">
        <v>25</v>
      </c>
      <c r="J786">
        <v>25</v>
      </c>
    </row>
    <row r="787" spans="1:10" x14ac:dyDescent="0.3">
      <c r="A787">
        <v>1644</v>
      </c>
      <c r="B787" t="s">
        <v>26</v>
      </c>
      <c r="C787" s="1">
        <v>45874</v>
      </c>
      <c r="D787" t="s">
        <v>11</v>
      </c>
      <c r="E787" t="s">
        <v>17</v>
      </c>
      <c r="F787">
        <v>4</v>
      </c>
      <c r="G787">
        <v>12</v>
      </c>
      <c r="H787" t="s">
        <v>23</v>
      </c>
      <c r="I787" t="s">
        <v>25</v>
      </c>
      <c r="J787">
        <v>48</v>
      </c>
    </row>
    <row r="788" spans="1:10" x14ac:dyDescent="0.3">
      <c r="A788">
        <v>1282</v>
      </c>
      <c r="B788" t="s">
        <v>28</v>
      </c>
      <c r="C788" s="1">
        <v>45864</v>
      </c>
      <c r="D788" t="s">
        <v>11</v>
      </c>
      <c r="E788" t="s">
        <v>17</v>
      </c>
      <c r="F788">
        <v>3</v>
      </c>
      <c r="G788">
        <v>12</v>
      </c>
      <c r="H788" t="s">
        <v>23</v>
      </c>
      <c r="I788" t="s">
        <v>27</v>
      </c>
      <c r="J788">
        <v>36</v>
      </c>
    </row>
    <row r="789" spans="1:10" x14ac:dyDescent="0.3">
      <c r="A789">
        <v>1057</v>
      </c>
      <c r="B789" t="s">
        <v>19</v>
      </c>
      <c r="C789" s="1">
        <v>45884</v>
      </c>
      <c r="D789" t="s">
        <v>11</v>
      </c>
      <c r="E789" t="s">
        <v>12</v>
      </c>
      <c r="F789">
        <v>2</v>
      </c>
      <c r="G789">
        <v>25</v>
      </c>
      <c r="H789" t="s">
        <v>13</v>
      </c>
      <c r="I789" t="s">
        <v>25</v>
      </c>
      <c r="J789">
        <v>50</v>
      </c>
    </row>
    <row r="790" spans="1:10" x14ac:dyDescent="0.3">
      <c r="A790">
        <v>364</v>
      </c>
      <c r="B790" t="s">
        <v>26</v>
      </c>
      <c r="C790" s="1">
        <v>45900</v>
      </c>
      <c r="D790" t="s">
        <v>11</v>
      </c>
      <c r="E790" t="s">
        <v>17</v>
      </c>
      <c r="F790">
        <v>2</v>
      </c>
      <c r="G790">
        <v>12</v>
      </c>
      <c r="H790" t="s">
        <v>13</v>
      </c>
      <c r="I790" t="s">
        <v>25</v>
      </c>
      <c r="J790">
        <v>24</v>
      </c>
    </row>
    <row r="791" spans="1:10" x14ac:dyDescent="0.3">
      <c r="A791">
        <v>738</v>
      </c>
      <c r="B791" t="s">
        <v>15</v>
      </c>
      <c r="C791" s="1">
        <v>45864</v>
      </c>
      <c r="D791" t="s">
        <v>11</v>
      </c>
      <c r="E791" t="s">
        <v>12</v>
      </c>
      <c r="F791">
        <v>2</v>
      </c>
      <c r="G791">
        <v>25</v>
      </c>
      <c r="H791" t="s">
        <v>21</v>
      </c>
      <c r="I791" t="s">
        <v>27</v>
      </c>
      <c r="J791">
        <v>50</v>
      </c>
    </row>
    <row r="792" spans="1:10" x14ac:dyDescent="0.3">
      <c r="A792">
        <v>613</v>
      </c>
      <c r="B792" t="s">
        <v>31</v>
      </c>
      <c r="C792" s="1">
        <v>45922</v>
      </c>
      <c r="D792" t="s">
        <v>11</v>
      </c>
      <c r="E792" t="s">
        <v>17</v>
      </c>
      <c r="F792">
        <v>4</v>
      </c>
      <c r="G792">
        <v>12</v>
      </c>
      <c r="H792" t="s">
        <v>21</v>
      </c>
      <c r="I792" t="s">
        <v>25</v>
      </c>
      <c r="J792">
        <v>48</v>
      </c>
    </row>
    <row r="793" spans="1:10" x14ac:dyDescent="0.3">
      <c r="A793">
        <v>424</v>
      </c>
      <c r="B793" t="s">
        <v>32</v>
      </c>
      <c r="C793" s="1">
        <v>45854</v>
      </c>
      <c r="D793" t="s">
        <v>11</v>
      </c>
      <c r="E793" t="s">
        <v>17</v>
      </c>
      <c r="F793">
        <v>4</v>
      </c>
      <c r="G793">
        <v>12</v>
      </c>
      <c r="H793" t="s">
        <v>13</v>
      </c>
      <c r="I793" t="s">
        <v>14</v>
      </c>
      <c r="J793">
        <v>48</v>
      </c>
    </row>
    <row r="794" spans="1:10" x14ac:dyDescent="0.3">
      <c r="A794">
        <v>1507</v>
      </c>
      <c r="B794" t="s">
        <v>19</v>
      </c>
      <c r="C794" s="1">
        <v>45921</v>
      </c>
      <c r="D794" t="s">
        <v>11</v>
      </c>
      <c r="E794" t="s">
        <v>29</v>
      </c>
      <c r="F794">
        <v>4</v>
      </c>
      <c r="G794">
        <v>30</v>
      </c>
      <c r="H794" t="s">
        <v>21</v>
      </c>
      <c r="I794" t="s">
        <v>14</v>
      </c>
      <c r="J794">
        <v>120</v>
      </c>
    </row>
    <row r="795" spans="1:10" x14ac:dyDescent="0.3">
      <c r="A795">
        <v>1842</v>
      </c>
      <c r="B795" t="s">
        <v>10</v>
      </c>
      <c r="C795" s="1">
        <v>45926</v>
      </c>
      <c r="D795" t="s">
        <v>11</v>
      </c>
      <c r="E795" t="s">
        <v>17</v>
      </c>
      <c r="F795">
        <v>3</v>
      </c>
      <c r="G795">
        <v>12</v>
      </c>
      <c r="H795" t="s">
        <v>23</v>
      </c>
      <c r="I795" t="s">
        <v>25</v>
      </c>
      <c r="J795">
        <v>36</v>
      </c>
    </row>
    <row r="796" spans="1:10" x14ac:dyDescent="0.3">
      <c r="A796">
        <v>335</v>
      </c>
      <c r="B796" t="s">
        <v>10</v>
      </c>
      <c r="C796" s="1">
        <v>45870</v>
      </c>
      <c r="D796" t="s">
        <v>11</v>
      </c>
      <c r="E796" t="s">
        <v>17</v>
      </c>
      <c r="F796">
        <v>5</v>
      </c>
      <c r="G796">
        <v>12</v>
      </c>
      <c r="H796" t="s">
        <v>21</v>
      </c>
      <c r="I796" t="s">
        <v>18</v>
      </c>
      <c r="J796">
        <v>60</v>
      </c>
    </row>
    <row r="797" spans="1:10" x14ac:dyDescent="0.3">
      <c r="A797">
        <v>704</v>
      </c>
      <c r="B797" t="s">
        <v>19</v>
      </c>
      <c r="C797" s="1">
        <v>45906</v>
      </c>
      <c r="D797" t="s">
        <v>11</v>
      </c>
      <c r="E797" t="s">
        <v>17</v>
      </c>
      <c r="F797">
        <v>5</v>
      </c>
      <c r="G797">
        <v>12</v>
      </c>
      <c r="H797" t="s">
        <v>23</v>
      </c>
      <c r="I797" t="s">
        <v>25</v>
      </c>
      <c r="J797">
        <v>60</v>
      </c>
    </row>
    <row r="798" spans="1:10" x14ac:dyDescent="0.3">
      <c r="A798">
        <v>603</v>
      </c>
      <c r="B798" t="s">
        <v>31</v>
      </c>
      <c r="C798" s="1">
        <v>45895</v>
      </c>
      <c r="D798" t="s">
        <v>11</v>
      </c>
      <c r="E798" t="s">
        <v>30</v>
      </c>
      <c r="F798">
        <v>5</v>
      </c>
      <c r="G798">
        <v>8</v>
      </c>
      <c r="H798" t="s">
        <v>23</v>
      </c>
      <c r="I798" t="s">
        <v>25</v>
      </c>
      <c r="J798">
        <v>40</v>
      </c>
    </row>
    <row r="799" spans="1:10" x14ac:dyDescent="0.3">
      <c r="A799">
        <v>1783</v>
      </c>
      <c r="B799" t="s">
        <v>19</v>
      </c>
      <c r="C799" s="1">
        <v>45915</v>
      </c>
      <c r="D799" t="s">
        <v>11</v>
      </c>
      <c r="E799" t="s">
        <v>17</v>
      </c>
      <c r="F799">
        <v>4</v>
      </c>
      <c r="G799">
        <v>12</v>
      </c>
      <c r="H799" t="s">
        <v>21</v>
      </c>
      <c r="I799" t="s">
        <v>18</v>
      </c>
      <c r="J799">
        <v>48</v>
      </c>
    </row>
    <row r="800" spans="1:10" x14ac:dyDescent="0.3">
      <c r="A800">
        <v>1309</v>
      </c>
      <c r="B800" t="s">
        <v>24</v>
      </c>
      <c r="C800" s="1">
        <v>45843</v>
      </c>
      <c r="D800" t="s">
        <v>11</v>
      </c>
      <c r="E800" t="s">
        <v>17</v>
      </c>
      <c r="F800">
        <v>3</v>
      </c>
      <c r="G800">
        <v>12</v>
      </c>
      <c r="H800" t="s">
        <v>21</v>
      </c>
      <c r="I800" t="s">
        <v>27</v>
      </c>
      <c r="J800">
        <v>36</v>
      </c>
    </row>
    <row r="801" spans="1:10" x14ac:dyDescent="0.3">
      <c r="A801">
        <v>214</v>
      </c>
      <c r="B801" t="s">
        <v>28</v>
      </c>
      <c r="C801" s="1">
        <v>45928</v>
      </c>
      <c r="D801" t="s">
        <v>11</v>
      </c>
      <c r="E801" t="s">
        <v>29</v>
      </c>
      <c r="F801">
        <v>3</v>
      </c>
      <c r="G801">
        <v>30</v>
      </c>
      <c r="H801" t="s">
        <v>21</v>
      </c>
      <c r="I801" t="s">
        <v>25</v>
      </c>
      <c r="J801">
        <v>90</v>
      </c>
    </row>
    <row r="802" spans="1:10" x14ac:dyDescent="0.3">
      <c r="A802">
        <v>481</v>
      </c>
      <c r="B802" t="s">
        <v>31</v>
      </c>
      <c r="C802" s="1">
        <v>45886</v>
      </c>
      <c r="D802" t="s">
        <v>11</v>
      </c>
      <c r="E802" t="s">
        <v>17</v>
      </c>
      <c r="F802">
        <v>2</v>
      </c>
      <c r="G802">
        <v>12</v>
      </c>
      <c r="H802" t="s">
        <v>21</v>
      </c>
      <c r="I802" t="s">
        <v>25</v>
      </c>
      <c r="J802">
        <v>24</v>
      </c>
    </row>
    <row r="803" spans="1:10" x14ac:dyDescent="0.3">
      <c r="A803">
        <v>102</v>
      </c>
      <c r="B803" t="s">
        <v>26</v>
      </c>
      <c r="C803" s="1">
        <v>45899</v>
      </c>
      <c r="D803" t="s">
        <v>11</v>
      </c>
      <c r="E803" t="s">
        <v>12</v>
      </c>
      <c r="F803">
        <v>4</v>
      </c>
      <c r="G803">
        <v>25</v>
      </c>
      <c r="H803" t="s">
        <v>23</v>
      </c>
      <c r="I803" t="s">
        <v>27</v>
      </c>
      <c r="J803">
        <v>100</v>
      </c>
    </row>
    <row r="804" spans="1:10" x14ac:dyDescent="0.3">
      <c r="A804">
        <v>598</v>
      </c>
      <c r="B804" t="s">
        <v>28</v>
      </c>
      <c r="C804" s="1">
        <v>45920</v>
      </c>
      <c r="D804" t="s">
        <v>11</v>
      </c>
      <c r="E804" t="s">
        <v>17</v>
      </c>
      <c r="F804">
        <v>3</v>
      </c>
      <c r="G804">
        <v>12</v>
      </c>
      <c r="H804" t="s">
        <v>13</v>
      </c>
      <c r="I804" t="s">
        <v>14</v>
      </c>
      <c r="J804">
        <v>36</v>
      </c>
    </row>
    <row r="805" spans="1:10" x14ac:dyDescent="0.3">
      <c r="A805">
        <v>1574</v>
      </c>
      <c r="B805" t="s">
        <v>10</v>
      </c>
      <c r="C805" s="1">
        <v>45893</v>
      </c>
      <c r="D805" t="s">
        <v>11</v>
      </c>
      <c r="E805" t="s">
        <v>29</v>
      </c>
      <c r="F805">
        <v>4</v>
      </c>
      <c r="G805">
        <v>30</v>
      </c>
      <c r="H805" t="s">
        <v>21</v>
      </c>
      <c r="I805" t="s">
        <v>25</v>
      </c>
      <c r="J805">
        <v>120</v>
      </c>
    </row>
    <row r="806" spans="1:10" x14ac:dyDescent="0.3">
      <c r="A806">
        <v>233</v>
      </c>
      <c r="B806" t="s">
        <v>31</v>
      </c>
      <c r="C806" s="1">
        <v>45885</v>
      </c>
      <c r="D806" t="s">
        <v>11</v>
      </c>
      <c r="E806" t="s">
        <v>29</v>
      </c>
      <c r="F806">
        <v>4</v>
      </c>
      <c r="G806">
        <v>30</v>
      </c>
      <c r="H806" t="s">
        <v>21</v>
      </c>
      <c r="I806" t="s">
        <v>18</v>
      </c>
      <c r="J806">
        <v>120</v>
      </c>
    </row>
    <row r="807" spans="1:10" x14ac:dyDescent="0.3">
      <c r="A807">
        <v>1183</v>
      </c>
      <c r="B807" t="s">
        <v>19</v>
      </c>
      <c r="C807" s="1">
        <v>45882</v>
      </c>
      <c r="D807" t="s">
        <v>11</v>
      </c>
      <c r="E807" t="s">
        <v>17</v>
      </c>
      <c r="F807">
        <v>1</v>
      </c>
      <c r="G807">
        <v>12</v>
      </c>
      <c r="H807" t="s">
        <v>23</v>
      </c>
      <c r="I807" t="s">
        <v>18</v>
      </c>
      <c r="J807">
        <v>12</v>
      </c>
    </row>
    <row r="808" spans="1:10" x14ac:dyDescent="0.3">
      <c r="A808">
        <v>1709</v>
      </c>
      <c r="B808" t="s">
        <v>19</v>
      </c>
      <c r="C808" s="1">
        <v>45874</v>
      </c>
      <c r="D808" t="s">
        <v>11</v>
      </c>
      <c r="E808" t="s">
        <v>17</v>
      </c>
      <c r="F808">
        <v>3</v>
      </c>
      <c r="G808">
        <v>12</v>
      </c>
      <c r="H808" t="s">
        <v>13</v>
      </c>
      <c r="I808" t="s">
        <v>18</v>
      </c>
      <c r="J808">
        <v>36</v>
      </c>
    </row>
    <row r="809" spans="1:10" x14ac:dyDescent="0.3">
      <c r="A809">
        <v>1659</v>
      </c>
      <c r="B809" t="s">
        <v>24</v>
      </c>
      <c r="C809" s="1">
        <v>45857</v>
      </c>
      <c r="D809" t="s">
        <v>11</v>
      </c>
      <c r="E809" t="s">
        <v>12</v>
      </c>
      <c r="F809">
        <v>2</v>
      </c>
      <c r="G809">
        <v>25</v>
      </c>
      <c r="H809" t="s">
        <v>23</v>
      </c>
      <c r="I809" t="s">
        <v>18</v>
      </c>
      <c r="J809">
        <v>50</v>
      </c>
    </row>
    <row r="810" spans="1:10" x14ac:dyDescent="0.3">
      <c r="A810">
        <v>1128</v>
      </c>
      <c r="B810" t="s">
        <v>26</v>
      </c>
      <c r="C810" s="1">
        <v>45892</v>
      </c>
      <c r="D810" t="s">
        <v>11</v>
      </c>
      <c r="E810" t="s">
        <v>17</v>
      </c>
      <c r="F810">
        <v>2</v>
      </c>
      <c r="G810">
        <v>12</v>
      </c>
      <c r="H810" t="s">
        <v>23</v>
      </c>
      <c r="I810" t="s">
        <v>18</v>
      </c>
      <c r="J810">
        <v>24</v>
      </c>
    </row>
    <row r="811" spans="1:10" x14ac:dyDescent="0.3">
      <c r="A811">
        <v>748</v>
      </c>
      <c r="B811" t="s">
        <v>28</v>
      </c>
      <c r="C811" s="1">
        <v>45840</v>
      </c>
      <c r="D811" t="s">
        <v>11</v>
      </c>
      <c r="E811" t="s">
        <v>17</v>
      </c>
      <c r="F811">
        <v>1</v>
      </c>
      <c r="G811">
        <v>12</v>
      </c>
      <c r="H811" t="s">
        <v>23</v>
      </c>
      <c r="I811" t="s">
        <v>18</v>
      </c>
      <c r="J811">
        <v>12</v>
      </c>
    </row>
    <row r="812" spans="1:10" x14ac:dyDescent="0.3">
      <c r="A812">
        <v>1653</v>
      </c>
      <c r="B812" t="s">
        <v>26</v>
      </c>
      <c r="C812" s="1">
        <v>45859</v>
      </c>
      <c r="D812" t="s">
        <v>11</v>
      </c>
      <c r="E812" t="s">
        <v>22</v>
      </c>
      <c r="F812">
        <v>5</v>
      </c>
      <c r="G812">
        <v>20</v>
      </c>
      <c r="H812" t="s">
        <v>13</v>
      </c>
      <c r="I812" t="s">
        <v>18</v>
      </c>
      <c r="J812">
        <v>100</v>
      </c>
    </row>
    <row r="813" spans="1:10" x14ac:dyDescent="0.3">
      <c r="A813">
        <v>1914</v>
      </c>
      <c r="B813" t="s">
        <v>10</v>
      </c>
      <c r="C813" s="1">
        <v>45878</v>
      </c>
      <c r="D813" t="s">
        <v>11</v>
      </c>
      <c r="E813" t="s">
        <v>29</v>
      </c>
      <c r="F813">
        <v>1</v>
      </c>
      <c r="G813">
        <v>30</v>
      </c>
      <c r="H813" t="s">
        <v>21</v>
      </c>
      <c r="I813" t="s">
        <v>18</v>
      </c>
      <c r="J813">
        <v>30</v>
      </c>
    </row>
    <row r="814" spans="1:10" x14ac:dyDescent="0.3">
      <c r="A814">
        <v>907</v>
      </c>
      <c r="B814" t="s">
        <v>26</v>
      </c>
      <c r="C814" s="1">
        <v>45899</v>
      </c>
      <c r="D814" t="s">
        <v>11</v>
      </c>
      <c r="E814" t="s">
        <v>29</v>
      </c>
      <c r="F814">
        <v>5</v>
      </c>
      <c r="G814">
        <v>30</v>
      </c>
      <c r="H814" t="s">
        <v>23</v>
      </c>
      <c r="I814" t="s">
        <v>18</v>
      </c>
      <c r="J814">
        <v>150</v>
      </c>
    </row>
    <row r="815" spans="1:10" x14ac:dyDescent="0.3">
      <c r="A815">
        <v>1638</v>
      </c>
      <c r="B815" t="s">
        <v>15</v>
      </c>
      <c r="C815" s="1">
        <v>45883</v>
      </c>
      <c r="D815" t="s">
        <v>11</v>
      </c>
      <c r="E815" t="s">
        <v>17</v>
      </c>
      <c r="F815">
        <v>2</v>
      </c>
      <c r="G815">
        <v>12</v>
      </c>
      <c r="H815" t="s">
        <v>23</v>
      </c>
      <c r="I815" t="s">
        <v>18</v>
      </c>
      <c r="J815">
        <v>24</v>
      </c>
    </row>
    <row r="816" spans="1:10" x14ac:dyDescent="0.3">
      <c r="A816">
        <v>1366</v>
      </c>
      <c r="B816" t="s">
        <v>10</v>
      </c>
      <c r="C816" s="1">
        <v>45914</v>
      </c>
      <c r="D816" t="s">
        <v>11</v>
      </c>
      <c r="E816" t="s">
        <v>12</v>
      </c>
      <c r="F816">
        <v>2</v>
      </c>
      <c r="G816">
        <v>25</v>
      </c>
      <c r="H816" t="s">
        <v>13</v>
      </c>
      <c r="I816" t="s">
        <v>18</v>
      </c>
      <c r="J816">
        <v>50</v>
      </c>
    </row>
    <row r="817" spans="1:10" x14ac:dyDescent="0.3">
      <c r="A817">
        <v>1665</v>
      </c>
      <c r="B817" t="s">
        <v>32</v>
      </c>
      <c r="C817" s="1">
        <v>45885</v>
      </c>
      <c r="D817" t="s">
        <v>11</v>
      </c>
      <c r="E817" t="s">
        <v>12</v>
      </c>
      <c r="F817">
        <v>5</v>
      </c>
      <c r="G817">
        <v>25</v>
      </c>
      <c r="H817" t="s">
        <v>13</v>
      </c>
      <c r="I817" t="s">
        <v>18</v>
      </c>
      <c r="J817">
        <v>125</v>
      </c>
    </row>
    <row r="818" spans="1:10" x14ac:dyDescent="0.3">
      <c r="A818">
        <v>1419</v>
      </c>
      <c r="B818" t="s">
        <v>15</v>
      </c>
      <c r="C818" s="1">
        <v>45921</v>
      </c>
      <c r="D818" t="s">
        <v>11</v>
      </c>
      <c r="E818" t="s">
        <v>17</v>
      </c>
      <c r="F818">
        <v>4</v>
      </c>
      <c r="G818">
        <v>12</v>
      </c>
      <c r="H818" t="s">
        <v>21</v>
      </c>
      <c r="I818" t="s">
        <v>18</v>
      </c>
      <c r="J818">
        <v>48</v>
      </c>
    </row>
    <row r="819" spans="1:10" x14ac:dyDescent="0.3">
      <c r="A819">
        <v>130</v>
      </c>
      <c r="B819" t="s">
        <v>31</v>
      </c>
      <c r="C819" s="1">
        <v>45871</v>
      </c>
      <c r="D819" t="s">
        <v>11</v>
      </c>
      <c r="E819" t="s">
        <v>17</v>
      </c>
      <c r="F819">
        <v>2</v>
      </c>
      <c r="G819">
        <v>12</v>
      </c>
      <c r="H819" t="s">
        <v>23</v>
      </c>
      <c r="I819" t="s">
        <v>18</v>
      </c>
      <c r="J819">
        <v>24</v>
      </c>
    </row>
    <row r="820" spans="1:10" x14ac:dyDescent="0.3">
      <c r="A820">
        <v>1606</v>
      </c>
      <c r="B820" t="s">
        <v>28</v>
      </c>
      <c r="C820" s="1">
        <v>45856</v>
      </c>
      <c r="D820" t="s">
        <v>11</v>
      </c>
      <c r="E820" t="s">
        <v>17</v>
      </c>
      <c r="F820">
        <v>2</v>
      </c>
      <c r="G820">
        <v>12</v>
      </c>
      <c r="H820" t="s">
        <v>21</v>
      </c>
      <c r="I820" t="s">
        <v>18</v>
      </c>
      <c r="J820">
        <v>24</v>
      </c>
    </row>
    <row r="821" spans="1:10" x14ac:dyDescent="0.3">
      <c r="A821">
        <v>296</v>
      </c>
      <c r="B821" t="s">
        <v>31</v>
      </c>
      <c r="C821" s="1">
        <v>45884</v>
      </c>
      <c r="D821" t="s">
        <v>11</v>
      </c>
      <c r="E821" t="s">
        <v>17</v>
      </c>
      <c r="F821">
        <v>3</v>
      </c>
      <c r="G821">
        <v>12</v>
      </c>
      <c r="H821" t="s">
        <v>21</v>
      </c>
      <c r="I821" t="s">
        <v>18</v>
      </c>
      <c r="J821">
        <v>36</v>
      </c>
    </row>
    <row r="822" spans="1:10" x14ac:dyDescent="0.3">
      <c r="A822">
        <v>1357</v>
      </c>
      <c r="B822" t="s">
        <v>31</v>
      </c>
      <c r="C822" s="1">
        <v>45869</v>
      </c>
      <c r="D822" t="s">
        <v>11</v>
      </c>
      <c r="E822" t="s">
        <v>30</v>
      </c>
      <c r="F822">
        <v>2</v>
      </c>
      <c r="G822">
        <v>8</v>
      </c>
      <c r="H822" t="s">
        <v>23</v>
      </c>
      <c r="I822" t="s">
        <v>18</v>
      </c>
      <c r="J822">
        <v>16</v>
      </c>
    </row>
    <row r="823" spans="1:10" x14ac:dyDescent="0.3">
      <c r="A823">
        <v>1149</v>
      </c>
      <c r="B823" t="s">
        <v>32</v>
      </c>
      <c r="C823" s="1">
        <v>45913</v>
      </c>
      <c r="D823" t="s">
        <v>11</v>
      </c>
      <c r="E823" t="s">
        <v>30</v>
      </c>
      <c r="F823">
        <v>3</v>
      </c>
      <c r="G823">
        <v>8</v>
      </c>
      <c r="H823" t="s">
        <v>13</v>
      </c>
      <c r="I823" t="s">
        <v>18</v>
      </c>
      <c r="J823">
        <v>24</v>
      </c>
    </row>
    <row r="824" spans="1:10" x14ac:dyDescent="0.3">
      <c r="A824">
        <v>1389</v>
      </c>
      <c r="B824" t="s">
        <v>28</v>
      </c>
      <c r="C824" s="1">
        <v>45857</v>
      </c>
      <c r="D824" t="s">
        <v>11</v>
      </c>
      <c r="E824" t="s">
        <v>17</v>
      </c>
      <c r="F824">
        <v>5</v>
      </c>
      <c r="G824">
        <v>12</v>
      </c>
      <c r="H824" t="s">
        <v>23</v>
      </c>
      <c r="I824" t="s">
        <v>18</v>
      </c>
      <c r="J824">
        <v>60</v>
      </c>
    </row>
    <row r="825" spans="1:10" x14ac:dyDescent="0.3">
      <c r="A825">
        <v>1008</v>
      </c>
      <c r="B825" t="s">
        <v>15</v>
      </c>
      <c r="C825" s="1">
        <v>45874</v>
      </c>
      <c r="D825" t="s">
        <v>11</v>
      </c>
      <c r="E825" t="s">
        <v>17</v>
      </c>
      <c r="F825">
        <v>5</v>
      </c>
      <c r="G825">
        <v>12</v>
      </c>
      <c r="H825" t="s">
        <v>13</v>
      </c>
      <c r="I825" t="s">
        <v>18</v>
      </c>
      <c r="J825">
        <v>60</v>
      </c>
    </row>
    <row r="826" spans="1:10" x14ac:dyDescent="0.3">
      <c r="A826">
        <v>551</v>
      </c>
      <c r="B826" t="s">
        <v>24</v>
      </c>
      <c r="C826" s="1">
        <v>45851</v>
      </c>
      <c r="D826" t="s">
        <v>11</v>
      </c>
      <c r="E826" t="s">
        <v>17</v>
      </c>
      <c r="F826">
        <v>2</v>
      </c>
      <c r="G826">
        <v>12</v>
      </c>
      <c r="H826" t="s">
        <v>21</v>
      </c>
      <c r="I826" t="s">
        <v>18</v>
      </c>
      <c r="J826">
        <v>24</v>
      </c>
    </row>
    <row r="827" spans="1:10" x14ac:dyDescent="0.3">
      <c r="A827">
        <v>1241</v>
      </c>
      <c r="B827" t="s">
        <v>15</v>
      </c>
      <c r="C827" s="1">
        <v>45859</v>
      </c>
      <c r="D827" t="s">
        <v>11</v>
      </c>
      <c r="E827" t="s">
        <v>17</v>
      </c>
      <c r="F827">
        <v>4</v>
      </c>
      <c r="G827">
        <v>12</v>
      </c>
      <c r="H827" t="s">
        <v>23</v>
      </c>
      <c r="I827" t="s">
        <v>18</v>
      </c>
      <c r="J827">
        <v>48</v>
      </c>
    </row>
    <row r="828" spans="1:10" x14ac:dyDescent="0.3">
      <c r="A828">
        <v>534</v>
      </c>
      <c r="B828" t="s">
        <v>24</v>
      </c>
      <c r="C828" s="1">
        <v>45880</v>
      </c>
      <c r="D828" t="s">
        <v>11</v>
      </c>
      <c r="E828" t="s">
        <v>17</v>
      </c>
      <c r="F828">
        <v>1</v>
      </c>
      <c r="G828">
        <v>12</v>
      </c>
      <c r="H828" t="s">
        <v>13</v>
      </c>
      <c r="I828" t="s">
        <v>18</v>
      </c>
      <c r="J828">
        <v>12</v>
      </c>
    </row>
    <row r="829" spans="1:10" x14ac:dyDescent="0.3">
      <c r="A829">
        <v>1712</v>
      </c>
      <c r="B829" t="s">
        <v>24</v>
      </c>
      <c r="C829" s="1">
        <v>45907</v>
      </c>
      <c r="D829" t="s">
        <v>11</v>
      </c>
      <c r="E829" t="s">
        <v>30</v>
      </c>
      <c r="F829">
        <v>2</v>
      </c>
      <c r="G829">
        <v>8</v>
      </c>
      <c r="H829" t="s">
        <v>13</v>
      </c>
      <c r="I829" t="s">
        <v>18</v>
      </c>
      <c r="J829">
        <v>16</v>
      </c>
    </row>
    <row r="830" spans="1:10" x14ac:dyDescent="0.3">
      <c r="A830">
        <v>1825</v>
      </c>
      <c r="B830" t="s">
        <v>15</v>
      </c>
      <c r="C830" s="1">
        <v>45903</v>
      </c>
      <c r="D830" t="s">
        <v>11</v>
      </c>
      <c r="E830" t="s">
        <v>17</v>
      </c>
      <c r="F830">
        <v>3</v>
      </c>
      <c r="G830">
        <v>12</v>
      </c>
      <c r="H830" t="s">
        <v>13</v>
      </c>
      <c r="I830" t="s">
        <v>18</v>
      </c>
      <c r="J830">
        <v>36</v>
      </c>
    </row>
    <row r="831" spans="1:10" x14ac:dyDescent="0.3">
      <c r="A831">
        <v>28</v>
      </c>
      <c r="B831" t="s">
        <v>26</v>
      </c>
      <c r="C831" s="1">
        <v>45906</v>
      </c>
      <c r="D831" t="s">
        <v>11</v>
      </c>
      <c r="E831" t="s">
        <v>29</v>
      </c>
      <c r="F831">
        <v>1</v>
      </c>
      <c r="G831">
        <v>30</v>
      </c>
      <c r="H831" t="s">
        <v>23</v>
      </c>
      <c r="I831" t="s">
        <v>18</v>
      </c>
      <c r="J831">
        <v>30</v>
      </c>
    </row>
    <row r="832" spans="1:10" x14ac:dyDescent="0.3">
      <c r="A832">
        <v>306</v>
      </c>
      <c r="B832" t="s">
        <v>15</v>
      </c>
      <c r="C832" s="1">
        <v>45896</v>
      </c>
      <c r="D832" t="s">
        <v>11</v>
      </c>
      <c r="E832" t="s">
        <v>17</v>
      </c>
      <c r="F832">
        <v>4</v>
      </c>
      <c r="G832">
        <v>12</v>
      </c>
      <c r="H832" t="s">
        <v>23</v>
      </c>
      <c r="I832" t="s">
        <v>18</v>
      </c>
      <c r="J832">
        <v>48</v>
      </c>
    </row>
    <row r="833" spans="1:10" x14ac:dyDescent="0.3">
      <c r="A833">
        <v>1226</v>
      </c>
      <c r="B833" t="s">
        <v>10</v>
      </c>
      <c r="C833" s="1">
        <v>45872</v>
      </c>
      <c r="D833" t="s">
        <v>11</v>
      </c>
      <c r="E833" t="s">
        <v>22</v>
      </c>
      <c r="F833">
        <v>2</v>
      </c>
      <c r="G833">
        <v>20</v>
      </c>
      <c r="H833" t="s">
        <v>21</v>
      </c>
      <c r="I833" t="s">
        <v>18</v>
      </c>
      <c r="J833">
        <v>40</v>
      </c>
    </row>
    <row r="834" spans="1:10" x14ac:dyDescent="0.3">
      <c r="A834">
        <v>1076</v>
      </c>
      <c r="B834" t="s">
        <v>15</v>
      </c>
      <c r="C834" s="1">
        <v>45860</v>
      </c>
      <c r="D834" t="s">
        <v>11</v>
      </c>
      <c r="E834" t="s">
        <v>22</v>
      </c>
      <c r="F834">
        <v>4</v>
      </c>
      <c r="G834">
        <v>20</v>
      </c>
      <c r="H834" t="s">
        <v>13</v>
      </c>
      <c r="I834" t="s">
        <v>18</v>
      </c>
      <c r="J834">
        <v>80</v>
      </c>
    </row>
    <row r="835" spans="1:10" x14ac:dyDescent="0.3">
      <c r="A835">
        <v>904</v>
      </c>
      <c r="B835" t="s">
        <v>28</v>
      </c>
      <c r="C835" s="1">
        <v>45886</v>
      </c>
      <c r="D835" t="s">
        <v>11</v>
      </c>
      <c r="E835" t="s">
        <v>17</v>
      </c>
      <c r="F835">
        <v>3</v>
      </c>
      <c r="G835">
        <v>12</v>
      </c>
      <c r="H835" t="s">
        <v>21</v>
      </c>
      <c r="I835" t="s">
        <v>18</v>
      </c>
      <c r="J835">
        <v>36</v>
      </c>
    </row>
    <row r="836" spans="1:10" x14ac:dyDescent="0.3">
      <c r="A836">
        <v>1846</v>
      </c>
      <c r="B836" t="s">
        <v>28</v>
      </c>
      <c r="C836" s="1">
        <v>45892</v>
      </c>
      <c r="D836" t="s">
        <v>11</v>
      </c>
      <c r="E836" t="s">
        <v>30</v>
      </c>
      <c r="F836">
        <v>3</v>
      </c>
      <c r="G836">
        <v>8</v>
      </c>
      <c r="H836" t="s">
        <v>23</v>
      </c>
      <c r="I836" t="s">
        <v>18</v>
      </c>
      <c r="J836">
        <v>24</v>
      </c>
    </row>
    <row r="837" spans="1:10" x14ac:dyDescent="0.3">
      <c r="A837">
        <v>20</v>
      </c>
      <c r="B837" t="s">
        <v>32</v>
      </c>
      <c r="C837" s="1">
        <v>45920</v>
      </c>
      <c r="D837" t="s">
        <v>11</v>
      </c>
      <c r="E837" t="s">
        <v>30</v>
      </c>
      <c r="F837">
        <v>4</v>
      </c>
      <c r="G837">
        <v>8</v>
      </c>
      <c r="H837" t="s">
        <v>21</v>
      </c>
      <c r="I837" t="s">
        <v>18</v>
      </c>
      <c r="J837">
        <v>32</v>
      </c>
    </row>
    <row r="838" spans="1:10" x14ac:dyDescent="0.3">
      <c r="A838">
        <v>961</v>
      </c>
      <c r="B838" t="s">
        <v>24</v>
      </c>
      <c r="C838" s="1">
        <v>45881</v>
      </c>
      <c r="D838" t="s">
        <v>11</v>
      </c>
      <c r="E838" t="s">
        <v>17</v>
      </c>
      <c r="F838">
        <v>4</v>
      </c>
      <c r="G838">
        <v>12</v>
      </c>
      <c r="H838" t="s">
        <v>23</v>
      </c>
      <c r="I838" t="s">
        <v>18</v>
      </c>
      <c r="J838">
        <v>48</v>
      </c>
    </row>
    <row r="839" spans="1:10" x14ac:dyDescent="0.3">
      <c r="A839">
        <v>1429</v>
      </c>
      <c r="B839" t="s">
        <v>10</v>
      </c>
      <c r="C839" s="1">
        <v>45884</v>
      </c>
      <c r="D839" t="s">
        <v>11</v>
      </c>
      <c r="E839" t="s">
        <v>22</v>
      </c>
      <c r="F839">
        <v>4</v>
      </c>
      <c r="G839">
        <v>20</v>
      </c>
      <c r="H839" t="s">
        <v>13</v>
      </c>
      <c r="I839" t="s">
        <v>18</v>
      </c>
      <c r="J839">
        <v>80</v>
      </c>
    </row>
    <row r="840" spans="1:10" x14ac:dyDescent="0.3">
      <c r="A840">
        <v>1150</v>
      </c>
      <c r="B840" t="s">
        <v>24</v>
      </c>
      <c r="C840" s="1">
        <v>45849</v>
      </c>
      <c r="D840" t="s">
        <v>11</v>
      </c>
      <c r="E840" t="s">
        <v>17</v>
      </c>
      <c r="F840">
        <v>4</v>
      </c>
      <c r="G840">
        <v>12</v>
      </c>
      <c r="H840" t="s">
        <v>21</v>
      </c>
      <c r="I840" t="s">
        <v>18</v>
      </c>
      <c r="J840">
        <v>48</v>
      </c>
    </row>
    <row r="841" spans="1:10" x14ac:dyDescent="0.3">
      <c r="A841">
        <v>1445</v>
      </c>
      <c r="B841" t="s">
        <v>32</v>
      </c>
      <c r="C841" s="1">
        <v>45850</v>
      </c>
      <c r="D841" t="s">
        <v>11</v>
      </c>
      <c r="E841" t="s">
        <v>29</v>
      </c>
      <c r="F841">
        <v>4</v>
      </c>
      <c r="G841">
        <v>30</v>
      </c>
      <c r="H841" t="s">
        <v>23</v>
      </c>
      <c r="I841" t="s">
        <v>18</v>
      </c>
      <c r="J841">
        <v>120</v>
      </c>
    </row>
    <row r="842" spans="1:10" x14ac:dyDescent="0.3">
      <c r="A842">
        <v>156</v>
      </c>
      <c r="B842" t="s">
        <v>26</v>
      </c>
      <c r="C842" s="1">
        <v>45857</v>
      </c>
      <c r="D842" t="s">
        <v>11</v>
      </c>
      <c r="E842" t="s">
        <v>17</v>
      </c>
      <c r="F842">
        <v>4</v>
      </c>
      <c r="G842">
        <v>12</v>
      </c>
      <c r="H842" t="s">
        <v>23</v>
      </c>
      <c r="I842" t="s">
        <v>18</v>
      </c>
      <c r="J842">
        <v>48</v>
      </c>
    </row>
    <row r="843" spans="1:10" x14ac:dyDescent="0.3">
      <c r="A843">
        <v>1940</v>
      </c>
      <c r="B843" t="s">
        <v>28</v>
      </c>
      <c r="C843" s="1">
        <v>45911</v>
      </c>
      <c r="D843" t="s">
        <v>11</v>
      </c>
      <c r="E843" t="s">
        <v>17</v>
      </c>
      <c r="F843">
        <v>3</v>
      </c>
      <c r="G843">
        <v>12</v>
      </c>
      <c r="H843" t="s">
        <v>23</v>
      </c>
      <c r="I843" t="s">
        <v>18</v>
      </c>
      <c r="J843">
        <v>36</v>
      </c>
    </row>
    <row r="844" spans="1:10" x14ac:dyDescent="0.3">
      <c r="A844">
        <v>1410</v>
      </c>
      <c r="B844" t="s">
        <v>26</v>
      </c>
      <c r="C844" s="1">
        <v>45857</v>
      </c>
      <c r="D844" t="s">
        <v>11</v>
      </c>
      <c r="E844" t="s">
        <v>17</v>
      </c>
      <c r="F844">
        <v>5</v>
      </c>
      <c r="G844">
        <v>12</v>
      </c>
      <c r="H844" t="s">
        <v>23</v>
      </c>
      <c r="I844" t="s">
        <v>18</v>
      </c>
      <c r="J844">
        <v>60</v>
      </c>
    </row>
    <row r="845" spans="1:10" x14ac:dyDescent="0.3">
      <c r="A845">
        <v>1791</v>
      </c>
      <c r="B845" t="s">
        <v>15</v>
      </c>
      <c r="C845" s="1">
        <v>45892</v>
      </c>
      <c r="D845" t="s">
        <v>11</v>
      </c>
      <c r="E845" t="s">
        <v>17</v>
      </c>
      <c r="F845">
        <v>4</v>
      </c>
      <c r="G845">
        <v>12</v>
      </c>
      <c r="H845" t="s">
        <v>21</v>
      </c>
      <c r="I845" t="s">
        <v>18</v>
      </c>
      <c r="J845">
        <v>48</v>
      </c>
    </row>
    <row r="846" spans="1:10" x14ac:dyDescent="0.3">
      <c r="A846">
        <v>1882</v>
      </c>
      <c r="B846" t="s">
        <v>26</v>
      </c>
      <c r="C846" s="1">
        <v>45846</v>
      </c>
      <c r="D846" t="s">
        <v>11</v>
      </c>
      <c r="E846" t="s">
        <v>30</v>
      </c>
      <c r="F846">
        <v>3</v>
      </c>
      <c r="G846">
        <v>8</v>
      </c>
      <c r="H846" t="s">
        <v>23</v>
      </c>
      <c r="I846" t="s">
        <v>18</v>
      </c>
      <c r="J846">
        <v>24</v>
      </c>
    </row>
    <row r="847" spans="1:10" x14ac:dyDescent="0.3">
      <c r="A847">
        <v>1171</v>
      </c>
      <c r="B847" t="s">
        <v>19</v>
      </c>
      <c r="C847" s="1">
        <v>45852</v>
      </c>
      <c r="D847" t="s">
        <v>11</v>
      </c>
      <c r="E847" t="s">
        <v>30</v>
      </c>
      <c r="F847">
        <v>4</v>
      </c>
      <c r="G847">
        <v>8</v>
      </c>
      <c r="H847" t="s">
        <v>13</v>
      </c>
      <c r="I847" t="s">
        <v>18</v>
      </c>
      <c r="J847">
        <v>32</v>
      </c>
    </row>
    <row r="848" spans="1:10" x14ac:dyDescent="0.3">
      <c r="A848">
        <v>579</v>
      </c>
      <c r="B848" t="s">
        <v>26</v>
      </c>
      <c r="C848" s="1">
        <v>45922</v>
      </c>
      <c r="D848" t="s">
        <v>11</v>
      </c>
      <c r="E848" t="s">
        <v>17</v>
      </c>
      <c r="F848">
        <v>2</v>
      </c>
      <c r="G848">
        <v>12</v>
      </c>
      <c r="H848" t="s">
        <v>21</v>
      </c>
      <c r="I848" t="s">
        <v>18</v>
      </c>
      <c r="J848">
        <v>24</v>
      </c>
    </row>
    <row r="849" spans="1:10" x14ac:dyDescent="0.3">
      <c r="A849">
        <v>322</v>
      </c>
      <c r="B849" t="s">
        <v>15</v>
      </c>
      <c r="C849" s="1">
        <v>45850</v>
      </c>
      <c r="D849" t="s">
        <v>11</v>
      </c>
      <c r="E849" t="s">
        <v>30</v>
      </c>
      <c r="F849">
        <v>1</v>
      </c>
      <c r="G849">
        <v>8</v>
      </c>
      <c r="H849" t="s">
        <v>21</v>
      </c>
      <c r="I849" t="s">
        <v>18</v>
      </c>
      <c r="J849">
        <v>8</v>
      </c>
    </row>
    <row r="850" spans="1:10" x14ac:dyDescent="0.3">
      <c r="A850">
        <v>1010</v>
      </c>
      <c r="B850" t="s">
        <v>19</v>
      </c>
      <c r="C850" s="1">
        <v>45846</v>
      </c>
      <c r="D850" t="s">
        <v>11</v>
      </c>
      <c r="E850" t="s">
        <v>17</v>
      </c>
      <c r="F850">
        <v>4</v>
      </c>
      <c r="G850">
        <v>12</v>
      </c>
      <c r="H850" t="s">
        <v>13</v>
      </c>
      <c r="I850" t="s">
        <v>18</v>
      </c>
      <c r="J850">
        <v>48</v>
      </c>
    </row>
    <row r="851" spans="1:10" x14ac:dyDescent="0.3">
      <c r="A851">
        <v>1717</v>
      </c>
      <c r="B851" t="s">
        <v>19</v>
      </c>
      <c r="C851" s="1">
        <v>45928</v>
      </c>
      <c r="D851" t="s">
        <v>11</v>
      </c>
      <c r="E851" t="s">
        <v>17</v>
      </c>
      <c r="F851">
        <v>1</v>
      </c>
      <c r="G851">
        <v>12</v>
      </c>
      <c r="H851" t="s">
        <v>23</v>
      </c>
      <c r="I851" t="s">
        <v>18</v>
      </c>
      <c r="J851">
        <v>12</v>
      </c>
    </row>
    <row r="852" spans="1:10" x14ac:dyDescent="0.3">
      <c r="A852">
        <v>1555</v>
      </c>
      <c r="B852" t="s">
        <v>31</v>
      </c>
      <c r="C852" s="1">
        <v>45877</v>
      </c>
      <c r="D852" t="s">
        <v>11</v>
      </c>
      <c r="E852" t="s">
        <v>17</v>
      </c>
      <c r="F852">
        <v>1</v>
      </c>
      <c r="G852">
        <v>12</v>
      </c>
      <c r="H852" t="s">
        <v>21</v>
      </c>
      <c r="I852" t="s">
        <v>18</v>
      </c>
      <c r="J852">
        <v>12</v>
      </c>
    </row>
    <row r="853" spans="1:10" x14ac:dyDescent="0.3">
      <c r="A853">
        <v>975</v>
      </c>
      <c r="B853" t="s">
        <v>31</v>
      </c>
      <c r="C853" s="1">
        <v>45885</v>
      </c>
      <c r="D853" t="s">
        <v>11</v>
      </c>
      <c r="E853" t="s">
        <v>17</v>
      </c>
      <c r="F853">
        <v>3</v>
      </c>
      <c r="G853">
        <v>12</v>
      </c>
      <c r="H853" t="s">
        <v>23</v>
      </c>
      <c r="I853" t="s">
        <v>18</v>
      </c>
      <c r="J853">
        <v>36</v>
      </c>
    </row>
    <row r="854" spans="1:10" x14ac:dyDescent="0.3">
      <c r="A854">
        <v>1084</v>
      </c>
      <c r="B854" t="s">
        <v>31</v>
      </c>
      <c r="C854" s="1">
        <v>45864</v>
      </c>
      <c r="D854" t="s">
        <v>11</v>
      </c>
      <c r="E854" t="s">
        <v>12</v>
      </c>
      <c r="F854">
        <v>3</v>
      </c>
      <c r="G854">
        <v>25</v>
      </c>
      <c r="H854" t="s">
        <v>13</v>
      </c>
      <c r="I854" t="s">
        <v>18</v>
      </c>
      <c r="J854">
        <v>75</v>
      </c>
    </row>
    <row r="855" spans="1:10" x14ac:dyDescent="0.3">
      <c r="A855">
        <v>1990</v>
      </c>
      <c r="B855" t="s">
        <v>15</v>
      </c>
      <c r="C855" s="1">
        <v>45900</v>
      </c>
      <c r="D855" t="s">
        <v>11</v>
      </c>
      <c r="E855" t="s">
        <v>22</v>
      </c>
      <c r="F855">
        <v>2</v>
      </c>
      <c r="G855">
        <v>20</v>
      </c>
      <c r="H855" t="s">
        <v>21</v>
      </c>
      <c r="I855" t="s">
        <v>18</v>
      </c>
      <c r="J855">
        <v>40</v>
      </c>
    </row>
    <row r="856" spans="1:10" x14ac:dyDescent="0.3">
      <c r="A856">
        <v>1396</v>
      </c>
      <c r="B856" t="s">
        <v>10</v>
      </c>
      <c r="C856" s="1">
        <v>45925</v>
      </c>
      <c r="D856" t="s">
        <v>11</v>
      </c>
      <c r="E856" t="s">
        <v>29</v>
      </c>
      <c r="F856">
        <v>3</v>
      </c>
      <c r="G856">
        <v>30</v>
      </c>
      <c r="H856" t="s">
        <v>23</v>
      </c>
      <c r="I856" t="s">
        <v>18</v>
      </c>
      <c r="J856">
        <v>90</v>
      </c>
    </row>
    <row r="857" spans="1:10" x14ac:dyDescent="0.3">
      <c r="A857">
        <v>46</v>
      </c>
      <c r="B857" t="s">
        <v>31</v>
      </c>
      <c r="C857" s="1">
        <v>45891</v>
      </c>
      <c r="D857" t="s">
        <v>11</v>
      </c>
      <c r="E857" t="s">
        <v>30</v>
      </c>
      <c r="F857">
        <v>2</v>
      </c>
      <c r="G857">
        <v>8</v>
      </c>
      <c r="H857" t="s">
        <v>13</v>
      </c>
      <c r="I857" t="s">
        <v>18</v>
      </c>
      <c r="J857">
        <v>16</v>
      </c>
    </row>
    <row r="858" spans="1:10" x14ac:dyDescent="0.3">
      <c r="A858">
        <v>210</v>
      </c>
      <c r="B858" t="s">
        <v>15</v>
      </c>
      <c r="C858" s="1">
        <v>45892</v>
      </c>
      <c r="D858" t="s">
        <v>11</v>
      </c>
      <c r="E858" t="s">
        <v>29</v>
      </c>
      <c r="F858">
        <v>1</v>
      </c>
      <c r="G858">
        <v>30</v>
      </c>
      <c r="H858" t="s">
        <v>23</v>
      </c>
      <c r="I858" t="s">
        <v>18</v>
      </c>
      <c r="J858">
        <v>30</v>
      </c>
    </row>
    <row r="859" spans="1:10" x14ac:dyDescent="0.3">
      <c r="A859">
        <v>535</v>
      </c>
      <c r="B859" t="s">
        <v>32</v>
      </c>
      <c r="C859" s="1">
        <v>45904</v>
      </c>
      <c r="D859" t="s">
        <v>11</v>
      </c>
      <c r="E859" t="s">
        <v>30</v>
      </c>
      <c r="F859">
        <v>2</v>
      </c>
      <c r="G859">
        <v>8</v>
      </c>
      <c r="H859" t="s">
        <v>21</v>
      </c>
      <c r="I859" t="s">
        <v>18</v>
      </c>
      <c r="J859">
        <v>16</v>
      </c>
    </row>
    <row r="860" spans="1:10" x14ac:dyDescent="0.3">
      <c r="A860">
        <v>87</v>
      </c>
      <c r="B860" t="s">
        <v>10</v>
      </c>
      <c r="C860" s="1">
        <v>45925</v>
      </c>
      <c r="D860" t="s">
        <v>11</v>
      </c>
      <c r="E860" t="s">
        <v>17</v>
      </c>
      <c r="F860">
        <v>3</v>
      </c>
      <c r="G860">
        <v>12</v>
      </c>
      <c r="H860" t="s">
        <v>23</v>
      </c>
      <c r="I860" t="s">
        <v>18</v>
      </c>
      <c r="J860">
        <v>36</v>
      </c>
    </row>
    <row r="861" spans="1:10" x14ac:dyDescent="0.3">
      <c r="A861">
        <v>1692</v>
      </c>
      <c r="B861" t="s">
        <v>10</v>
      </c>
      <c r="C861" s="1">
        <v>45865</v>
      </c>
      <c r="D861" t="s">
        <v>11</v>
      </c>
      <c r="E861" t="s">
        <v>12</v>
      </c>
      <c r="F861">
        <v>3</v>
      </c>
      <c r="G861">
        <v>25</v>
      </c>
      <c r="H861" t="s">
        <v>23</v>
      </c>
      <c r="I861" t="s">
        <v>18</v>
      </c>
      <c r="J861">
        <v>75</v>
      </c>
    </row>
    <row r="862" spans="1:10" x14ac:dyDescent="0.3">
      <c r="A862">
        <v>1652</v>
      </c>
      <c r="B862" t="s">
        <v>10</v>
      </c>
      <c r="C862" s="1">
        <v>45841</v>
      </c>
      <c r="D862" t="s">
        <v>11</v>
      </c>
      <c r="E862" t="s">
        <v>17</v>
      </c>
      <c r="F862">
        <v>1</v>
      </c>
      <c r="G862">
        <v>12</v>
      </c>
      <c r="H862" t="s">
        <v>23</v>
      </c>
      <c r="I862" t="s">
        <v>18</v>
      </c>
      <c r="J862">
        <v>12</v>
      </c>
    </row>
    <row r="863" spans="1:10" x14ac:dyDescent="0.3">
      <c r="A863">
        <v>1594</v>
      </c>
      <c r="B863" t="s">
        <v>31</v>
      </c>
      <c r="C863" s="1">
        <v>45881</v>
      </c>
      <c r="D863" t="s">
        <v>11</v>
      </c>
      <c r="E863" t="s">
        <v>12</v>
      </c>
      <c r="F863">
        <v>5</v>
      </c>
      <c r="G863">
        <v>25</v>
      </c>
      <c r="H863" t="s">
        <v>13</v>
      </c>
      <c r="I863" t="s">
        <v>18</v>
      </c>
      <c r="J863">
        <v>125</v>
      </c>
    </row>
    <row r="864" spans="1:10" x14ac:dyDescent="0.3">
      <c r="A864">
        <v>522</v>
      </c>
      <c r="B864" t="s">
        <v>28</v>
      </c>
      <c r="C864" s="1">
        <v>45850</v>
      </c>
      <c r="D864" t="s">
        <v>11</v>
      </c>
      <c r="E864" t="s">
        <v>17</v>
      </c>
      <c r="F864">
        <v>2</v>
      </c>
      <c r="G864">
        <v>12</v>
      </c>
      <c r="H864" t="s">
        <v>21</v>
      </c>
      <c r="I864" t="s">
        <v>18</v>
      </c>
      <c r="J864">
        <v>24</v>
      </c>
    </row>
    <row r="865" spans="1:10" x14ac:dyDescent="0.3">
      <c r="A865">
        <v>264</v>
      </c>
      <c r="B865" t="s">
        <v>24</v>
      </c>
      <c r="C865" s="1">
        <v>45886</v>
      </c>
      <c r="D865" t="s">
        <v>11</v>
      </c>
      <c r="E865" t="s">
        <v>17</v>
      </c>
      <c r="F865">
        <v>3</v>
      </c>
      <c r="G865">
        <v>12</v>
      </c>
      <c r="H865" t="s">
        <v>23</v>
      </c>
      <c r="I865" t="s">
        <v>18</v>
      </c>
      <c r="J865">
        <v>36</v>
      </c>
    </row>
    <row r="866" spans="1:10" x14ac:dyDescent="0.3">
      <c r="A866">
        <v>1404</v>
      </c>
      <c r="B866" t="s">
        <v>10</v>
      </c>
      <c r="C866" s="1">
        <v>45920</v>
      </c>
      <c r="D866" t="s">
        <v>11</v>
      </c>
      <c r="E866" t="s">
        <v>17</v>
      </c>
      <c r="F866">
        <v>2</v>
      </c>
      <c r="G866">
        <v>12</v>
      </c>
      <c r="H866" t="s">
        <v>13</v>
      </c>
      <c r="I866" t="s">
        <v>18</v>
      </c>
      <c r="J866">
        <v>24</v>
      </c>
    </row>
    <row r="867" spans="1:10" x14ac:dyDescent="0.3">
      <c r="A867">
        <v>1106</v>
      </c>
      <c r="B867" t="s">
        <v>31</v>
      </c>
      <c r="C867" s="1">
        <v>45845</v>
      </c>
      <c r="D867" t="s">
        <v>11</v>
      </c>
      <c r="E867" t="s">
        <v>17</v>
      </c>
      <c r="F867">
        <v>5</v>
      </c>
      <c r="G867">
        <v>12</v>
      </c>
      <c r="H867" t="s">
        <v>23</v>
      </c>
      <c r="I867" t="s">
        <v>18</v>
      </c>
      <c r="J867">
        <v>60</v>
      </c>
    </row>
    <row r="868" spans="1:10" x14ac:dyDescent="0.3">
      <c r="A868">
        <v>927</v>
      </c>
      <c r="B868" t="s">
        <v>15</v>
      </c>
      <c r="C868" s="1">
        <v>45850</v>
      </c>
      <c r="D868" t="s">
        <v>11</v>
      </c>
      <c r="E868" t="s">
        <v>22</v>
      </c>
      <c r="F868">
        <v>2</v>
      </c>
      <c r="G868">
        <v>20</v>
      </c>
      <c r="H868" t="s">
        <v>21</v>
      </c>
      <c r="I868" t="s">
        <v>18</v>
      </c>
      <c r="J868">
        <v>40</v>
      </c>
    </row>
    <row r="869" spans="1:10" x14ac:dyDescent="0.3">
      <c r="A869">
        <v>467</v>
      </c>
      <c r="B869" t="s">
        <v>19</v>
      </c>
      <c r="C869" s="1">
        <v>45864</v>
      </c>
      <c r="D869" t="s">
        <v>11</v>
      </c>
      <c r="E869" t="s">
        <v>17</v>
      </c>
      <c r="F869">
        <v>2</v>
      </c>
      <c r="G869">
        <v>12</v>
      </c>
      <c r="H869" t="s">
        <v>21</v>
      </c>
      <c r="I869" t="s">
        <v>18</v>
      </c>
      <c r="J869">
        <v>24</v>
      </c>
    </row>
    <row r="870" spans="1:10" x14ac:dyDescent="0.3">
      <c r="A870">
        <v>35</v>
      </c>
      <c r="B870" t="s">
        <v>10</v>
      </c>
      <c r="C870" s="1">
        <v>45885</v>
      </c>
      <c r="D870" t="s">
        <v>11</v>
      </c>
      <c r="E870" t="s">
        <v>12</v>
      </c>
      <c r="F870">
        <v>4</v>
      </c>
      <c r="G870">
        <v>25</v>
      </c>
      <c r="H870" t="s">
        <v>21</v>
      </c>
      <c r="I870" t="s">
        <v>18</v>
      </c>
      <c r="J870">
        <v>100</v>
      </c>
    </row>
    <row r="871" spans="1:10" x14ac:dyDescent="0.3">
      <c r="A871">
        <v>706</v>
      </c>
      <c r="B871" t="s">
        <v>15</v>
      </c>
      <c r="C871" s="1">
        <v>45854</v>
      </c>
      <c r="D871" t="s">
        <v>11</v>
      </c>
      <c r="E871" t="s">
        <v>22</v>
      </c>
      <c r="F871">
        <v>4</v>
      </c>
      <c r="G871">
        <v>20</v>
      </c>
      <c r="H871" t="s">
        <v>23</v>
      </c>
      <c r="I871" t="s">
        <v>18</v>
      </c>
      <c r="J871">
        <v>80</v>
      </c>
    </row>
    <row r="872" spans="1:10" x14ac:dyDescent="0.3">
      <c r="A872">
        <v>109</v>
      </c>
      <c r="B872" t="s">
        <v>10</v>
      </c>
      <c r="C872" s="1">
        <v>45900</v>
      </c>
      <c r="D872" t="s">
        <v>11</v>
      </c>
      <c r="E872" t="s">
        <v>17</v>
      </c>
      <c r="F872">
        <v>1</v>
      </c>
      <c r="G872">
        <v>12</v>
      </c>
      <c r="H872" t="s">
        <v>21</v>
      </c>
      <c r="I872" t="s">
        <v>18</v>
      </c>
      <c r="J872">
        <v>12</v>
      </c>
    </row>
    <row r="873" spans="1:10" x14ac:dyDescent="0.3">
      <c r="A873">
        <v>778</v>
      </c>
      <c r="B873" t="s">
        <v>19</v>
      </c>
      <c r="C873" s="1">
        <v>45878</v>
      </c>
      <c r="D873" t="s">
        <v>11</v>
      </c>
      <c r="E873" t="s">
        <v>17</v>
      </c>
      <c r="F873">
        <v>4</v>
      </c>
      <c r="G873">
        <v>12</v>
      </c>
      <c r="H873" t="s">
        <v>13</v>
      </c>
      <c r="I873" t="s">
        <v>18</v>
      </c>
      <c r="J873">
        <v>48</v>
      </c>
    </row>
    <row r="874" spans="1:10" x14ac:dyDescent="0.3">
      <c r="A874">
        <v>1163</v>
      </c>
      <c r="B874" t="s">
        <v>26</v>
      </c>
      <c r="C874" s="1">
        <v>45928</v>
      </c>
      <c r="D874" t="s">
        <v>11</v>
      </c>
      <c r="E874" t="s">
        <v>17</v>
      </c>
      <c r="F874">
        <v>3</v>
      </c>
      <c r="G874">
        <v>12</v>
      </c>
      <c r="H874" t="s">
        <v>21</v>
      </c>
      <c r="I874" t="s">
        <v>18</v>
      </c>
      <c r="J874">
        <v>36</v>
      </c>
    </row>
    <row r="875" spans="1:10" x14ac:dyDescent="0.3">
      <c r="A875">
        <v>474</v>
      </c>
      <c r="B875" t="s">
        <v>31</v>
      </c>
      <c r="C875" s="1">
        <v>45848</v>
      </c>
      <c r="D875" t="s">
        <v>11</v>
      </c>
      <c r="E875" t="s">
        <v>30</v>
      </c>
      <c r="F875">
        <v>5</v>
      </c>
      <c r="G875">
        <v>8</v>
      </c>
      <c r="H875" t="s">
        <v>21</v>
      </c>
      <c r="I875" t="s">
        <v>18</v>
      </c>
      <c r="J875">
        <v>40</v>
      </c>
    </row>
    <row r="876" spans="1:10" x14ac:dyDescent="0.3">
      <c r="A876">
        <v>448</v>
      </c>
      <c r="B876" t="s">
        <v>10</v>
      </c>
      <c r="C876" s="1">
        <v>45840</v>
      </c>
      <c r="D876" t="s">
        <v>11</v>
      </c>
      <c r="E876" t="s">
        <v>17</v>
      </c>
      <c r="F876">
        <v>2</v>
      </c>
      <c r="G876">
        <v>12</v>
      </c>
      <c r="H876" t="s">
        <v>21</v>
      </c>
      <c r="I876" t="s">
        <v>18</v>
      </c>
      <c r="J876">
        <v>24</v>
      </c>
    </row>
    <row r="877" spans="1:10" x14ac:dyDescent="0.3">
      <c r="A877">
        <v>1587</v>
      </c>
      <c r="B877" t="s">
        <v>24</v>
      </c>
      <c r="C877" s="1">
        <v>45849</v>
      </c>
      <c r="D877" t="s">
        <v>11</v>
      </c>
      <c r="E877" t="s">
        <v>17</v>
      </c>
      <c r="F877">
        <v>4</v>
      </c>
      <c r="G877">
        <v>12</v>
      </c>
      <c r="H877" t="s">
        <v>23</v>
      </c>
      <c r="I877" t="s">
        <v>18</v>
      </c>
      <c r="J877">
        <v>48</v>
      </c>
    </row>
    <row r="878" spans="1:10" x14ac:dyDescent="0.3">
      <c r="A878">
        <v>944</v>
      </c>
      <c r="B878" t="s">
        <v>15</v>
      </c>
      <c r="C878" s="1">
        <v>45843</v>
      </c>
      <c r="D878" t="s">
        <v>11</v>
      </c>
      <c r="E878" t="s">
        <v>30</v>
      </c>
      <c r="F878">
        <v>2</v>
      </c>
      <c r="G878">
        <v>8</v>
      </c>
      <c r="H878" t="s">
        <v>21</v>
      </c>
      <c r="I878" t="s">
        <v>18</v>
      </c>
      <c r="J878">
        <v>16</v>
      </c>
    </row>
    <row r="879" spans="1:10" x14ac:dyDescent="0.3">
      <c r="A879">
        <v>1182</v>
      </c>
      <c r="B879" t="s">
        <v>19</v>
      </c>
      <c r="C879" s="1">
        <v>45865</v>
      </c>
      <c r="D879" t="s">
        <v>11</v>
      </c>
      <c r="E879" t="s">
        <v>17</v>
      </c>
      <c r="F879">
        <v>5</v>
      </c>
      <c r="G879">
        <v>12</v>
      </c>
      <c r="H879" t="s">
        <v>13</v>
      </c>
      <c r="I879" t="s">
        <v>18</v>
      </c>
      <c r="J879">
        <v>60</v>
      </c>
    </row>
    <row r="880" spans="1:10" x14ac:dyDescent="0.3">
      <c r="A880">
        <v>1776</v>
      </c>
      <c r="B880" t="s">
        <v>19</v>
      </c>
      <c r="C880" s="1">
        <v>45847</v>
      </c>
      <c r="D880" t="s">
        <v>11</v>
      </c>
      <c r="E880" t="s">
        <v>29</v>
      </c>
      <c r="F880">
        <v>1</v>
      </c>
      <c r="G880">
        <v>30</v>
      </c>
      <c r="H880" t="s">
        <v>23</v>
      </c>
      <c r="I880" t="s">
        <v>18</v>
      </c>
      <c r="J880">
        <v>30</v>
      </c>
    </row>
    <row r="881" spans="1:10" x14ac:dyDescent="0.3">
      <c r="A881">
        <v>226</v>
      </c>
      <c r="B881" t="s">
        <v>26</v>
      </c>
      <c r="C881" s="1">
        <v>45907</v>
      </c>
      <c r="D881" t="s">
        <v>11</v>
      </c>
      <c r="E881" t="s">
        <v>17</v>
      </c>
      <c r="F881">
        <v>2</v>
      </c>
      <c r="G881">
        <v>12</v>
      </c>
      <c r="H881" t="s">
        <v>13</v>
      </c>
      <c r="I881" t="s">
        <v>18</v>
      </c>
      <c r="J881">
        <v>24</v>
      </c>
    </row>
    <row r="882" spans="1:10" x14ac:dyDescent="0.3">
      <c r="A882">
        <v>78</v>
      </c>
      <c r="B882" t="s">
        <v>31</v>
      </c>
      <c r="C882" s="1">
        <v>45852</v>
      </c>
      <c r="D882" t="s">
        <v>11</v>
      </c>
      <c r="E882" t="s">
        <v>17</v>
      </c>
      <c r="F882">
        <v>4</v>
      </c>
      <c r="G882">
        <v>12</v>
      </c>
      <c r="H882" t="s">
        <v>23</v>
      </c>
      <c r="I882" t="s">
        <v>18</v>
      </c>
      <c r="J882">
        <v>48</v>
      </c>
    </row>
    <row r="883" spans="1:10" x14ac:dyDescent="0.3">
      <c r="A883">
        <v>1512</v>
      </c>
      <c r="B883" t="s">
        <v>28</v>
      </c>
      <c r="C883" s="1">
        <v>45902</v>
      </c>
      <c r="D883" t="s">
        <v>11</v>
      </c>
      <c r="E883" t="s">
        <v>17</v>
      </c>
      <c r="F883">
        <v>1</v>
      </c>
      <c r="G883">
        <v>12</v>
      </c>
      <c r="H883" t="s">
        <v>23</v>
      </c>
      <c r="I883" t="s">
        <v>18</v>
      </c>
      <c r="J883">
        <v>12</v>
      </c>
    </row>
    <row r="884" spans="1:10" x14ac:dyDescent="0.3">
      <c r="A884">
        <v>1026</v>
      </c>
      <c r="B884" t="s">
        <v>10</v>
      </c>
      <c r="C884" s="1">
        <v>45881</v>
      </c>
      <c r="D884" t="s">
        <v>11</v>
      </c>
      <c r="E884" t="s">
        <v>17</v>
      </c>
      <c r="F884">
        <v>2</v>
      </c>
      <c r="G884">
        <v>12</v>
      </c>
      <c r="H884" t="s">
        <v>23</v>
      </c>
      <c r="I884" t="s">
        <v>18</v>
      </c>
      <c r="J884">
        <v>24</v>
      </c>
    </row>
    <row r="885" spans="1:10" x14ac:dyDescent="0.3">
      <c r="A885">
        <v>1871</v>
      </c>
      <c r="B885" t="s">
        <v>28</v>
      </c>
      <c r="C885" s="1">
        <v>45858</v>
      </c>
      <c r="D885" t="s">
        <v>11</v>
      </c>
      <c r="E885" t="s">
        <v>17</v>
      </c>
      <c r="F885">
        <v>5</v>
      </c>
      <c r="G885">
        <v>12</v>
      </c>
      <c r="H885" t="s">
        <v>21</v>
      </c>
      <c r="I885" t="s">
        <v>18</v>
      </c>
      <c r="J885">
        <v>60</v>
      </c>
    </row>
    <row r="886" spans="1:10" x14ac:dyDescent="0.3">
      <c r="A886">
        <v>1207</v>
      </c>
      <c r="B886" t="s">
        <v>15</v>
      </c>
      <c r="C886" s="1">
        <v>45865</v>
      </c>
      <c r="D886" t="s">
        <v>11</v>
      </c>
      <c r="E886" t="s">
        <v>22</v>
      </c>
      <c r="F886">
        <v>4</v>
      </c>
      <c r="G886">
        <v>20</v>
      </c>
      <c r="H886" t="s">
        <v>13</v>
      </c>
      <c r="I886" t="s">
        <v>18</v>
      </c>
      <c r="J886">
        <v>80</v>
      </c>
    </row>
    <row r="887" spans="1:10" x14ac:dyDescent="0.3">
      <c r="A887">
        <v>44</v>
      </c>
      <c r="B887" t="s">
        <v>19</v>
      </c>
      <c r="C887" s="1">
        <v>45892</v>
      </c>
      <c r="D887" t="s">
        <v>11</v>
      </c>
      <c r="E887" t="s">
        <v>17</v>
      </c>
      <c r="F887">
        <v>2</v>
      </c>
      <c r="G887">
        <v>12</v>
      </c>
      <c r="H887" t="s">
        <v>23</v>
      </c>
      <c r="I887" t="s">
        <v>18</v>
      </c>
      <c r="J887">
        <v>24</v>
      </c>
    </row>
    <row r="888" spans="1:10" x14ac:dyDescent="0.3">
      <c r="A888">
        <v>1436</v>
      </c>
      <c r="B888" t="s">
        <v>26</v>
      </c>
      <c r="C888" s="1">
        <v>45873</v>
      </c>
      <c r="D888" t="s">
        <v>11</v>
      </c>
      <c r="E888" t="s">
        <v>17</v>
      </c>
      <c r="F888">
        <v>2</v>
      </c>
      <c r="G888">
        <v>12</v>
      </c>
      <c r="H888" t="s">
        <v>13</v>
      </c>
      <c r="I888" t="s">
        <v>18</v>
      </c>
      <c r="J888">
        <v>24</v>
      </c>
    </row>
    <row r="889" spans="1:10" x14ac:dyDescent="0.3">
      <c r="A889">
        <v>1028</v>
      </c>
      <c r="B889" t="s">
        <v>32</v>
      </c>
      <c r="C889" s="1">
        <v>45866</v>
      </c>
      <c r="D889" t="s">
        <v>11</v>
      </c>
      <c r="E889" t="s">
        <v>12</v>
      </c>
      <c r="F889">
        <v>5</v>
      </c>
      <c r="G889">
        <v>25</v>
      </c>
      <c r="H889" t="s">
        <v>21</v>
      </c>
      <c r="I889" t="s">
        <v>18</v>
      </c>
      <c r="J889">
        <v>125</v>
      </c>
    </row>
    <row r="890" spans="1:10" x14ac:dyDescent="0.3">
      <c r="A890">
        <v>951</v>
      </c>
      <c r="B890" t="s">
        <v>32</v>
      </c>
      <c r="C890" s="1">
        <v>45897</v>
      </c>
      <c r="D890" t="s">
        <v>11</v>
      </c>
      <c r="E890" t="s">
        <v>22</v>
      </c>
      <c r="F890">
        <v>4</v>
      </c>
      <c r="G890">
        <v>20</v>
      </c>
      <c r="H890" t="s">
        <v>23</v>
      </c>
      <c r="I890" t="s">
        <v>18</v>
      </c>
      <c r="J890">
        <v>80</v>
      </c>
    </row>
    <row r="891" spans="1:10" x14ac:dyDescent="0.3">
      <c r="A891">
        <v>250</v>
      </c>
      <c r="B891" t="s">
        <v>32</v>
      </c>
      <c r="C891" s="1">
        <v>45848</v>
      </c>
      <c r="D891" t="s">
        <v>11</v>
      </c>
      <c r="E891" t="s">
        <v>17</v>
      </c>
      <c r="F891">
        <v>5</v>
      </c>
      <c r="G891">
        <v>12</v>
      </c>
      <c r="H891" t="s">
        <v>21</v>
      </c>
      <c r="I891" t="s">
        <v>18</v>
      </c>
      <c r="J891">
        <v>60</v>
      </c>
    </row>
    <row r="892" spans="1:10" x14ac:dyDescent="0.3">
      <c r="A892">
        <v>934</v>
      </c>
      <c r="B892" t="s">
        <v>24</v>
      </c>
      <c r="C892" s="1">
        <v>45859</v>
      </c>
      <c r="D892" t="s">
        <v>11</v>
      </c>
      <c r="E892" t="s">
        <v>12</v>
      </c>
      <c r="F892">
        <v>1</v>
      </c>
      <c r="G892">
        <v>25</v>
      </c>
      <c r="H892" t="s">
        <v>23</v>
      </c>
      <c r="I892" t="s">
        <v>18</v>
      </c>
      <c r="J892">
        <v>25</v>
      </c>
    </row>
    <row r="893" spans="1:10" x14ac:dyDescent="0.3">
      <c r="A893">
        <v>1726</v>
      </c>
      <c r="B893" t="s">
        <v>10</v>
      </c>
      <c r="C893" s="1">
        <v>45901</v>
      </c>
      <c r="D893" t="s">
        <v>11</v>
      </c>
      <c r="E893" t="s">
        <v>29</v>
      </c>
      <c r="F893">
        <v>5</v>
      </c>
      <c r="G893">
        <v>30</v>
      </c>
      <c r="H893" t="s">
        <v>21</v>
      </c>
      <c r="I893" t="s">
        <v>18</v>
      </c>
      <c r="J893">
        <v>150</v>
      </c>
    </row>
    <row r="894" spans="1:10" x14ac:dyDescent="0.3">
      <c r="A894">
        <v>1893</v>
      </c>
      <c r="B894" t="s">
        <v>15</v>
      </c>
      <c r="C894" s="1">
        <v>45840</v>
      </c>
      <c r="D894" t="s">
        <v>11</v>
      </c>
      <c r="E894" t="s">
        <v>30</v>
      </c>
      <c r="F894">
        <v>1</v>
      </c>
      <c r="G894">
        <v>8</v>
      </c>
      <c r="H894" t="s">
        <v>13</v>
      </c>
      <c r="I894" t="s">
        <v>18</v>
      </c>
      <c r="J894">
        <v>8</v>
      </c>
    </row>
    <row r="895" spans="1:10" x14ac:dyDescent="0.3">
      <c r="A895">
        <v>1319</v>
      </c>
      <c r="B895" t="s">
        <v>26</v>
      </c>
      <c r="C895" s="1">
        <v>45907</v>
      </c>
      <c r="D895" t="s">
        <v>11</v>
      </c>
      <c r="E895" t="s">
        <v>22</v>
      </c>
      <c r="F895">
        <v>4</v>
      </c>
      <c r="G895">
        <v>20</v>
      </c>
      <c r="H895" t="s">
        <v>13</v>
      </c>
      <c r="I895" t="s">
        <v>18</v>
      </c>
      <c r="J895">
        <v>80</v>
      </c>
    </row>
    <row r="896" spans="1:10" x14ac:dyDescent="0.3">
      <c r="A896">
        <v>1074</v>
      </c>
      <c r="B896" t="s">
        <v>32</v>
      </c>
      <c r="C896" s="1">
        <v>45878</v>
      </c>
      <c r="D896" t="s">
        <v>11</v>
      </c>
      <c r="E896" t="s">
        <v>17</v>
      </c>
      <c r="F896">
        <v>2</v>
      </c>
      <c r="G896">
        <v>12</v>
      </c>
      <c r="H896" t="s">
        <v>21</v>
      </c>
      <c r="I896" t="s">
        <v>18</v>
      </c>
      <c r="J896">
        <v>24</v>
      </c>
    </row>
    <row r="897" spans="1:10" x14ac:dyDescent="0.3">
      <c r="A897">
        <v>120</v>
      </c>
      <c r="B897" t="s">
        <v>15</v>
      </c>
      <c r="C897" s="1">
        <v>45885</v>
      </c>
      <c r="D897" t="s">
        <v>11</v>
      </c>
      <c r="E897" t="s">
        <v>22</v>
      </c>
      <c r="F897">
        <v>1</v>
      </c>
      <c r="G897">
        <v>20</v>
      </c>
      <c r="H897" t="s">
        <v>21</v>
      </c>
      <c r="I897" t="s">
        <v>18</v>
      </c>
      <c r="J897">
        <v>20</v>
      </c>
    </row>
    <row r="898" spans="1:10" x14ac:dyDescent="0.3">
      <c r="A898">
        <v>98</v>
      </c>
      <c r="B898" t="s">
        <v>31</v>
      </c>
      <c r="C898" s="1">
        <v>45886</v>
      </c>
      <c r="D898" t="s">
        <v>11</v>
      </c>
      <c r="E898" t="s">
        <v>12</v>
      </c>
      <c r="F898">
        <v>2</v>
      </c>
      <c r="G898">
        <v>25</v>
      </c>
      <c r="H898" t="s">
        <v>13</v>
      </c>
      <c r="I898" t="s">
        <v>18</v>
      </c>
      <c r="J898">
        <v>50</v>
      </c>
    </row>
    <row r="899" spans="1:10" x14ac:dyDescent="0.3">
      <c r="A899">
        <v>939</v>
      </c>
      <c r="B899" t="s">
        <v>10</v>
      </c>
      <c r="C899" s="1">
        <v>45919</v>
      </c>
      <c r="D899" t="s">
        <v>11</v>
      </c>
      <c r="E899" t="s">
        <v>29</v>
      </c>
      <c r="F899">
        <v>1</v>
      </c>
      <c r="G899">
        <v>30</v>
      </c>
      <c r="H899" t="s">
        <v>13</v>
      </c>
      <c r="I899" t="s">
        <v>18</v>
      </c>
      <c r="J899">
        <v>30</v>
      </c>
    </row>
    <row r="900" spans="1:10" x14ac:dyDescent="0.3">
      <c r="A900">
        <v>457</v>
      </c>
      <c r="B900" t="s">
        <v>10</v>
      </c>
      <c r="C900" s="1">
        <v>45864</v>
      </c>
      <c r="D900" t="s">
        <v>11</v>
      </c>
      <c r="E900" t="s">
        <v>17</v>
      </c>
      <c r="F900">
        <v>1</v>
      </c>
      <c r="G900">
        <v>12</v>
      </c>
      <c r="H900" t="s">
        <v>21</v>
      </c>
      <c r="I900" t="s">
        <v>18</v>
      </c>
      <c r="J900">
        <v>12</v>
      </c>
    </row>
    <row r="901" spans="1:10" x14ac:dyDescent="0.3">
      <c r="A901">
        <v>13</v>
      </c>
      <c r="B901" t="s">
        <v>32</v>
      </c>
      <c r="C901" s="1">
        <v>45856</v>
      </c>
      <c r="D901" t="s">
        <v>11</v>
      </c>
      <c r="E901" t="s">
        <v>29</v>
      </c>
      <c r="F901">
        <v>4</v>
      </c>
      <c r="G901">
        <v>30</v>
      </c>
      <c r="H901" t="s">
        <v>23</v>
      </c>
      <c r="I901" t="s">
        <v>18</v>
      </c>
      <c r="J901">
        <v>120</v>
      </c>
    </row>
    <row r="902" spans="1:10" x14ac:dyDescent="0.3">
      <c r="A902">
        <v>1575</v>
      </c>
      <c r="B902" t="s">
        <v>19</v>
      </c>
      <c r="C902" s="1">
        <v>45877</v>
      </c>
      <c r="D902" t="s">
        <v>11</v>
      </c>
      <c r="E902" t="s">
        <v>22</v>
      </c>
      <c r="F902">
        <v>4</v>
      </c>
      <c r="G902">
        <v>20</v>
      </c>
      <c r="H902" t="s">
        <v>13</v>
      </c>
      <c r="I902" t="s">
        <v>18</v>
      </c>
      <c r="J902">
        <v>80</v>
      </c>
    </row>
    <row r="903" spans="1:10" x14ac:dyDescent="0.3">
      <c r="A903">
        <v>101</v>
      </c>
      <c r="B903" t="s">
        <v>28</v>
      </c>
      <c r="C903" s="1">
        <v>45857</v>
      </c>
      <c r="D903" t="s">
        <v>11</v>
      </c>
      <c r="E903" t="s">
        <v>29</v>
      </c>
      <c r="F903">
        <v>4</v>
      </c>
      <c r="G903">
        <v>30</v>
      </c>
      <c r="H903" t="s">
        <v>21</v>
      </c>
      <c r="I903" t="s">
        <v>18</v>
      </c>
      <c r="J903">
        <v>120</v>
      </c>
    </row>
    <row r="904" spans="1:10" x14ac:dyDescent="0.3">
      <c r="A904">
        <v>224</v>
      </c>
      <c r="B904" t="s">
        <v>31</v>
      </c>
      <c r="C904" s="1">
        <v>45871</v>
      </c>
      <c r="D904" t="s">
        <v>11</v>
      </c>
      <c r="E904" t="s">
        <v>17</v>
      </c>
      <c r="F904">
        <v>1</v>
      </c>
      <c r="G904">
        <v>12</v>
      </c>
      <c r="H904" t="s">
        <v>23</v>
      </c>
      <c r="I904" t="s">
        <v>18</v>
      </c>
      <c r="J904">
        <v>12</v>
      </c>
    </row>
    <row r="905" spans="1:10" x14ac:dyDescent="0.3">
      <c r="A905">
        <v>333</v>
      </c>
      <c r="B905" t="s">
        <v>31</v>
      </c>
      <c r="C905" s="1">
        <v>45893</v>
      </c>
      <c r="D905" t="s">
        <v>11</v>
      </c>
      <c r="E905" t="s">
        <v>12</v>
      </c>
      <c r="F905">
        <v>2</v>
      </c>
      <c r="G905">
        <v>25</v>
      </c>
      <c r="H905" t="s">
        <v>21</v>
      </c>
      <c r="I905" t="s">
        <v>18</v>
      </c>
      <c r="J905">
        <v>50</v>
      </c>
    </row>
    <row r="906" spans="1:10" x14ac:dyDescent="0.3">
      <c r="A906">
        <v>1506</v>
      </c>
      <c r="B906" t="s">
        <v>32</v>
      </c>
      <c r="C906" s="1">
        <v>45875</v>
      </c>
      <c r="D906" t="s">
        <v>11</v>
      </c>
      <c r="E906" t="s">
        <v>12</v>
      </c>
      <c r="F906">
        <v>1</v>
      </c>
      <c r="G906">
        <v>25</v>
      </c>
      <c r="H906" t="s">
        <v>21</v>
      </c>
      <c r="I906" t="s">
        <v>18</v>
      </c>
      <c r="J906">
        <v>25</v>
      </c>
    </row>
    <row r="907" spans="1:10" x14ac:dyDescent="0.3">
      <c r="A907">
        <v>1271</v>
      </c>
      <c r="B907" t="s">
        <v>26</v>
      </c>
      <c r="C907" s="1">
        <v>45880</v>
      </c>
      <c r="D907" t="s">
        <v>11</v>
      </c>
      <c r="E907" t="s">
        <v>17</v>
      </c>
      <c r="F907">
        <v>3</v>
      </c>
      <c r="G907">
        <v>12</v>
      </c>
      <c r="H907" t="s">
        <v>13</v>
      </c>
      <c r="I907" t="s">
        <v>18</v>
      </c>
      <c r="J907">
        <v>36</v>
      </c>
    </row>
    <row r="908" spans="1:10" x14ac:dyDescent="0.3">
      <c r="A908">
        <v>90</v>
      </c>
      <c r="B908" t="s">
        <v>26</v>
      </c>
      <c r="C908" s="1">
        <v>45874</v>
      </c>
      <c r="D908" t="s">
        <v>11</v>
      </c>
      <c r="E908" t="s">
        <v>17</v>
      </c>
      <c r="F908">
        <v>3</v>
      </c>
      <c r="G908">
        <v>12</v>
      </c>
      <c r="H908" t="s">
        <v>13</v>
      </c>
      <c r="I908" t="s">
        <v>18</v>
      </c>
      <c r="J908">
        <v>36</v>
      </c>
    </row>
    <row r="909" spans="1:10" x14ac:dyDescent="0.3">
      <c r="A909">
        <v>1300</v>
      </c>
      <c r="B909" t="s">
        <v>26</v>
      </c>
      <c r="C909" s="1">
        <v>45919</v>
      </c>
      <c r="D909" t="s">
        <v>11</v>
      </c>
      <c r="E909" t="s">
        <v>22</v>
      </c>
      <c r="F909">
        <v>2</v>
      </c>
      <c r="G909">
        <v>20</v>
      </c>
      <c r="H909" t="s">
        <v>21</v>
      </c>
      <c r="I909" t="s">
        <v>18</v>
      </c>
      <c r="J909">
        <v>40</v>
      </c>
    </row>
    <row r="910" spans="1:10" x14ac:dyDescent="0.3">
      <c r="A910">
        <v>395</v>
      </c>
      <c r="B910" t="s">
        <v>32</v>
      </c>
      <c r="C910" s="1">
        <v>45843</v>
      </c>
      <c r="D910" t="s">
        <v>11</v>
      </c>
      <c r="E910" t="s">
        <v>22</v>
      </c>
      <c r="F910">
        <v>2</v>
      </c>
      <c r="G910">
        <v>20</v>
      </c>
      <c r="H910" t="s">
        <v>13</v>
      </c>
      <c r="I910" t="s">
        <v>18</v>
      </c>
      <c r="J910">
        <v>40</v>
      </c>
    </row>
    <row r="911" spans="1:10" x14ac:dyDescent="0.3">
      <c r="A911">
        <v>1078</v>
      </c>
      <c r="B911" t="s">
        <v>24</v>
      </c>
      <c r="C911" s="1">
        <v>45858</v>
      </c>
      <c r="D911" t="s">
        <v>11</v>
      </c>
      <c r="E911" t="s">
        <v>17</v>
      </c>
      <c r="F911">
        <v>4</v>
      </c>
      <c r="G911">
        <v>12</v>
      </c>
      <c r="H911" t="s">
        <v>13</v>
      </c>
      <c r="I911" t="s">
        <v>18</v>
      </c>
      <c r="J911">
        <v>48</v>
      </c>
    </row>
    <row r="912" spans="1:10" x14ac:dyDescent="0.3">
      <c r="A912">
        <v>1349</v>
      </c>
      <c r="B912" t="s">
        <v>19</v>
      </c>
      <c r="C912" s="1">
        <v>45910</v>
      </c>
      <c r="D912" t="s">
        <v>11</v>
      </c>
      <c r="E912" t="s">
        <v>17</v>
      </c>
      <c r="F912">
        <v>4</v>
      </c>
      <c r="G912">
        <v>12</v>
      </c>
      <c r="H912" t="s">
        <v>13</v>
      </c>
      <c r="I912" t="s">
        <v>18</v>
      </c>
      <c r="J912">
        <v>48</v>
      </c>
    </row>
    <row r="913" spans="1:10" x14ac:dyDescent="0.3">
      <c r="A913">
        <v>394</v>
      </c>
      <c r="B913" t="s">
        <v>19</v>
      </c>
      <c r="C913" s="1">
        <v>45882</v>
      </c>
      <c r="D913" t="s">
        <v>11</v>
      </c>
      <c r="E913" t="s">
        <v>17</v>
      </c>
      <c r="F913">
        <v>4</v>
      </c>
      <c r="G913">
        <v>12</v>
      </c>
      <c r="H913" t="s">
        <v>21</v>
      </c>
      <c r="I913" t="s">
        <v>18</v>
      </c>
      <c r="J913">
        <v>48</v>
      </c>
    </row>
    <row r="914" spans="1:10" x14ac:dyDescent="0.3">
      <c r="A914">
        <v>851</v>
      </c>
      <c r="B914" t="s">
        <v>28</v>
      </c>
      <c r="C914" s="1">
        <v>45875</v>
      </c>
      <c r="D914" t="s">
        <v>11</v>
      </c>
      <c r="E914" t="s">
        <v>30</v>
      </c>
      <c r="F914">
        <v>5</v>
      </c>
      <c r="G914">
        <v>8</v>
      </c>
      <c r="H914" t="s">
        <v>23</v>
      </c>
      <c r="I914" t="s">
        <v>18</v>
      </c>
      <c r="J914">
        <v>40</v>
      </c>
    </row>
    <row r="915" spans="1:10" x14ac:dyDescent="0.3">
      <c r="A915">
        <v>1359</v>
      </c>
      <c r="B915" t="s">
        <v>31</v>
      </c>
      <c r="C915" s="1">
        <v>45885</v>
      </c>
      <c r="D915" t="s">
        <v>11</v>
      </c>
      <c r="E915" t="s">
        <v>22</v>
      </c>
      <c r="F915">
        <v>3</v>
      </c>
      <c r="G915">
        <v>20</v>
      </c>
      <c r="H915" t="s">
        <v>13</v>
      </c>
      <c r="I915" t="s">
        <v>18</v>
      </c>
      <c r="J915">
        <v>60</v>
      </c>
    </row>
    <row r="916" spans="1:10" x14ac:dyDescent="0.3">
      <c r="A916">
        <v>1730</v>
      </c>
      <c r="B916" t="s">
        <v>10</v>
      </c>
      <c r="C916" s="1">
        <v>45858</v>
      </c>
      <c r="D916" t="s">
        <v>11</v>
      </c>
      <c r="E916" t="s">
        <v>12</v>
      </c>
      <c r="F916">
        <v>5</v>
      </c>
      <c r="G916">
        <v>25</v>
      </c>
      <c r="H916" t="s">
        <v>13</v>
      </c>
      <c r="I916" t="s">
        <v>18</v>
      </c>
      <c r="J916">
        <v>125</v>
      </c>
    </row>
    <row r="917" spans="1:10" x14ac:dyDescent="0.3">
      <c r="A917">
        <v>1320</v>
      </c>
      <c r="B917" t="s">
        <v>32</v>
      </c>
      <c r="C917" s="1">
        <v>45907</v>
      </c>
      <c r="D917" t="s">
        <v>11</v>
      </c>
      <c r="E917" t="s">
        <v>30</v>
      </c>
      <c r="F917">
        <v>5</v>
      </c>
      <c r="G917">
        <v>8</v>
      </c>
      <c r="H917" t="s">
        <v>21</v>
      </c>
      <c r="I917" t="s">
        <v>18</v>
      </c>
      <c r="J917">
        <v>40</v>
      </c>
    </row>
    <row r="918" spans="1:10" x14ac:dyDescent="0.3">
      <c r="A918">
        <v>1428</v>
      </c>
      <c r="B918" t="s">
        <v>32</v>
      </c>
      <c r="C918" s="1">
        <v>45906</v>
      </c>
      <c r="D918" t="s">
        <v>11</v>
      </c>
      <c r="E918" t="s">
        <v>12</v>
      </c>
      <c r="F918">
        <v>2</v>
      </c>
      <c r="G918">
        <v>25</v>
      </c>
      <c r="H918" t="s">
        <v>13</v>
      </c>
      <c r="I918" t="s">
        <v>18</v>
      </c>
      <c r="J918">
        <v>50</v>
      </c>
    </row>
    <row r="919" spans="1:10" x14ac:dyDescent="0.3">
      <c r="A919">
        <v>237</v>
      </c>
      <c r="B919" t="s">
        <v>10</v>
      </c>
      <c r="C919" s="1">
        <v>45928</v>
      </c>
      <c r="D919" t="s">
        <v>11</v>
      </c>
      <c r="E919" t="s">
        <v>22</v>
      </c>
      <c r="F919">
        <v>4</v>
      </c>
      <c r="G919">
        <v>20</v>
      </c>
      <c r="H919" t="s">
        <v>23</v>
      </c>
      <c r="I919" t="s">
        <v>18</v>
      </c>
      <c r="J919">
        <v>80</v>
      </c>
    </row>
    <row r="920" spans="1:10" x14ac:dyDescent="0.3">
      <c r="A920">
        <v>1795</v>
      </c>
      <c r="B920" t="s">
        <v>19</v>
      </c>
      <c r="C920" s="1">
        <v>45862</v>
      </c>
      <c r="D920" t="s">
        <v>11</v>
      </c>
      <c r="E920" t="s">
        <v>17</v>
      </c>
      <c r="F920">
        <v>3</v>
      </c>
      <c r="G920">
        <v>12</v>
      </c>
      <c r="H920" t="s">
        <v>21</v>
      </c>
      <c r="I920" t="s">
        <v>18</v>
      </c>
      <c r="J920">
        <v>36</v>
      </c>
    </row>
    <row r="921" spans="1:10" x14ac:dyDescent="0.3">
      <c r="A921">
        <v>678</v>
      </c>
      <c r="B921" t="s">
        <v>19</v>
      </c>
      <c r="C921" s="1">
        <v>45844</v>
      </c>
      <c r="D921" t="s">
        <v>11</v>
      </c>
      <c r="E921" t="s">
        <v>17</v>
      </c>
      <c r="F921">
        <v>1</v>
      </c>
      <c r="G921">
        <v>12</v>
      </c>
      <c r="H921" t="s">
        <v>13</v>
      </c>
      <c r="I921" t="s">
        <v>18</v>
      </c>
      <c r="J921">
        <v>12</v>
      </c>
    </row>
    <row r="922" spans="1:10" x14ac:dyDescent="0.3">
      <c r="A922">
        <v>1313</v>
      </c>
      <c r="B922" t="s">
        <v>24</v>
      </c>
      <c r="C922" s="1">
        <v>45921</v>
      </c>
      <c r="D922" t="s">
        <v>11</v>
      </c>
      <c r="E922" t="s">
        <v>30</v>
      </c>
      <c r="F922">
        <v>2</v>
      </c>
      <c r="G922">
        <v>8</v>
      </c>
      <c r="H922" t="s">
        <v>13</v>
      </c>
      <c r="I922" t="s">
        <v>18</v>
      </c>
      <c r="J922">
        <v>16</v>
      </c>
    </row>
    <row r="923" spans="1:10" x14ac:dyDescent="0.3">
      <c r="A923">
        <v>1121</v>
      </c>
      <c r="B923" t="s">
        <v>26</v>
      </c>
      <c r="C923" s="1">
        <v>45883</v>
      </c>
      <c r="D923" t="s">
        <v>11</v>
      </c>
      <c r="E923" t="s">
        <v>17</v>
      </c>
      <c r="F923">
        <v>2</v>
      </c>
      <c r="G923">
        <v>12</v>
      </c>
      <c r="H923" t="s">
        <v>23</v>
      </c>
      <c r="I923" t="s">
        <v>18</v>
      </c>
      <c r="J923">
        <v>24</v>
      </c>
    </row>
    <row r="924" spans="1:10" x14ac:dyDescent="0.3">
      <c r="A924">
        <v>1637</v>
      </c>
      <c r="B924" t="s">
        <v>24</v>
      </c>
      <c r="C924" s="1">
        <v>45874</v>
      </c>
      <c r="D924" t="s">
        <v>11</v>
      </c>
      <c r="E924" t="s">
        <v>29</v>
      </c>
      <c r="F924">
        <v>4</v>
      </c>
      <c r="G924">
        <v>30</v>
      </c>
      <c r="H924" t="s">
        <v>21</v>
      </c>
      <c r="I924" t="s">
        <v>18</v>
      </c>
      <c r="J924">
        <v>120</v>
      </c>
    </row>
    <row r="925" spans="1:10" x14ac:dyDescent="0.3">
      <c r="A925">
        <v>1079</v>
      </c>
      <c r="B925" t="s">
        <v>10</v>
      </c>
      <c r="C925" s="1">
        <v>45885</v>
      </c>
      <c r="D925" t="s">
        <v>11</v>
      </c>
      <c r="E925" t="s">
        <v>17</v>
      </c>
      <c r="F925">
        <v>1</v>
      </c>
      <c r="G925">
        <v>12</v>
      </c>
      <c r="H925" t="s">
        <v>21</v>
      </c>
      <c r="I925" t="s">
        <v>18</v>
      </c>
      <c r="J925">
        <v>12</v>
      </c>
    </row>
    <row r="926" spans="1:10" x14ac:dyDescent="0.3">
      <c r="A926">
        <v>111</v>
      </c>
      <c r="B926" t="s">
        <v>19</v>
      </c>
      <c r="C926" s="1">
        <v>45851</v>
      </c>
      <c r="D926" t="s">
        <v>11</v>
      </c>
      <c r="E926" t="s">
        <v>17</v>
      </c>
      <c r="F926">
        <v>1</v>
      </c>
      <c r="G926">
        <v>12</v>
      </c>
      <c r="H926" t="s">
        <v>21</v>
      </c>
      <c r="I926" t="s">
        <v>18</v>
      </c>
      <c r="J926">
        <v>12</v>
      </c>
    </row>
    <row r="927" spans="1:10" x14ac:dyDescent="0.3">
      <c r="A927">
        <v>1108</v>
      </c>
      <c r="B927" t="s">
        <v>10</v>
      </c>
      <c r="C927" s="1">
        <v>45879</v>
      </c>
      <c r="D927" t="s">
        <v>11</v>
      </c>
      <c r="E927" t="s">
        <v>17</v>
      </c>
      <c r="F927">
        <v>5</v>
      </c>
      <c r="G927">
        <v>12</v>
      </c>
      <c r="H927" t="s">
        <v>21</v>
      </c>
      <c r="I927" t="s">
        <v>18</v>
      </c>
      <c r="J927">
        <v>60</v>
      </c>
    </row>
    <row r="928" spans="1:10" x14ac:dyDescent="0.3">
      <c r="A928">
        <v>275</v>
      </c>
      <c r="B928" t="s">
        <v>24</v>
      </c>
      <c r="C928" s="1">
        <v>45871</v>
      </c>
      <c r="D928" t="s">
        <v>11</v>
      </c>
      <c r="E928" t="s">
        <v>29</v>
      </c>
      <c r="F928">
        <v>3</v>
      </c>
      <c r="G928">
        <v>30</v>
      </c>
      <c r="H928" t="s">
        <v>21</v>
      </c>
      <c r="I928" t="s">
        <v>18</v>
      </c>
      <c r="J928">
        <v>90</v>
      </c>
    </row>
    <row r="929" spans="1:10" x14ac:dyDescent="0.3">
      <c r="A929">
        <v>1155</v>
      </c>
      <c r="B929" t="s">
        <v>19</v>
      </c>
      <c r="C929" s="1">
        <v>45894</v>
      </c>
      <c r="D929" t="s">
        <v>11</v>
      </c>
      <c r="E929" t="s">
        <v>17</v>
      </c>
      <c r="F929">
        <v>2</v>
      </c>
      <c r="G929">
        <v>12</v>
      </c>
      <c r="H929" t="s">
        <v>23</v>
      </c>
      <c r="I929" t="s">
        <v>18</v>
      </c>
      <c r="J929">
        <v>24</v>
      </c>
    </row>
    <row r="930" spans="1:10" x14ac:dyDescent="0.3">
      <c r="A930">
        <v>922</v>
      </c>
      <c r="B930" t="s">
        <v>28</v>
      </c>
      <c r="C930" s="1">
        <v>45902</v>
      </c>
      <c r="D930" t="s">
        <v>11</v>
      </c>
      <c r="E930" t="s">
        <v>30</v>
      </c>
      <c r="F930">
        <v>4</v>
      </c>
      <c r="G930">
        <v>8</v>
      </c>
      <c r="H930" t="s">
        <v>21</v>
      </c>
      <c r="I930" t="s">
        <v>18</v>
      </c>
      <c r="J930">
        <v>32</v>
      </c>
    </row>
    <row r="931" spans="1:10" x14ac:dyDescent="0.3">
      <c r="A931">
        <v>1212</v>
      </c>
      <c r="B931" t="s">
        <v>31</v>
      </c>
      <c r="C931" s="1">
        <v>45877</v>
      </c>
      <c r="D931" t="s">
        <v>11</v>
      </c>
      <c r="E931" t="s">
        <v>30</v>
      </c>
      <c r="F931">
        <v>1</v>
      </c>
      <c r="G931">
        <v>8</v>
      </c>
      <c r="H931" t="s">
        <v>23</v>
      </c>
      <c r="I931" t="s">
        <v>18</v>
      </c>
      <c r="J931">
        <v>8</v>
      </c>
    </row>
    <row r="932" spans="1:10" x14ac:dyDescent="0.3">
      <c r="A932">
        <v>89</v>
      </c>
      <c r="B932" t="s">
        <v>31</v>
      </c>
      <c r="C932" s="1">
        <v>45861</v>
      </c>
      <c r="D932" t="s">
        <v>11</v>
      </c>
      <c r="E932" t="s">
        <v>22</v>
      </c>
      <c r="F932">
        <v>3</v>
      </c>
      <c r="G932">
        <v>20</v>
      </c>
      <c r="H932" t="s">
        <v>23</v>
      </c>
      <c r="I932" t="s">
        <v>27</v>
      </c>
      <c r="J932">
        <v>60</v>
      </c>
    </row>
    <row r="933" spans="1:10" x14ac:dyDescent="0.3">
      <c r="A933">
        <v>96</v>
      </c>
      <c r="B933" t="s">
        <v>10</v>
      </c>
      <c r="C933" s="1">
        <v>45870</v>
      </c>
      <c r="D933" t="s">
        <v>11</v>
      </c>
      <c r="E933" t="s">
        <v>30</v>
      </c>
      <c r="F933">
        <v>3</v>
      </c>
      <c r="G933">
        <v>8</v>
      </c>
      <c r="H933" t="s">
        <v>21</v>
      </c>
      <c r="I933" t="s">
        <v>25</v>
      </c>
      <c r="J933">
        <v>24</v>
      </c>
    </row>
    <row r="934" spans="1:10" x14ac:dyDescent="0.3">
      <c r="A934">
        <v>1067</v>
      </c>
      <c r="B934" t="s">
        <v>15</v>
      </c>
      <c r="C934" s="1">
        <v>45886</v>
      </c>
      <c r="D934" t="s">
        <v>11</v>
      </c>
      <c r="E934" t="s">
        <v>17</v>
      </c>
      <c r="F934">
        <v>2</v>
      </c>
      <c r="G934">
        <v>12</v>
      </c>
      <c r="H934" t="s">
        <v>13</v>
      </c>
      <c r="I934" t="s">
        <v>27</v>
      </c>
      <c r="J934">
        <v>24</v>
      </c>
    </row>
    <row r="935" spans="1:10" x14ac:dyDescent="0.3">
      <c r="A935">
        <v>572</v>
      </c>
      <c r="B935" t="s">
        <v>32</v>
      </c>
      <c r="C935" s="1">
        <v>45904</v>
      </c>
      <c r="D935" t="s">
        <v>11</v>
      </c>
      <c r="E935" t="s">
        <v>29</v>
      </c>
      <c r="F935">
        <v>3</v>
      </c>
      <c r="G935">
        <v>30</v>
      </c>
      <c r="H935" t="s">
        <v>23</v>
      </c>
      <c r="I935" t="s">
        <v>14</v>
      </c>
      <c r="J935">
        <v>90</v>
      </c>
    </row>
    <row r="936" spans="1:10" x14ac:dyDescent="0.3">
      <c r="A936">
        <v>564</v>
      </c>
      <c r="B936" t="s">
        <v>28</v>
      </c>
      <c r="C936" s="1">
        <v>45888</v>
      </c>
      <c r="D936" t="s">
        <v>11</v>
      </c>
      <c r="E936" t="s">
        <v>17</v>
      </c>
      <c r="F936">
        <v>3</v>
      </c>
      <c r="G936">
        <v>12</v>
      </c>
      <c r="H936" t="s">
        <v>23</v>
      </c>
      <c r="I936" t="s">
        <v>14</v>
      </c>
      <c r="J936">
        <v>36</v>
      </c>
    </row>
    <row r="937" spans="1:10" x14ac:dyDescent="0.3">
      <c r="A937">
        <v>658</v>
      </c>
      <c r="B937" t="s">
        <v>32</v>
      </c>
      <c r="C937" s="1">
        <v>45845</v>
      </c>
      <c r="D937" t="s">
        <v>11</v>
      </c>
      <c r="E937" t="s">
        <v>22</v>
      </c>
      <c r="F937">
        <v>1</v>
      </c>
      <c r="G937">
        <v>20</v>
      </c>
      <c r="H937" t="s">
        <v>23</v>
      </c>
      <c r="I937" t="s">
        <v>25</v>
      </c>
      <c r="J937">
        <v>20</v>
      </c>
    </row>
    <row r="938" spans="1:10" x14ac:dyDescent="0.3">
      <c r="A938">
        <v>883</v>
      </c>
      <c r="B938" t="s">
        <v>32</v>
      </c>
      <c r="C938" s="1">
        <v>45869</v>
      </c>
      <c r="D938" t="s">
        <v>11</v>
      </c>
      <c r="E938" t="s">
        <v>17</v>
      </c>
      <c r="F938">
        <v>3</v>
      </c>
      <c r="G938">
        <v>12</v>
      </c>
      <c r="H938" t="s">
        <v>23</v>
      </c>
      <c r="I938" t="s">
        <v>18</v>
      </c>
      <c r="J938">
        <v>36</v>
      </c>
    </row>
    <row r="939" spans="1:10" x14ac:dyDescent="0.3">
      <c r="A939">
        <v>1666</v>
      </c>
      <c r="B939" t="s">
        <v>10</v>
      </c>
      <c r="C939" s="1">
        <v>45916</v>
      </c>
      <c r="D939" t="s">
        <v>11</v>
      </c>
      <c r="E939" t="s">
        <v>17</v>
      </c>
      <c r="F939">
        <v>5</v>
      </c>
      <c r="G939">
        <v>12</v>
      </c>
      <c r="H939" t="s">
        <v>13</v>
      </c>
      <c r="I939" t="s">
        <v>27</v>
      </c>
      <c r="J939">
        <v>60</v>
      </c>
    </row>
    <row r="940" spans="1:10" x14ac:dyDescent="0.3">
      <c r="A940">
        <v>441</v>
      </c>
      <c r="B940" t="s">
        <v>24</v>
      </c>
      <c r="C940" s="1">
        <v>45920</v>
      </c>
      <c r="D940" t="s">
        <v>11</v>
      </c>
      <c r="E940" t="s">
        <v>12</v>
      </c>
      <c r="F940">
        <v>2</v>
      </c>
      <c r="G940">
        <v>25</v>
      </c>
      <c r="H940" t="s">
        <v>13</v>
      </c>
      <c r="I940" t="s">
        <v>14</v>
      </c>
      <c r="J940">
        <v>50</v>
      </c>
    </row>
    <row r="941" spans="1:10" x14ac:dyDescent="0.3">
      <c r="A941">
        <v>220</v>
      </c>
      <c r="B941" t="s">
        <v>28</v>
      </c>
      <c r="C941" s="1">
        <v>45893</v>
      </c>
      <c r="D941" t="s">
        <v>11</v>
      </c>
      <c r="E941" t="s">
        <v>17</v>
      </c>
      <c r="F941">
        <v>3</v>
      </c>
      <c r="G941">
        <v>12</v>
      </c>
      <c r="H941" t="s">
        <v>13</v>
      </c>
      <c r="I941" t="s">
        <v>14</v>
      </c>
      <c r="J941">
        <v>36</v>
      </c>
    </row>
    <row r="942" spans="1:10" x14ac:dyDescent="0.3">
      <c r="A942">
        <v>107</v>
      </c>
      <c r="B942" t="s">
        <v>10</v>
      </c>
      <c r="C942" s="1">
        <v>45885</v>
      </c>
      <c r="D942" t="s">
        <v>11</v>
      </c>
      <c r="E942" t="s">
        <v>22</v>
      </c>
      <c r="F942">
        <v>4</v>
      </c>
      <c r="G942">
        <v>20</v>
      </c>
      <c r="H942" t="s">
        <v>13</v>
      </c>
      <c r="I942" t="s">
        <v>18</v>
      </c>
      <c r="J942">
        <v>80</v>
      </c>
    </row>
    <row r="943" spans="1:10" x14ac:dyDescent="0.3">
      <c r="A943">
        <v>60</v>
      </c>
      <c r="B943" t="s">
        <v>15</v>
      </c>
      <c r="C943" s="1">
        <v>45840</v>
      </c>
      <c r="D943" t="s">
        <v>11</v>
      </c>
      <c r="E943" t="s">
        <v>12</v>
      </c>
      <c r="F943">
        <v>2</v>
      </c>
      <c r="G943">
        <v>25</v>
      </c>
      <c r="H943" t="s">
        <v>13</v>
      </c>
      <c r="I943" t="s">
        <v>14</v>
      </c>
      <c r="J943">
        <v>50</v>
      </c>
    </row>
    <row r="944" spans="1:10" x14ac:dyDescent="0.3">
      <c r="A944">
        <v>385</v>
      </c>
      <c r="B944" t="s">
        <v>15</v>
      </c>
      <c r="C944" s="1">
        <v>45914</v>
      </c>
      <c r="D944" t="s">
        <v>11</v>
      </c>
      <c r="E944" t="s">
        <v>17</v>
      </c>
      <c r="F944">
        <v>5</v>
      </c>
      <c r="G944">
        <v>12</v>
      </c>
      <c r="H944" t="s">
        <v>21</v>
      </c>
      <c r="I944" t="s">
        <v>25</v>
      </c>
      <c r="J944">
        <v>60</v>
      </c>
    </row>
    <row r="945" spans="1:10" x14ac:dyDescent="0.3">
      <c r="A945">
        <v>1599</v>
      </c>
      <c r="B945" t="s">
        <v>19</v>
      </c>
      <c r="C945" s="1">
        <v>45878</v>
      </c>
      <c r="D945" t="s">
        <v>11</v>
      </c>
      <c r="E945" t="s">
        <v>17</v>
      </c>
      <c r="F945">
        <v>5</v>
      </c>
      <c r="G945">
        <v>12</v>
      </c>
      <c r="H945" t="s">
        <v>13</v>
      </c>
      <c r="I945" t="s">
        <v>25</v>
      </c>
      <c r="J945">
        <v>60</v>
      </c>
    </row>
    <row r="946" spans="1:10" x14ac:dyDescent="0.3">
      <c r="A946">
        <v>501</v>
      </c>
      <c r="B946" t="s">
        <v>28</v>
      </c>
      <c r="C946" s="1">
        <v>45853</v>
      </c>
      <c r="D946" t="s">
        <v>11</v>
      </c>
      <c r="E946" t="s">
        <v>22</v>
      </c>
      <c r="F946">
        <v>2</v>
      </c>
      <c r="G946">
        <v>20</v>
      </c>
      <c r="H946" t="s">
        <v>13</v>
      </c>
      <c r="I946" t="s">
        <v>25</v>
      </c>
      <c r="J946">
        <v>40</v>
      </c>
    </row>
    <row r="947" spans="1:10" x14ac:dyDescent="0.3">
      <c r="A947">
        <v>686</v>
      </c>
      <c r="B947" t="s">
        <v>10</v>
      </c>
      <c r="C947" s="1">
        <v>45917</v>
      </c>
      <c r="D947" t="s">
        <v>11</v>
      </c>
      <c r="E947" t="s">
        <v>17</v>
      </c>
      <c r="F947">
        <v>2</v>
      </c>
      <c r="G947">
        <v>12</v>
      </c>
      <c r="H947" t="s">
        <v>21</v>
      </c>
      <c r="I947" t="s">
        <v>18</v>
      </c>
      <c r="J947">
        <v>24</v>
      </c>
    </row>
    <row r="948" spans="1:10" x14ac:dyDescent="0.3">
      <c r="A948">
        <v>1572</v>
      </c>
      <c r="B948" t="s">
        <v>19</v>
      </c>
      <c r="C948" s="1">
        <v>45891</v>
      </c>
      <c r="D948" t="s">
        <v>11</v>
      </c>
      <c r="E948" t="s">
        <v>12</v>
      </c>
      <c r="F948">
        <v>2</v>
      </c>
      <c r="G948">
        <v>25</v>
      </c>
      <c r="H948" t="s">
        <v>13</v>
      </c>
      <c r="I948" t="s">
        <v>14</v>
      </c>
      <c r="J948">
        <v>50</v>
      </c>
    </row>
    <row r="949" spans="1:10" x14ac:dyDescent="0.3">
      <c r="A949">
        <v>1779</v>
      </c>
      <c r="B949" t="s">
        <v>19</v>
      </c>
      <c r="C949" s="1">
        <v>45885</v>
      </c>
      <c r="D949" t="s">
        <v>11</v>
      </c>
      <c r="E949" t="s">
        <v>30</v>
      </c>
      <c r="F949">
        <v>5</v>
      </c>
      <c r="G949">
        <v>8</v>
      </c>
      <c r="H949" t="s">
        <v>23</v>
      </c>
      <c r="I949" t="s">
        <v>14</v>
      </c>
      <c r="J949">
        <v>40</v>
      </c>
    </row>
    <row r="950" spans="1:10" x14ac:dyDescent="0.3">
      <c r="A950">
        <v>1047</v>
      </c>
      <c r="B950" t="s">
        <v>32</v>
      </c>
      <c r="C950" s="1">
        <v>45880</v>
      </c>
      <c r="D950" t="s">
        <v>11</v>
      </c>
      <c r="E950" t="s">
        <v>17</v>
      </c>
      <c r="F950">
        <v>4</v>
      </c>
      <c r="G950">
        <v>12</v>
      </c>
      <c r="H950" t="s">
        <v>23</v>
      </c>
      <c r="I950" t="s">
        <v>18</v>
      </c>
      <c r="J950">
        <v>48</v>
      </c>
    </row>
    <row r="951" spans="1:10" x14ac:dyDescent="0.3">
      <c r="A951">
        <v>1670</v>
      </c>
      <c r="B951" t="s">
        <v>31</v>
      </c>
      <c r="C951" s="1">
        <v>45876</v>
      </c>
      <c r="D951" t="s">
        <v>11</v>
      </c>
      <c r="E951" t="s">
        <v>17</v>
      </c>
      <c r="F951">
        <v>5</v>
      </c>
      <c r="G951">
        <v>12</v>
      </c>
      <c r="H951" t="s">
        <v>21</v>
      </c>
      <c r="I951" t="s">
        <v>27</v>
      </c>
      <c r="J951">
        <v>60</v>
      </c>
    </row>
    <row r="952" spans="1:10" x14ac:dyDescent="0.3">
      <c r="A952">
        <v>1253</v>
      </c>
      <c r="B952" t="s">
        <v>19</v>
      </c>
      <c r="C952" s="1">
        <v>45924</v>
      </c>
      <c r="D952" t="s">
        <v>11</v>
      </c>
      <c r="E952" t="s">
        <v>12</v>
      </c>
      <c r="F952">
        <v>5</v>
      </c>
      <c r="G952">
        <v>25</v>
      </c>
      <c r="H952" t="s">
        <v>21</v>
      </c>
      <c r="I952" t="s">
        <v>14</v>
      </c>
      <c r="J952">
        <v>125</v>
      </c>
    </row>
    <row r="953" spans="1:10" x14ac:dyDescent="0.3">
      <c r="A953">
        <v>1989</v>
      </c>
      <c r="B953" t="s">
        <v>32</v>
      </c>
      <c r="C953" s="1">
        <v>45908</v>
      </c>
      <c r="D953" t="s">
        <v>11</v>
      </c>
      <c r="E953" t="s">
        <v>17</v>
      </c>
      <c r="F953">
        <v>5</v>
      </c>
      <c r="G953">
        <v>12</v>
      </c>
      <c r="H953" t="s">
        <v>21</v>
      </c>
      <c r="I953" t="s">
        <v>14</v>
      </c>
      <c r="J953">
        <v>60</v>
      </c>
    </row>
    <row r="954" spans="1:10" x14ac:dyDescent="0.3">
      <c r="A954">
        <v>1308</v>
      </c>
      <c r="B954" t="s">
        <v>19</v>
      </c>
      <c r="C954" s="1">
        <v>45896</v>
      </c>
      <c r="D954" t="s">
        <v>11</v>
      </c>
      <c r="E954" t="s">
        <v>17</v>
      </c>
      <c r="F954">
        <v>2</v>
      </c>
      <c r="G954">
        <v>12</v>
      </c>
      <c r="H954" t="s">
        <v>13</v>
      </c>
      <c r="I954" t="s">
        <v>14</v>
      </c>
      <c r="J954">
        <v>24</v>
      </c>
    </row>
    <row r="955" spans="1:10" x14ac:dyDescent="0.3">
      <c r="A955">
        <v>462</v>
      </c>
      <c r="B955" t="s">
        <v>15</v>
      </c>
      <c r="C955" s="1">
        <v>45840</v>
      </c>
      <c r="D955" t="s">
        <v>11</v>
      </c>
      <c r="E955" t="s">
        <v>22</v>
      </c>
      <c r="F955">
        <v>2</v>
      </c>
      <c r="G955">
        <v>20</v>
      </c>
      <c r="H955" t="s">
        <v>21</v>
      </c>
      <c r="I955" t="s">
        <v>14</v>
      </c>
      <c r="J955">
        <v>40</v>
      </c>
    </row>
    <row r="956" spans="1:10" x14ac:dyDescent="0.3">
      <c r="A956">
        <v>147</v>
      </c>
      <c r="B956" t="s">
        <v>32</v>
      </c>
      <c r="C956" s="1">
        <v>45851</v>
      </c>
      <c r="D956" t="s">
        <v>11</v>
      </c>
      <c r="E956" t="s">
        <v>17</v>
      </c>
      <c r="F956">
        <v>4</v>
      </c>
      <c r="G956">
        <v>12</v>
      </c>
      <c r="H956" t="s">
        <v>13</v>
      </c>
      <c r="I956" t="s">
        <v>14</v>
      </c>
      <c r="J956">
        <v>48</v>
      </c>
    </row>
    <row r="957" spans="1:10" x14ac:dyDescent="0.3">
      <c r="A957">
        <v>314</v>
      </c>
      <c r="B957" t="s">
        <v>28</v>
      </c>
      <c r="C957" s="1">
        <v>45862</v>
      </c>
      <c r="D957" t="s">
        <v>11</v>
      </c>
      <c r="E957" t="s">
        <v>30</v>
      </c>
      <c r="F957">
        <v>2</v>
      </c>
      <c r="G957">
        <v>8</v>
      </c>
      <c r="H957" t="s">
        <v>23</v>
      </c>
      <c r="I957" t="s">
        <v>14</v>
      </c>
      <c r="J957">
        <v>16</v>
      </c>
    </row>
    <row r="958" spans="1:10" x14ac:dyDescent="0.3">
      <c r="A958">
        <v>770</v>
      </c>
      <c r="B958" t="s">
        <v>24</v>
      </c>
      <c r="C958" s="1">
        <v>45906</v>
      </c>
      <c r="D958" t="s">
        <v>11</v>
      </c>
      <c r="E958" t="s">
        <v>30</v>
      </c>
      <c r="F958">
        <v>3</v>
      </c>
      <c r="G958">
        <v>8</v>
      </c>
      <c r="H958" t="s">
        <v>13</v>
      </c>
      <c r="I958" t="s">
        <v>14</v>
      </c>
      <c r="J958">
        <v>24</v>
      </c>
    </row>
    <row r="959" spans="1:10" x14ac:dyDescent="0.3">
      <c r="A959">
        <v>1832</v>
      </c>
      <c r="B959" t="s">
        <v>15</v>
      </c>
      <c r="C959" s="1">
        <v>45856</v>
      </c>
      <c r="D959" t="s">
        <v>11</v>
      </c>
      <c r="E959" t="s">
        <v>22</v>
      </c>
      <c r="F959">
        <v>3</v>
      </c>
      <c r="G959">
        <v>20</v>
      </c>
      <c r="H959" t="s">
        <v>23</v>
      </c>
      <c r="I959" t="s">
        <v>14</v>
      </c>
      <c r="J959">
        <v>60</v>
      </c>
    </row>
    <row r="960" spans="1:10" x14ac:dyDescent="0.3">
      <c r="A960">
        <v>1193</v>
      </c>
      <c r="B960" t="s">
        <v>15</v>
      </c>
      <c r="C960" s="1">
        <v>45899</v>
      </c>
      <c r="D960" t="s">
        <v>11</v>
      </c>
      <c r="E960" t="s">
        <v>29</v>
      </c>
      <c r="F960">
        <v>2</v>
      </c>
      <c r="G960">
        <v>30</v>
      </c>
      <c r="H960" t="s">
        <v>23</v>
      </c>
      <c r="I960" t="s">
        <v>14</v>
      </c>
      <c r="J960">
        <v>60</v>
      </c>
    </row>
    <row r="961" spans="1:10" x14ac:dyDescent="0.3">
      <c r="A961">
        <v>1305</v>
      </c>
      <c r="B961" t="s">
        <v>26</v>
      </c>
      <c r="C961" s="1">
        <v>45907</v>
      </c>
      <c r="D961" t="s">
        <v>11</v>
      </c>
      <c r="E961" t="s">
        <v>17</v>
      </c>
      <c r="F961">
        <v>4</v>
      </c>
      <c r="G961">
        <v>12</v>
      </c>
      <c r="H961" t="s">
        <v>21</v>
      </c>
      <c r="I961" t="s">
        <v>27</v>
      </c>
      <c r="J961">
        <v>48</v>
      </c>
    </row>
    <row r="962" spans="1:10" x14ac:dyDescent="0.3">
      <c r="A962">
        <v>599</v>
      </c>
      <c r="B962" t="s">
        <v>31</v>
      </c>
      <c r="C962" s="1">
        <v>45887</v>
      </c>
      <c r="D962" t="s">
        <v>11</v>
      </c>
      <c r="E962" t="s">
        <v>17</v>
      </c>
      <c r="F962">
        <v>5</v>
      </c>
      <c r="G962">
        <v>12</v>
      </c>
      <c r="H962" t="s">
        <v>13</v>
      </c>
      <c r="I962" t="s">
        <v>25</v>
      </c>
      <c r="J962">
        <v>60</v>
      </c>
    </row>
    <row r="963" spans="1:10" x14ac:dyDescent="0.3">
      <c r="A963">
        <v>47</v>
      </c>
      <c r="B963" t="s">
        <v>19</v>
      </c>
      <c r="C963" s="1">
        <v>45880</v>
      </c>
      <c r="D963" t="s">
        <v>11</v>
      </c>
      <c r="E963" t="s">
        <v>17</v>
      </c>
      <c r="F963">
        <v>4</v>
      </c>
      <c r="G963">
        <v>12</v>
      </c>
      <c r="H963" t="s">
        <v>21</v>
      </c>
      <c r="I963" t="s">
        <v>27</v>
      </c>
      <c r="J963">
        <v>48</v>
      </c>
    </row>
    <row r="964" spans="1:10" x14ac:dyDescent="0.3">
      <c r="A964">
        <v>1179</v>
      </c>
      <c r="B964" t="s">
        <v>28</v>
      </c>
      <c r="C964" s="1">
        <v>45858</v>
      </c>
      <c r="D964" t="s">
        <v>11</v>
      </c>
      <c r="E964" t="s">
        <v>22</v>
      </c>
      <c r="F964">
        <v>4</v>
      </c>
      <c r="G964">
        <v>20</v>
      </c>
      <c r="H964" t="s">
        <v>13</v>
      </c>
      <c r="I964" t="s">
        <v>27</v>
      </c>
      <c r="J964">
        <v>80</v>
      </c>
    </row>
    <row r="965" spans="1:10" x14ac:dyDescent="0.3">
      <c r="A965">
        <v>660</v>
      </c>
      <c r="B965" t="s">
        <v>26</v>
      </c>
      <c r="C965" s="1">
        <v>45914</v>
      </c>
      <c r="D965" t="s">
        <v>11</v>
      </c>
      <c r="E965" t="s">
        <v>30</v>
      </c>
      <c r="F965">
        <v>3</v>
      </c>
      <c r="G965">
        <v>8</v>
      </c>
      <c r="H965" t="s">
        <v>23</v>
      </c>
      <c r="I965" t="s">
        <v>27</v>
      </c>
      <c r="J965">
        <v>24</v>
      </c>
    </row>
    <row r="966" spans="1:10" x14ac:dyDescent="0.3">
      <c r="A966">
        <v>1394</v>
      </c>
      <c r="B966" t="s">
        <v>10</v>
      </c>
      <c r="C966" s="1">
        <v>45860</v>
      </c>
      <c r="D966" t="s">
        <v>11</v>
      </c>
      <c r="E966" t="s">
        <v>17</v>
      </c>
      <c r="F966">
        <v>2</v>
      </c>
      <c r="G966">
        <v>12</v>
      </c>
      <c r="H966" t="s">
        <v>23</v>
      </c>
      <c r="I966" t="s">
        <v>14</v>
      </c>
      <c r="J966">
        <v>24</v>
      </c>
    </row>
    <row r="967" spans="1:10" x14ac:dyDescent="0.3">
      <c r="A967">
        <v>696</v>
      </c>
      <c r="B967" t="s">
        <v>31</v>
      </c>
      <c r="C967" s="1">
        <v>45846</v>
      </c>
      <c r="D967" t="s">
        <v>11</v>
      </c>
      <c r="E967" t="s">
        <v>12</v>
      </c>
      <c r="F967">
        <v>5</v>
      </c>
      <c r="G967">
        <v>25</v>
      </c>
      <c r="H967" t="s">
        <v>21</v>
      </c>
      <c r="I967" t="s">
        <v>18</v>
      </c>
      <c r="J967">
        <v>125</v>
      </c>
    </row>
    <row r="968" spans="1:10" x14ac:dyDescent="0.3">
      <c r="A968">
        <v>1007</v>
      </c>
      <c r="B968" t="s">
        <v>31</v>
      </c>
      <c r="C968" s="1">
        <v>45848</v>
      </c>
      <c r="D968" t="s">
        <v>11</v>
      </c>
      <c r="E968" t="s">
        <v>29</v>
      </c>
      <c r="F968">
        <v>3</v>
      </c>
      <c r="G968">
        <v>30</v>
      </c>
      <c r="H968" t="s">
        <v>13</v>
      </c>
      <c r="I968" t="s">
        <v>14</v>
      </c>
      <c r="J968">
        <v>90</v>
      </c>
    </row>
    <row r="969" spans="1:10" x14ac:dyDescent="0.3">
      <c r="A969">
        <v>1502</v>
      </c>
      <c r="B969" t="s">
        <v>10</v>
      </c>
      <c r="C969" s="1">
        <v>45860</v>
      </c>
      <c r="D969" t="s">
        <v>11</v>
      </c>
      <c r="E969" t="s">
        <v>22</v>
      </c>
      <c r="F969">
        <v>4</v>
      </c>
      <c r="G969">
        <v>20</v>
      </c>
      <c r="H969" t="s">
        <v>21</v>
      </c>
      <c r="I969" t="s">
        <v>27</v>
      </c>
      <c r="J969">
        <v>80</v>
      </c>
    </row>
    <row r="970" spans="1:10" x14ac:dyDescent="0.3">
      <c r="A970">
        <v>1997</v>
      </c>
      <c r="B970" t="s">
        <v>26</v>
      </c>
      <c r="C970" s="1">
        <v>45842</v>
      </c>
      <c r="D970" t="s">
        <v>11</v>
      </c>
      <c r="E970" t="s">
        <v>17</v>
      </c>
      <c r="F970">
        <v>2</v>
      </c>
      <c r="G970">
        <v>12</v>
      </c>
      <c r="H970" t="s">
        <v>13</v>
      </c>
      <c r="I970" t="s">
        <v>25</v>
      </c>
      <c r="J970">
        <v>24</v>
      </c>
    </row>
    <row r="971" spans="1:10" x14ac:dyDescent="0.3">
      <c r="A971">
        <v>918</v>
      </c>
      <c r="B971" t="s">
        <v>31</v>
      </c>
      <c r="C971" s="1">
        <v>45924</v>
      </c>
      <c r="D971" t="s">
        <v>11</v>
      </c>
      <c r="E971" t="s">
        <v>22</v>
      </c>
      <c r="F971">
        <v>3</v>
      </c>
      <c r="G971">
        <v>20</v>
      </c>
      <c r="H971" t="s">
        <v>13</v>
      </c>
      <c r="I971" t="s">
        <v>14</v>
      </c>
      <c r="J971">
        <v>60</v>
      </c>
    </row>
    <row r="972" spans="1:10" x14ac:dyDescent="0.3">
      <c r="A972">
        <v>1848</v>
      </c>
      <c r="B972" t="s">
        <v>19</v>
      </c>
      <c r="C972" s="1">
        <v>45902</v>
      </c>
      <c r="D972" t="s">
        <v>11</v>
      </c>
      <c r="E972" t="s">
        <v>12</v>
      </c>
      <c r="F972">
        <v>1</v>
      </c>
      <c r="G972">
        <v>25</v>
      </c>
      <c r="H972" t="s">
        <v>13</v>
      </c>
      <c r="I972" t="s">
        <v>14</v>
      </c>
      <c r="J972">
        <v>25</v>
      </c>
    </row>
    <row r="973" spans="1:10" x14ac:dyDescent="0.3">
      <c r="A973">
        <v>1493</v>
      </c>
      <c r="B973" t="s">
        <v>28</v>
      </c>
      <c r="C973" s="1">
        <v>45927</v>
      </c>
      <c r="D973" t="s">
        <v>11</v>
      </c>
      <c r="E973" t="s">
        <v>22</v>
      </c>
      <c r="F973">
        <v>3</v>
      </c>
      <c r="G973">
        <v>20</v>
      </c>
      <c r="H973" t="s">
        <v>23</v>
      </c>
      <c r="I973" t="s">
        <v>25</v>
      </c>
      <c r="J973">
        <v>60</v>
      </c>
    </row>
    <row r="974" spans="1:10" x14ac:dyDescent="0.3">
      <c r="A974">
        <v>1219</v>
      </c>
      <c r="B974" t="s">
        <v>15</v>
      </c>
      <c r="C974" s="1">
        <v>45925</v>
      </c>
      <c r="D974" t="s">
        <v>11</v>
      </c>
      <c r="E974" t="s">
        <v>30</v>
      </c>
      <c r="F974">
        <v>4</v>
      </c>
      <c r="G974">
        <v>8</v>
      </c>
      <c r="H974" t="s">
        <v>23</v>
      </c>
      <c r="I974" t="s">
        <v>18</v>
      </c>
      <c r="J974">
        <v>32</v>
      </c>
    </row>
    <row r="975" spans="1:10" x14ac:dyDescent="0.3">
      <c r="A975">
        <v>328</v>
      </c>
      <c r="B975" t="s">
        <v>28</v>
      </c>
      <c r="C975" s="1">
        <v>45904</v>
      </c>
      <c r="D975" t="s">
        <v>11</v>
      </c>
      <c r="E975" t="s">
        <v>17</v>
      </c>
      <c r="F975">
        <v>4</v>
      </c>
      <c r="G975">
        <v>12</v>
      </c>
      <c r="H975" t="s">
        <v>23</v>
      </c>
      <c r="I975" t="s">
        <v>18</v>
      </c>
      <c r="J975">
        <v>48</v>
      </c>
    </row>
    <row r="976" spans="1:10" x14ac:dyDescent="0.3">
      <c r="A976">
        <v>1491</v>
      </c>
      <c r="B976" t="s">
        <v>24</v>
      </c>
      <c r="C976" s="1">
        <v>45892</v>
      </c>
      <c r="D976" t="s">
        <v>11</v>
      </c>
      <c r="E976" t="s">
        <v>17</v>
      </c>
      <c r="F976">
        <v>1</v>
      </c>
      <c r="G976">
        <v>12</v>
      </c>
      <c r="H976" t="s">
        <v>23</v>
      </c>
      <c r="I976" t="s">
        <v>18</v>
      </c>
      <c r="J976">
        <v>12</v>
      </c>
    </row>
    <row r="977" spans="1:10" x14ac:dyDescent="0.3">
      <c r="A977">
        <v>30</v>
      </c>
      <c r="B977" t="s">
        <v>31</v>
      </c>
      <c r="C977" s="1">
        <v>45864</v>
      </c>
      <c r="D977" t="s">
        <v>16</v>
      </c>
      <c r="E977" t="s">
        <v>30</v>
      </c>
      <c r="F977">
        <v>1</v>
      </c>
      <c r="G977">
        <v>8</v>
      </c>
      <c r="H977" t="s">
        <v>13</v>
      </c>
      <c r="I977" t="s">
        <v>18</v>
      </c>
      <c r="J977">
        <v>8</v>
      </c>
    </row>
    <row r="978" spans="1:10" x14ac:dyDescent="0.3">
      <c r="A978">
        <v>1784</v>
      </c>
      <c r="B978" t="s">
        <v>10</v>
      </c>
      <c r="C978" s="1">
        <v>45865</v>
      </c>
      <c r="D978" t="s">
        <v>16</v>
      </c>
      <c r="E978" t="s">
        <v>22</v>
      </c>
      <c r="F978">
        <v>4</v>
      </c>
      <c r="G978">
        <v>20</v>
      </c>
      <c r="H978" t="s">
        <v>23</v>
      </c>
      <c r="I978" t="s">
        <v>18</v>
      </c>
      <c r="J978">
        <v>80</v>
      </c>
    </row>
    <row r="979" spans="1:10" x14ac:dyDescent="0.3">
      <c r="A979">
        <v>981</v>
      </c>
      <c r="B979" t="s">
        <v>31</v>
      </c>
      <c r="C979" s="1">
        <v>45850</v>
      </c>
      <c r="D979" t="s">
        <v>33</v>
      </c>
      <c r="E979" t="s">
        <v>17</v>
      </c>
      <c r="F979">
        <v>2</v>
      </c>
      <c r="G979">
        <v>12</v>
      </c>
      <c r="H979" t="s">
        <v>13</v>
      </c>
      <c r="I979" t="s">
        <v>18</v>
      </c>
      <c r="J979">
        <v>24</v>
      </c>
    </row>
    <row r="980" spans="1:10" x14ac:dyDescent="0.3">
      <c r="A980">
        <v>1800</v>
      </c>
      <c r="B980" t="s">
        <v>24</v>
      </c>
      <c r="C980" s="1">
        <v>45851</v>
      </c>
      <c r="D980" t="s">
        <v>33</v>
      </c>
      <c r="E980" t="s">
        <v>12</v>
      </c>
      <c r="F980">
        <v>3</v>
      </c>
      <c r="G980">
        <v>25</v>
      </c>
      <c r="H980" t="s">
        <v>21</v>
      </c>
      <c r="I980" t="s">
        <v>18</v>
      </c>
      <c r="J980">
        <v>75</v>
      </c>
    </row>
    <row r="981" spans="1:10" x14ac:dyDescent="0.3">
      <c r="A981">
        <v>693</v>
      </c>
      <c r="B981" t="s">
        <v>15</v>
      </c>
      <c r="C981" s="1">
        <v>45907</v>
      </c>
      <c r="D981" t="s">
        <v>16</v>
      </c>
      <c r="E981" t="s">
        <v>17</v>
      </c>
      <c r="F981">
        <v>1</v>
      </c>
      <c r="G981">
        <v>12</v>
      </c>
      <c r="H981" t="s">
        <v>13</v>
      </c>
      <c r="I981" t="s">
        <v>18</v>
      </c>
      <c r="J981">
        <v>12</v>
      </c>
    </row>
    <row r="982" spans="1:10" x14ac:dyDescent="0.3">
      <c r="A982">
        <v>1700</v>
      </c>
      <c r="B982" t="s">
        <v>19</v>
      </c>
      <c r="C982" s="1">
        <v>45864</v>
      </c>
      <c r="D982" t="s">
        <v>33</v>
      </c>
      <c r="E982" t="s">
        <v>17</v>
      </c>
      <c r="F982">
        <v>5</v>
      </c>
      <c r="G982">
        <v>12</v>
      </c>
      <c r="H982" t="s">
        <v>21</v>
      </c>
      <c r="I982" t="s">
        <v>18</v>
      </c>
      <c r="J982">
        <v>60</v>
      </c>
    </row>
    <row r="983" spans="1:10" x14ac:dyDescent="0.3">
      <c r="A983">
        <v>495</v>
      </c>
      <c r="B983" t="s">
        <v>15</v>
      </c>
      <c r="C983" s="1">
        <v>45866</v>
      </c>
      <c r="D983" t="s">
        <v>33</v>
      </c>
      <c r="E983" t="s">
        <v>12</v>
      </c>
      <c r="F983">
        <v>2</v>
      </c>
      <c r="G983">
        <v>25</v>
      </c>
      <c r="H983" t="s">
        <v>23</v>
      </c>
      <c r="I983" t="s">
        <v>18</v>
      </c>
      <c r="J983">
        <v>50</v>
      </c>
    </row>
    <row r="984" spans="1:10" x14ac:dyDescent="0.3">
      <c r="A984">
        <v>1187</v>
      </c>
      <c r="B984" t="s">
        <v>19</v>
      </c>
      <c r="C984" s="1">
        <v>45916</v>
      </c>
      <c r="D984" t="s">
        <v>11</v>
      </c>
      <c r="E984" t="s">
        <v>17</v>
      </c>
      <c r="F984">
        <v>2</v>
      </c>
      <c r="G984">
        <v>12</v>
      </c>
      <c r="H984" t="s">
        <v>13</v>
      </c>
      <c r="I984" t="s">
        <v>18</v>
      </c>
      <c r="J984">
        <v>24</v>
      </c>
    </row>
    <row r="985" spans="1:10" x14ac:dyDescent="0.3">
      <c r="A985">
        <v>65</v>
      </c>
      <c r="B985" t="s">
        <v>28</v>
      </c>
      <c r="C985" s="1">
        <v>45928</v>
      </c>
      <c r="D985" t="s">
        <v>11</v>
      </c>
      <c r="E985" t="s">
        <v>17</v>
      </c>
      <c r="F985">
        <v>3</v>
      </c>
      <c r="G985">
        <v>12</v>
      </c>
      <c r="H985" t="s">
        <v>21</v>
      </c>
      <c r="I985" t="s">
        <v>18</v>
      </c>
      <c r="J985">
        <v>36</v>
      </c>
    </row>
    <row r="986" spans="1:10" x14ac:dyDescent="0.3">
      <c r="A986">
        <v>374</v>
      </c>
      <c r="B986" t="s">
        <v>19</v>
      </c>
      <c r="C986" s="1">
        <v>45886</v>
      </c>
      <c r="D986" t="s">
        <v>16</v>
      </c>
      <c r="E986" t="s">
        <v>17</v>
      </c>
      <c r="F986">
        <v>3</v>
      </c>
      <c r="G986">
        <v>12</v>
      </c>
      <c r="H986" t="s">
        <v>21</v>
      </c>
      <c r="I986" t="s">
        <v>18</v>
      </c>
      <c r="J986">
        <v>36</v>
      </c>
    </row>
    <row r="987" spans="1:10" x14ac:dyDescent="0.3">
      <c r="A987">
        <v>1484</v>
      </c>
      <c r="B987" t="s">
        <v>24</v>
      </c>
      <c r="C987" s="1">
        <v>45888</v>
      </c>
      <c r="D987" t="s">
        <v>33</v>
      </c>
      <c r="E987" t="s">
        <v>29</v>
      </c>
      <c r="F987">
        <v>5</v>
      </c>
      <c r="G987">
        <v>30</v>
      </c>
      <c r="H987" t="s">
        <v>21</v>
      </c>
      <c r="I987" t="s">
        <v>18</v>
      </c>
      <c r="J987">
        <v>150</v>
      </c>
    </row>
    <row r="988" spans="1:10" x14ac:dyDescent="0.3">
      <c r="A988">
        <v>1475</v>
      </c>
      <c r="B988" t="s">
        <v>19</v>
      </c>
      <c r="C988" s="1">
        <v>45858</v>
      </c>
      <c r="D988" t="s">
        <v>33</v>
      </c>
      <c r="E988" t="s">
        <v>22</v>
      </c>
      <c r="F988">
        <v>5</v>
      </c>
      <c r="G988">
        <v>20</v>
      </c>
      <c r="H988" t="s">
        <v>23</v>
      </c>
      <c r="I988" t="s">
        <v>18</v>
      </c>
      <c r="J988">
        <v>100</v>
      </c>
    </row>
    <row r="989" spans="1:10" x14ac:dyDescent="0.3">
      <c r="A989">
        <v>193</v>
      </c>
      <c r="B989" t="s">
        <v>24</v>
      </c>
      <c r="C989" s="1">
        <v>45900</v>
      </c>
      <c r="D989" t="s">
        <v>20</v>
      </c>
      <c r="E989" t="s">
        <v>30</v>
      </c>
      <c r="F989">
        <v>3</v>
      </c>
      <c r="G989">
        <v>8</v>
      </c>
      <c r="H989" t="s">
        <v>23</v>
      </c>
      <c r="I989" t="s">
        <v>18</v>
      </c>
      <c r="J989">
        <v>24</v>
      </c>
    </row>
    <row r="990" spans="1:10" x14ac:dyDescent="0.3">
      <c r="A990">
        <v>165</v>
      </c>
      <c r="B990" t="s">
        <v>26</v>
      </c>
      <c r="C990" s="1">
        <v>45871</v>
      </c>
      <c r="D990" t="s">
        <v>20</v>
      </c>
      <c r="E990" t="s">
        <v>17</v>
      </c>
      <c r="F990">
        <v>4</v>
      </c>
      <c r="G990">
        <v>12</v>
      </c>
      <c r="H990" t="s">
        <v>13</v>
      </c>
      <c r="I990" t="s">
        <v>18</v>
      </c>
      <c r="J990">
        <v>48</v>
      </c>
    </row>
    <row r="991" spans="1:10" x14ac:dyDescent="0.3">
      <c r="A991">
        <v>1669</v>
      </c>
      <c r="B991" t="s">
        <v>28</v>
      </c>
      <c r="C991" s="1">
        <v>45870</v>
      </c>
      <c r="D991" t="s">
        <v>16</v>
      </c>
      <c r="E991" t="s">
        <v>17</v>
      </c>
      <c r="F991">
        <v>4</v>
      </c>
      <c r="G991">
        <v>12</v>
      </c>
      <c r="H991" t="s">
        <v>21</v>
      </c>
      <c r="I991" t="s">
        <v>18</v>
      </c>
      <c r="J991">
        <v>48</v>
      </c>
    </row>
    <row r="992" spans="1:10" x14ac:dyDescent="0.3">
      <c r="A992">
        <v>1461</v>
      </c>
      <c r="B992" t="s">
        <v>15</v>
      </c>
      <c r="C992" s="1">
        <v>45917</v>
      </c>
      <c r="D992" t="s">
        <v>16</v>
      </c>
      <c r="E992" t="s">
        <v>17</v>
      </c>
      <c r="F992">
        <v>3</v>
      </c>
      <c r="G992">
        <v>12</v>
      </c>
      <c r="H992" t="s">
        <v>21</v>
      </c>
      <c r="I992" t="s">
        <v>18</v>
      </c>
      <c r="J992">
        <v>36</v>
      </c>
    </row>
    <row r="993" spans="1:10" x14ac:dyDescent="0.3">
      <c r="A993">
        <v>1588</v>
      </c>
      <c r="B993" t="s">
        <v>24</v>
      </c>
      <c r="C993" s="1">
        <v>45841</v>
      </c>
      <c r="D993" t="s">
        <v>16</v>
      </c>
      <c r="E993" t="s">
        <v>30</v>
      </c>
      <c r="F993">
        <v>4</v>
      </c>
      <c r="G993">
        <v>8</v>
      </c>
      <c r="H993" t="s">
        <v>23</v>
      </c>
      <c r="I993" t="s">
        <v>18</v>
      </c>
      <c r="J993">
        <v>32</v>
      </c>
    </row>
    <row r="994" spans="1:10" x14ac:dyDescent="0.3">
      <c r="A994">
        <v>1144</v>
      </c>
      <c r="B994" t="s">
        <v>28</v>
      </c>
      <c r="C994" s="1">
        <v>45921</v>
      </c>
      <c r="D994" t="s">
        <v>33</v>
      </c>
      <c r="E994" t="s">
        <v>12</v>
      </c>
      <c r="F994">
        <v>4</v>
      </c>
      <c r="G994">
        <v>25</v>
      </c>
      <c r="H994" t="s">
        <v>23</v>
      </c>
      <c r="I994" t="s">
        <v>18</v>
      </c>
      <c r="J994">
        <v>100</v>
      </c>
    </row>
    <row r="995" spans="1:10" x14ac:dyDescent="0.3">
      <c r="A995">
        <v>45</v>
      </c>
      <c r="B995" t="s">
        <v>31</v>
      </c>
      <c r="C995" s="1">
        <v>45922</v>
      </c>
      <c r="D995" t="s">
        <v>16</v>
      </c>
      <c r="E995" t="s">
        <v>22</v>
      </c>
      <c r="F995">
        <v>1</v>
      </c>
      <c r="G995">
        <v>20</v>
      </c>
      <c r="H995" t="s">
        <v>23</v>
      </c>
      <c r="I995" t="s">
        <v>18</v>
      </c>
      <c r="J995">
        <v>20</v>
      </c>
    </row>
    <row r="996" spans="1:10" x14ac:dyDescent="0.3">
      <c r="A996">
        <v>671</v>
      </c>
      <c r="B996" t="s">
        <v>24</v>
      </c>
      <c r="C996" s="1">
        <v>45840</v>
      </c>
      <c r="D996" t="s">
        <v>11</v>
      </c>
      <c r="E996" t="s">
        <v>12</v>
      </c>
      <c r="F996">
        <v>2</v>
      </c>
      <c r="G996">
        <v>25</v>
      </c>
      <c r="H996" t="s">
        <v>21</v>
      </c>
      <c r="I996" t="s">
        <v>18</v>
      </c>
      <c r="J996">
        <v>50</v>
      </c>
    </row>
    <row r="997" spans="1:10" x14ac:dyDescent="0.3">
      <c r="A997">
        <v>1170</v>
      </c>
      <c r="B997" t="s">
        <v>32</v>
      </c>
      <c r="C997" s="1">
        <v>45906</v>
      </c>
      <c r="D997" t="s">
        <v>16</v>
      </c>
      <c r="E997" t="s">
        <v>17</v>
      </c>
      <c r="F997">
        <v>1</v>
      </c>
      <c r="G997">
        <v>12</v>
      </c>
      <c r="H997" t="s">
        <v>13</v>
      </c>
      <c r="I997" t="s">
        <v>18</v>
      </c>
      <c r="J997">
        <v>12</v>
      </c>
    </row>
    <row r="998" spans="1:10" x14ac:dyDescent="0.3">
      <c r="A998">
        <v>260</v>
      </c>
      <c r="B998" t="s">
        <v>32</v>
      </c>
      <c r="C998" s="1">
        <v>45844</v>
      </c>
      <c r="D998" t="s">
        <v>11</v>
      </c>
      <c r="E998" t="s">
        <v>17</v>
      </c>
      <c r="F998">
        <v>2</v>
      </c>
      <c r="G998">
        <v>12</v>
      </c>
      <c r="H998" t="s">
        <v>21</v>
      </c>
      <c r="I998" t="s">
        <v>18</v>
      </c>
      <c r="J998">
        <v>24</v>
      </c>
    </row>
    <row r="999" spans="1:10" x14ac:dyDescent="0.3">
      <c r="A999">
        <v>614</v>
      </c>
      <c r="B999" t="s">
        <v>26</v>
      </c>
      <c r="C999" s="1">
        <v>45863</v>
      </c>
      <c r="D999" t="s">
        <v>16</v>
      </c>
      <c r="E999" t="s">
        <v>30</v>
      </c>
      <c r="F999">
        <v>3</v>
      </c>
      <c r="G999">
        <v>8</v>
      </c>
      <c r="H999" t="s">
        <v>23</v>
      </c>
      <c r="I999" t="s">
        <v>18</v>
      </c>
      <c r="J999">
        <v>24</v>
      </c>
    </row>
    <row r="1000" spans="1:10" x14ac:dyDescent="0.3">
      <c r="A1000">
        <v>1731</v>
      </c>
      <c r="B1000" t="s">
        <v>10</v>
      </c>
      <c r="C1000" s="1">
        <v>45878</v>
      </c>
      <c r="D1000" t="s">
        <v>20</v>
      </c>
      <c r="E1000" t="s">
        <v>17</v>
      </c>
      <c r="F1000">
        <v>4</v>
      </c>
      <c r="G1000">
        <v>12</v>
      </c>
      <c r="H1000" t="s">
        <v>23</v>
      </c>
      <c r="I1000" t="s">
        <v>18</v>
      </c>
      <c r="J1000">
        <v>48</v>
      </c>
    </row>
    <row r="1001" spans="1:10" x14ac:dyDescent="0.3">
      <c r="A1001">
        <v>412</v>
      </c>
      <c r="B1001" t="s">
        <v>19</v>
      </c>
      <c r="C1001" s="1">
        <v>45878</v>
      </c>
      <c r="D1001" t="s">
        <v>11</v>
      </c>
      <c r="E1001" t="s">
        <v>17</v>
      </c>
      <c r="F1001">
        <v>2</v>
      </c>
      <c r="G1001">
        <v>12</v>
      </c>
      <c r="H1001" t="s">
        <v>21</v>
      </c>
      <c r="I1001" t="s">
        <v>18</v>
      </c>
      <c r="J1001">
        <v>24</v>
      </c>
    </row>
    <row r="1002" spans="1:10" x14ac:dyDescent="0.3">
      <c r="A1002">
        <v>1738</v>
      </c>
      <c r="B1002" t="s">
        <v>28</v>
      </c>
      <c r="C1002" s="1">
        <v>45930</v>
      </c>
      <c r="D1002" t="s">
        <v>33</v>
      </c>
      <c r="E1002" t="s">
        <v>30</v>
      </c>
      <c r="F1002">
        <v>2</v>
      </c>
      <c r="G1002">
        <v>8</v>
      </c>
      <c r="H1002" t="s">
        <v>23</v>
      </c>
      <c r="I1002" t="s">
        <v>18</v>
      </c>
      <c r="J1002">
        <v>16</v>
      </c>
    </row>
    <row r="1003" spans="1:10" x14ac:dyDescent="0.3">
      <c r="A1003">
        <v>1807</v>
      </c>
      <c r="B1003" t="s">
        <v>31</v>
      </c>
      <c r="C1003" s="1">
        <v>45891</v>
      </c>
      <c r="D1003" t="s">
        <v>20</v>
      </c>
      <c r="E1003" t="s">
        <v>17</v>
      </c>
      <c r="F1003">
        <v>3</v>
      </c>
      <c r="G1003">
        <v>12</v>
      </c>
      <c r="H1003" t="s">
        <v>23</v>
      </c>
      <c r="I1003" t="s">
        <v>18</v>
      </c>
      <c r="J1003">
        <v>36</v>
      </c>
    </row>
    <row r="1004" spans="1:10" x14ac:dyDescent="0.3">
      <c r="A1004">
        <v>687</v>
      </c>
      <c r="B1004" t="s">
        <v>10</v>
      </c>
      <c r="C1004" s="1">
        <v>45907</v>
      </c>
      <c r="D1004" t="s">
        <v>11</v>
      </c>
      <c r="E1004" t="s">
        <v>17</v>
      </c>
      <c r="F1004">
        <v>1</v>
      </c>
      <c r="G1004">
        <v>12</v>
      </c>
      <c r="H1004" t="s">
        <v>21</v>
      </c>
      <c r="I1004" t="s">
        <v>18</v>
      </c>
      <c r="J1004">
        <v>12</v>
      </c>
    </row>
    <row r="1005" spans="1:10" x14ac:dyDescent="0.3">
      <c r="A1005">
        <v>15</v>
      </c>
      <c r="B1005" t="s">
        <v>19</v>
      </c>
      <c r="C1005" s="1">
        <v>45874</v>
      </c>
      <c r="D1005" t="s">
        <v>20</v>
      </c>
      <c r="E1005" t="s">
        <v>12</v>
      </c>
      <c r="F1005">
        <v>3</v>
      </c>
      <c r="G1005">
        <v>25</v>
      </c>
      <c r="H1005" t="s">
        <v>21</v>
      </c>
      <c r="I1005" t="s">
        <v>18</v>
      </c>
      <c r="J1005">
        <v>75</v>
      </c>
    </row>
    <row r="1006" spans="1:10" x14ac:dyDescent="0.3">
      <c r="A1006">
        <v>837</v>
      </c>
      <c r="B1006" t="s">
        <v>32</v>
      </c>
      <c r="C1006" s="1">
        <v>45850</v>
      </c>
      <c r="D1006" t="s">
        <v>20</v>
      </c>
      <c r="E1006" t="s">
        <v>29</v>
      </c>
      <c r="F1006">
        <v>3</v>
      </c>
      <c r="G1006">
        <v>30</v>
      </c>
      <c r="H1006" t="s">
        <v>21</v>
      </c>
      <c r="I1006" t="s">
        <v>18</v>
      </c>
      <c r="J1006">
        <v>90</v>
      </c>
    </row>
    <row r="1007" spans="1:10" x14ac:dyDescent="0.3">
      <c r="A1007">
        <v>1713</v>
      </c>
      <c r="B1007" t="s">
        <v>15</v>
      </c>
      <c r="C1007" s="1">
        <v>45856</v>
      </c>
      <c r="D1007" t="s">
        <v>33</v>
      </c>
      <c r="E1007" t="s">
        <v>30</v>
      </c>
      <c r="F1007">
        <v>1</v>
      </c>
      <c r="G1007">
        <v>8</v>
      </c>
      <c r="H1007" t="s">
        <v>23</v>
      </c>
      <c r="I1007" t="s">
        <v>18</v>
      </c>
      <c r="J1007">
        <v>8</v>
      </c>
    </row>
    <row r="1008" spans="1:10" x14ac:dyDescent="0.3">
      <c r="A1008">
        <v>1621</v>
      </c>
      <c r="B1008" t="s">
        <v>15</v>
      </c>
      <c r="C1008" s="1">
        <v>45911</v>
      </c>
      <c r="D1008" t="s">
        <v>20</v>
      </c>
      <c r="E1008" t="s">
        <v>30</v>
      </c>
      <c r="F1008">
        <v>2</v>
      </c>
      <c r="G1008">
        <v>8</v>
      </c>
      <c r="H1008" t="s">
        <v>23</v>
      </c>
      <c r="I1008" t="s">
        <v>18</v>
      </c>
      <c r="J1008">
        <v>16</v>
      </c>
    </row>
    <row r="1009" spans="1:10" x14ac:dyDescent="0.3">
      <c r="A1009">
        <v>802</v>
      </c>
      <c r="B1009" t="s">
        <v>10</v>
      </c>
      <c r="C1009" s="1">
        <v>45906</v>
      </c>
      <c r="D1009" t="s">
        <v>20</v>
      </c>
      <c r="E1009" t="s">
        <v>29</v>
      </c>
      <c r="F1009">
        <v>2</v>
      </c>
      <c r="G1009">
        <v>30</v>
      </c>
      <c r="H1009" t="s">
        <v>23</v>
      </c>
      <c r="I1009" t="s">
        <v>18</v>
      </c>
      <c r="J1009">
        <v>60</v>
      </c>
    </row>
    <row r="1010" spans="1:10" x14ac:dyDescent="0.3">
      <c r="A1010">
        <v>407</v>
      </c>
      <c r="B1010" t="s">
        <v>10</v>
      </c>
      <c r="C1010" s="1">
        <v>45879</v>
      </c>
      <c r="D1010" t="s">
        <v>20</v>
      </c>
      <c r="E1010" t="s">
        <v>17</v>
      </c>
      <c r="F1010">
        <v>2</v>
      </c>
      <c r="G1010">
        <v>12</v>
      </c>
      <c r="H1010" t="s">
        <v>13</v>
      </c>
      <c r="I1010" t="s">
        <v>18</v>
      </c>
      <c r="J1010">
        <v>24</v>
      </c>
    </row>
    <row r="1011" spans="1:10" x14ac:dyDescent="0.3">
      <c r="A1011">
        <v>1151</v>
      </c>
      <c r="B1011" t="s">
        <v>15</v>
      </c>
      <c r="C1011" s="1">
        <v>45899</v>
      </c>
      <c r="D1011" t="s">
        <v>33</v>
      </c>
      <c r="E1011" t="s">
        <v>12</v>
      </c>
      <c r="F1011">
        <v>5</v>
      </c>
      <c r="G1011">
        <v>25</v>
      </c>
      <c r="H1011" t="s">
        <v>23</v>
      </c>
      <c r="I1011" t="s">
        <v>18</v>
      </c>
      <c r="J1011">
        <v>125</v>
      </c>
    </row>
    <row r="1012" spans="1:10" x14ac:dyDescent="0.3">
      <c r="A1012">
        <v>63</v>
      </c>
      <c r="B1012" t="s">
        <v>15</v>
      </c>
      <c r="C1012" s="1">
        <v>45882</v>
      </c>
      <c r="D1012" t="s">
        <v>11</v>
      </c>
      <c r="E1012" t="s">
        <v>22</v>
      </c>
      <c r="F1012">
        <v>1</v>
      </c>
      <c r="G1012">
        <v>20</v>
      </c>
      <c r="H1012" t="s">
        <v>21</v>
      </c>
      <c r="I1012" t="s">
        <v>18</v>
      </c>
      <c r="J1012">
        <v>20</v>
      </c>
    </row>
    <row r="1013" spans="1:10" x14ac:dyDescent="0.3">
      <c r="A1013">
        <v>1925</v>
      </c>
      <c r="B1013" t="s">
        <v>26</v>
      </c>
      <c r="C1013" s="1">
        <v>45919</v>
      </c>
      <c r="D1013" t="s">
        <v>20</v>
      </c>
      <c r="E1013" t="s">
        <v>29</v>
      </c>
      <c r="F1013">
        <v>2</v>
      </c>
      <c r="G1013">
        <v>30</v>
      </c>
      <c r="H1013" t="s">
        <v>13</v>
      </c>
      <c r="I1013" t="s">
        <v>18</v>
      </c>
      <c r="J1013">
        <v>60</v>
      </c>
    </row>
    <row r="1014" spans="1:10" x14ac:dyDescent="0.3">
      <c r="A1014">
        <v>1864</v>
      </c>
      <c r="B1014" t="s">
        <v>10</v>
      </c>
      <c r="C1014" s="1">
        <v>45930</v>
      </c>
      <c r="D1014" t="s">
        <v>16</v>
      </c>
      <c r="E1014" t="s">
        <v>17</v>
      </c>
      <c r="F1014">
        <v>4</v>
      </c>
      <c r="G1014">
        <v>12</v>
      </c>
      <c r="H1014" t="s">
        <v>23</v>
      </c>
      <c r="I1014" t="s">
        <v>18</v>
      </c>
      <c r="J1014">
        <v>48</v>
      </c>
    </row>
    <row r="1015" spans="1:10" x14ac:dyDescent="0.3">
      <c r="A1015">
        <v>479</v>
      </c>
      <c r="B1015" t="s">
        <v>24</v>
      </c>
      <c r="C1015" s="1">
        <v>45900</v>
      </c>
      <c r="D1015" t="s">
        <v>20</v>
      </c>
      <c r="E1015" t="s">
        <v>17</v>
      </c>
      <c r="F1015">
        <v>3</v>
      </c>
      <c r="G1015">
        <v>12</v>
      </c>
      <c r="H1015" t="s">
        <v>13</v>
      </c>
      <c r="I1015" t="s">
        <v>18</v>
      </c>
      <c r="J1015">
        <v>36</v>
      </c>
    </row>
    <row r="1016" spans="1:10" x14ac:dyDescent="0.3">
      <c r="A1016">
        <v>1301</v>
      </c>
      <c r="B1016" t="s">
        <v>28</v>
      </c>
      <c r="C1016" s="1">
        <v>45920</v>
      </c>
      <c r="D1016" t="s">
        <v>20</v>
      </c>
      <c r="E1016" t="s">
        <v>17</v>
      </c>
      <c r="F1016">
        <v>5</v>
      </c>
      <c r="G1016">
        <v>12</v>
      </c>
      <c r="H1016" t="s">
        <v>13</v>
      </c>
      <c r="I1016" t="s">
        <v>18</v>
      </c>
      <c r="J1016">
        <v>60</v>
      </c>
    </row>
    <row r="1017" spans="1:10" x14ac:dyDescent="0.3">
      <c r="A1017">
        <v>612</v>
      </c>
      <c r="B1017" t="s">
        <v>26</v>
      </c>
      <c r="C1017" s="1">
        <v>45844</v>
      </c>
      <c r="D1017" t="s">
        <v>16</v>
      </c>
      <c r="E1017" t="s">
        <v>17</v>
      </c>
      <c r="F1017">
        <v>2</v>
      </c>
      <c r="G1017">
        <v>12</v>
      </c>
      <c r="H1017" t="s">
        <v>23</v>
      </c>
      <c r="I1017" t="s">
        <v>18</v>
      </c>
      <c r="J1017">
        <v>24</v>
      </c>
    </row>
    <row r="1018" spans="1:10" x14ac:dyDescent="0.3">
      <c r="A1018">
        <v>329</v>
      </c>
      <c r="B1018" t="s">
        <v>19</v>
      </c>
      <c r="C1018" s="1">
        <v>45910</v>
      </c>
      <c r="D1018" t="s">
        <v>11</v>
      </c>
      <c r="E1018" t="s">
        <v>12</v>
      </c>
      <c r="F1018">
        <v>5</v>
      </c>
      <c r="G1018">
        <v>25</v>
      </c>
      <c r="H1018" t="s">
        <v>21</v>
      </c>
      <c r="I1018" t="s">
        <v>18</v>
      </c>
      <c r="J1018">
        <v>125</v>
      </c>
    </row>
    <row r="1019" spans="1:10" x14ac:dyDescent="0.3">
      <c r="A1019">
        <v>1479</v>
      </c>
      <c r="B1019" t="s">
        <v>10</v>
      </c>
      <c r="C1019" s="1">
        <v>45890</v>
      </c>
      <c r="D1019" t="s">
        <v>16</v>
      </c>
      <c r="E1019" t="s">
        <v>17</v>
      </c>
      <c r="F1019">
        <v>5</v>
      </c>
      <c r="G1019">
        <v>12</v>
      </c>
      <c r="H1019" t="s">
        <v>21</v>
      </c>
      <c r="I1019" t="s">
        <v>18</v>
      </c>
      <c r="J1019">
        <v>60</v>
      </c>
    </row>
    <row r="1020" spans="1:10" x14ac:dyDescent="0.3">
      <c r="A1020">
        <v>1733</v>
      </c>
      <c r="B1020" t="s">
        <v>28</v>
      </c>
      <c r="C1020" s="1">
        <v>45908</v>
      </c>
      <c r="D1020" t="s">
        <v>33</v>
      </c>
      <c r="E1020" t="s">
        <v>17</v>
      </c>
      <c r="F1020">
        <v>1</v>
      </c>
      <c r="G1020">
        <v>12</v>
      </c>
      <c r="H1020" t="s">
        <v>23</v>
      </c>
      <c r="I1020" t="s">
        <v>18</v>
      </c>
      <c r="J1020">
        <v>12</v>
      </c>
    </row>
    <row r="1021" spans="1:10" x14ac:dyDescent="0.3">
      <c r="A1021">
        <v>594</v>
      </c>
      <c r="B1021" t="s">
        <v>31</v>
      </c>
      <c r="C1021" s="1">
        <v>45915</v>
      </c>
      <c r="D1021" t="s">
        <v>16</v>
      </c>
      <c r="E1021" t="s">
        <v>12</v>
      </c>
      <c r="F1021">
        <v>1</v>
      </c>
      <c r="G1021">
        <v>25</v>
      </c>
      <c r="H1021" t="s">
        <v>23</v>
      </c>
      <c r="I1021" t="s">
        <v>18</v>
      </c>
      <c r="J1021">
        <v>25</v>
      </c>
    </row>
    <row r="1022" spans="1:10" x14ac:dyDescent="0.3">
      <c r="A1022">
        <v>1978</v>
      </c>
      <c r="B1022" t="s">
        <v>32</v>
      </c>
      <c r="C1022" s="1">
        <v>45848</v>
      </c>
      <c r="D1022" t="s">
        <v>16</v>
      </c>
      <c r="E1022" t="s">
        <v>12</v>
      </c>
      <c r="F1022">
        <v>3</v>
      </c>
      <c r="G1022">
        <v>25</v>
      </c>
      <c r="H1022" t="s">
        <v>23</v>
      </c>
      <c r="I1022" t="s">
        <v>18</v>
      </c>
      <c r="J1022">
        <v>75</v>
      </c>
    </row>
    <row r="1023" spans="1:10" x14ac:dyDescent="0.3">
      <c r="A1023">
        <v>668</v>
      </c>
      <c r="B1023" t="s">
        <v>31</v>
      </c>
      <c r="C1023" s="1">
        <v>45920</v>
      </c>
      <c r="D1023" t="s">
        <v>16</v>
      </c>
      <c r="E1023" t="s">
        <v>30</v>
      </c>
      <c r="F1023">
        <v>3</v>
      </c>
      <c r="G1023">
        <v>8</v>
      </c>
      <c r="H1023" t="s">
        <v>13</v>
      </c>
      <c r="I1023" t="s">
        <v>18</v>
      </c>
      <c r="J1023">
        <v>24</v>
      </c>
    </row>
    <row r="1024" spans="1:10" x14ac:dyDescent="0.3">
      <c r="A1024">
        <v>1822</v>
      </c>
      <c r="B1024" t="s">
        <v>28</v>
      </c>
      <c r="C1024" s="1">
        <v>45907</v>
      </c>
      <c r="D1024" t="s">
        <v>20</v>
      </c>
      <c r="E1024" t="s">
        <v>17</v>
      </c>
      <c r="F1024">
        <v>5</v>
      </c>
      <c r="G1024">
        <v>12</v>
      </c>
      <c r="H1024" t="s">
        <v>23</v>
      </c>
      <c r="I1024" t="s">
        <v>18</v>
      </c>
      <c r="J1024">
        <v>60</v>
      </c>
    </row>
    <row r="1025" spans="1:10" x14ac:dyDescent="0.3">
      <c r="A1025">
        <v>1610</v>
      </c>
      <c r="B1025" t="s">
        <v>32</v>
      </c>
      <c r="C1025" s="1">
        <v>45856</v>
      </c>
      <c r="D1025" t="s">
        <v>16</v>
      </c>
      <c r="E1025" t="s">
        <v>29</v>
      </c>
      <c r="F1025">
        <v>3</v>
      </c>
      <c r="G1025">
        <v>30</v>
      </c>
      <c r="H1025" t="s">
        <v>21</v>
      </c>
      <c r="I1025" t="s">
        <v>18</v>
      </c>
      <c r="J1025">
        <v>90</v>
      </c>
    </row>
    <row r="1026" spans="1:10" x14ac:dyDescent="0.3">
      <c r="A1026">
        <v>453</v>
      </c>
      <c r="B1026" t="s">
        <v>10</v>
      </c>
      <c r="C1026" s="1">
        <v>45883</v>
      </c>
      <c r="D1026" t="s">
        <v>20</v>
      </c>
      <c r="E1026" t="s">
        <v>12</v>
      </c>
      <c r="F1026">
        <v>4</v>
      </c>
      <c r="G1026">
        <v>25</v>
      </c>
      <c r="H1026" t="s">
        <v>21</v>
      </c>
      <c r="I1026" t="s">
        <v>18</v>
      </c>
      <c r="J1026">
        <v>100</v>
      </c>
    </row>
    <row r="1027" spans="1:10" x14ac:dyDescent="0.3">
      <c r="A1027">
        <v>1413</v>
      </c>
      <c r="B1027" t="s">
        <v>15</v>
      </c>
      <c r="C1027" s="1">
        <v>45921</v>
      </c>
      <c r="D1027" t="s">
        <v>20</v>
      </c>
      <c r="E1027" t="s">
        <v>17</v>
      </c>
      <c r="F1027">
        <v>3</v>
      </c>
      <c r="G1027">
        <v>12</v>
      </c>
      <c r="H1027" t="s">
        <v>23</v>
      </c>
      <c r="I1027" t="s">
        <v>18</v>
      </c>
      <c r="J1027">
        <v>36</v>
      </c>
    </row>
    <row r="1028" spans="1:10" x14ac:dyDescent="0.3">
      <c r="A1028">
        <v>1122</v>
      </c>
      <c r="B1028" t="s">
        <v>32</v>
      </c>
      <c r="C1028" s="1">
        <v>45903</v>
      </c>
      <c r="D1028" t="s">
        <v>33</v>
      </c>
      <c r="E1028" t="s">
        <v>17</v>
      </c>
      <c r="F1028">
        <v>2</v>
      </c>
      <c r="G1028">
        <v>12</v>
      </c>
      <c r="H1028" t="s">
        <v>23</v>
      </c>
      <c r="I1028" t="s">
        <v>18</v>
      </c>
      <c r="J1028">
        <v>24</v>
      </c>
    </row>
    <row r="1029" spans="1:10" x14ac:dyDescent="0.3">
      <c r="A1029">
        <v>1167</v>
      </c>
      <c r="B1029" t="s">
        <v>15</v>
      </c>
      <c r="C1029" s="1">
        <v>45871</v>
      </c>
      <c r="D1029" t="s">
        <v>20</v>
      </c>
      <c r="E1029" t="s">
        <v>29</v>
      </c>
      <c r="F1029">
        <v>3</v>
      </c>
      <c r="G1029">
        <v>30</v>
      </c>
      <c r="H1029" t="s">
        <v>21</v>
      </c>
      <c r="I1029" t="s">
        <v>18</v>
      </c>
      <c r="J1029">
        <v>90</v>
      </c>
    </row>
    <row r="1030" spans="1:10" x14ac:dyDescent="0.3">
      <c r="A1030">
        <v>242</v>
      </c>
      <c r="B1030" t="s">
        <v>28</v>
      </c>
      <c r="C1030" s="1">
        <v>45924</v>
      </c>
      <c r="D1030" t="s">
        <v>11</v>
      </c>
      <c r="E1030" t="s">
        <v>17</v>
      </c>
      <c r="F1030">
        <v>1</v>
      </c>
      <c r="G1030">
        <v>12</v>
      </c>
      <c r="H1030" t="s">
        <v>13</v>
      </c>
      <c r="I1030" t="s">
        <v>18</v>
      </c>
      <c r="J1030">
        <v>12</v>
      </c>
    </row>
    <row r="1031" spans="1:10" x14ac:dyDescent="0.3">
      <c r="A1031">
        <v>1808</v>
      </c>
      <c r="B1031" t="s">
        <v>15</v>
      </c>
      <c r="C1031" s="1">
        <v>45869</v>
      </c>
      <c r="D1031" t="s">
        <v>16</v>
      </c>
      <c r="E1031" t="s">
        <v>17</v>
      </c>
      <c r="F1031">
        <v>2</v>
      </c>
      <c r="G1031">
        <v>12</v>
      </c>
      <c r="H1031" t="s">
        <v>13</v>
      </c>
      <c r="I1031" t="s">
        <v>18</v>
      </c>
      <c r="J1031">
        <v>24</v>
      </c>
    </row>
    <row r="1032" spans="1:10" x14ac:dyDescent="0.3">
      <c r="A1032">
        <v>1283</v>
      </c>
      <c r="B1032" t="s">
        <v>24</v>
      </c>
      <c r="C1032" s="1">
        <v>45878</v>
      </c>
      <c r="D1032" t="s">
        <v>33</v>
      </c>
      <c r="E1032" t="s">
        <v>22</v>
      </c>
      <c r="F1032">
        <v>1</v>
      </c>
      <c r="G1032">
        <v>20</v>
      </c>
      <c r="H1032" t="s">
        <v>21</v>
      </c>
      <c r="I1032" t="s">
        <v>18</v>
      </c>
      <c r="J1032">
        <v>20</v>
      </c>
    </row>
    <row r="1033" spans="1:10" x14ac:dyDescent="0.3">
      <c r="A1033">
        <v>990</v>
      </c>
      <c r="B1033" t="s">
        <v>19</v>
      </c>
      <c r="C1033" s="1">
        <v>45905</v>
      </c>
      <c r="D1033" t="s">
        <v>16</v>
      </c>
      <c r="E1033" t="s">
        <v>22</v>
      </c>
      <c r="F1033">
        <v>4</v>
      </c>
      <c r="G1033">
        <v>20</v>
      </c>
      <c r="H1033" t="s">
        <v>23</v>
      </c>
      <c r="I1033" t="s">
        <v>18</v>
      </c>
      <c r="J1033">
        <v>80</v>
      </c>
    </row>
    <row r="1034" spans="1:10" x14ac:dyDescent="0.3">
      <c r="A1034">
        <v>336</v>
      </c>
      <c r="B1034" t="s">
        <v>19</v>
      </c>
      <c r="C1034" s="1">
        <v>45872</v>
      </c>
      <c r="D1034" t="s">
        <v>16</v>
      </c>
      <c r="E1034" t="s">
        <v>17</v>
      </c>
      <c r="F1034">
        <v>4</v>
      </c>
      <c r="G1034">
        <v>12</v>
      </c>
      <c r="H1034" t="s">
        <v>23</v>
      </c>
      <c r="I1034" t="s">
        <v>18</v>
      </c>
      <c r="J1034">
        <v>48</v>
      </c>
    </row>
    <row r="1035" spans="1:10" x14ac:dyDescent="0.3">
      <c r="A1035">
        <v>732</v>
      </c>
      <c r="B1035" t="s">
        <v>24</v>
      </c>
      <c r="C1035" s="1">
        <v>45905</v>
      </c>
      <c r="D1035" t="s">
        <v>20</v>
      </c>
      <c r="E1035" t="s">
        <v>17</v>
      </c>
      <c r="F1035">
        <v>1</v>
      </c>
      <c r="G1035">
        <v>12</v>
      </c>
      <c r="H1035" t="s">
        <v>13</v>
      </c>
      <c r="I1035" t="s">
        <v>18</v>
      </c>
      <c r="J1035">
        <v>12</v>
      </c>
    </row>
    <row r="1036" spans="1:10" x14ac:dyDescent="0.3">
      <c r="A1036">
        <v>1611</v>
      </c>
      <c r="B1036" t="s">
        <v>15</v>
      </c>
      <c r="C1036" s="1">
        <v>45857</v>
      </c>
      <c r="D1036" t="s">
        <v>11</v>
      </c>
      <c r="E1036" t="s">
        <v>12</v>
      </c>
      <c r="F1036">
        <v>5</v>
      </c>
      <c r="G1036">
        <v>25</v>
      </c>
      <c r="H1036" t="s">
        <v>21</v>
      </c>
      <c r="I1036" t="s">
        <v>18</v>
      </c>
      <c r="J1036">
        <v>125</v>
      </c>
    </row>
    <row r="1037" spans="1:10" x14ac:dyDescent="0.3">
      <c r="A1037">
        <v>971</v>
      </c>
      <c r="B1037" t="s">
        <v>19</v>
      </c>
      <c r="C1037" s="1">
        <v>45865</v>
      </c>
      <c r="D1037" t="s">
        <v>16</v>
      </c>
      <c r="E1037" t="s">
        <v>17</v>
      </c>
      <c r="F1037">
        <v>1</v>
      </c>
      <c r="G1037">
        <v>12</v>
      </c>
      <c r="H1037" t="s">
        <v>21</v>
      </c>
      <c r="I1037" t="s">
        <v>18</v>
      </c>
      <c r="J1037">
        <v>12</v>
      </c>
    </row>
    <row r="1038" spans="1:10" x14ac:dyDescent="0.3">
      <c r="A1038">
        <v>645</v>
      </c>
      <c r="B1038" t="s">
        <v>19</v>
      </c>
      <c r="C1038" s="1">
        <v>45927</v>
      </c>
      <c r="D1038" t="s">
        <v>33</v>
      </c>
      <c r="E1038" t="s">
        <v>17</v>
      </c>
      <c r="F1038">
        <v>3</v>
      </c>
      <c r="G1038">
        <v>12</v>
      </c>
      <c r="H1038" t="s">
        <v>23</v>
      </c>
      <c r="I1038" t="s">
        <v>18</v>
      </c>
      <c r="J1038">
        <v>36</v>
      </c>
    </row>
    <row r="1039" spans="1:10" x14ac:dyDescent="0.3">
      <c r="A1039">
        <v>1856</v>
      </c>
      <c r="B1039" t="s">
        <v>26</v>
      </c>
      <c r="C1039" s="1">
        <v>45886</v>
      </c>
      <c r="D1039" t="s">
        <v>33</v>
      </c>
      <c r="E1039" t="s">
        <v>17</v>
      </c>
      <c r="F1039">
        <v>3</v>
      </c>
      <c r="G1039">
        <v>12</v>
      </c>
      <c r="H1039" t="s">
        <v>23</v>
      </c>
      <c r="I1039" t="s">
        <v>18</v>
      </c>
      <c r="J1039">
        <v>36</v>
      </c>
    </row>
    <row r="1040" spans="1:10" x14ac:dyDescent="0.3">
      <c r="A1040">
        <v>1984</v>
      </c>
      <c r="B1040" t="s">
        <v>32</v>
      </c>
      <c r="C1040" s="1">
        <v>45841</v>
      </c>
      <c r="D1040" t="s">
        <v>20</v>
      </c>
      <c r="E1040" t="s">
        <v>17</v>
      </c>
      <c r="F1040">
        <v>3</v>
      </c>
      <c r="G1040">
        <v>12</v>
      </c>
      <c r="H1040" t="s">
        <v>21</v>
      </c>
      <c r="I1040" t="s">
        <v>18</v>
      </c>
      <c r="J1040">
        <v>36</v>
      </c>
    </row>
    <row r="1041" spans="1:10" x14ac:dyDescent="0.3">
      <c r="A1041">
        <v>1393</v>
      </c>
      <c r="B1041" t="s">
        <v>19</v>
      </c>
      <c r="C1041" s="1">
        <v>45841</v>
      </c>
      <c r="D1041" t="s">
        <v>20</v>
      </c>
      <c r="E1041" t="s">
        <v>22</v>
      </c>
      <c r="F1041">
        <v>3</v>
      </c>
      <c r="G1041">
        <v>20</v>
      </c>
      <c r="H1041" t="s">
        <v>13</v>
      </c>
      <c r="I1041" t="s">
        <v>18</v>
      </c>
      <c r="J1041">
        <v>60</v>
      </c>
    </row>
    <row r="1042" spans="1:10" x14ac:dyDescent="0.3">
      <c r="A1042">
        <v>1293</v>
      </c>
      <c r="B1042" t="s">
        <v>31</v>
      </c>
      <c r="C1042" s="1">
        <v>45850</v>
      </c>
      <c r="D1042" t="s">
        <v>33</v>
      </c>
      <c r="E1042" t="s">
        <v>17</v>
      </c>
      <c r="F1042">
        <v>2</v>
      </c>
      <c r="G1042">
        <v>12</v>
      </c>
      <c r="H1042" t="s">
        <v>13</v>
      </c>
      <c r="I1042" t="s">
        <v>18</v>
      </c>
      <c r="J1042">
        <v>24</v>
      </c>
    </row>
    <row r="1043" spans="1:10" x14ac:dyDescent="0.3">
      <c r="A1043">
        <v>1899</v>
      </c>
      <c r="B1043" t="s">
        <v>19</v>
      </c>
      <c r="C1043" s="1">
        <v>45912</v>
      </c>
      <c r="D1043" t="s">
        <v>11</v>
      </c>
      <c r="E1043" t="s">
        <v>12</v>
      </c>
      <c r="F1043">
        <v>4</v>
      </c>
      <c r="G1043">
        <v>25</v>
      </c>
      <c r="H1043" t="s">
        <v>21</v>
      </c>
      <c r="I1043" t="s">
        <v>18</v>
      </c>
      <c r="J1043">
        <v>100</v>
      </c>
    </row>
    <row r="1044" spans="1:10" x14ac:dyDescent="0.3">
      <c r="A1044">
        <v>52</v>
      </c>
      <c r="B1044" t="s">
        <v>10</v>
      </c>
      <c r="C1044" s="1">
        <v>45858</v>
      </c>
      <c r="D1044" t="s">
        <v>11</v>
      </c>
      <c r="E1044" t="s">
        <v>17</v>
      </c>
      <c r="F1044">
        <v>5</v>
      </c>
      <c r="G1044">
        <v>12</v>
      </c>
      <c r="H1044" t="s">
        <v>23</v>
      </c>
      <c r="I1044" t="s">
        <v>18</v>
      </c>
      <c r="J1044">
        <v>60</v>
      </c>
    </row>
    <row r="1045" spans="1:10" x14ac:dyDescent="0.3">
      <c r="A1045">
        <v>1156</v>
      </c>
      <c r="B1045" t="s">
        <v>24</v>
      </c>
      <c r="C1045" s="1">
        <v>45860</v>
      </c>
      <c r="D1045" t="s">
        <v>11</v>
      </c>
      <c r="E1045" t="s">
        <v>12</v>
      </c>
      <c r="F1045">
        <v>1</v>
      </c>
      <c r="G1045">
        <v>25</v>
      </c>
      <c r="H1045" t="s">
        <v>13</v>
      </c>
      <c r="I1045" t="s">
        <v>18</v>
      </c>
      <c r="J1045">
        <v>25</v>
      </c>
    </row>
    <row r="1046" spans="1:10" x14ac:dyDescent="0.3">
      <c r="A1046">
        <v>617</v>
      </c>
      <c r="B1046" t="s">
        <v>24</v>
      </c>
      <c r="C1046" s="1">
        <v>45896</v>
      </c>
      <c r="D1046" t="s">
        <v>20</v>
      </c>
      <c r="E1046" t="s">
        <v>17</v>
      </c>
      <c r="F1046">
        <v>5</v>
      </c>
      <c r="G1046">
        <v>12</v>
      </c>
      <c r="H1046" t="s">
        <v>21</v>
      </c>
      <c r="I1046" t="s">
        <v>18</v>
      </c>
      <c r="J1046">
        <v>60</v>
      </c>
    </row>
    <row r="1047" spans="1:10" x14ac:dyDescent="0.3">
      <c r="A1047">
        <v>1597</v>
      </c>
      <c r="B1047" t="s">
        <v>31</v>
      </c>
      <c r="C1047" s="1">
        <v>45841</v>
      </c>
      <c r="D1047" t="s">
        <v>16</v>
      </c>
      <c r="E1047" t="s">
        <v>17</v>
      </c>
      <c r="F1047">
        <v>2</v>
      </c>
      <c r="G1047">
        <v>12</v>
      </c>
      <c r="H1047" t="s">
        <v>13</v>
      </c>
      <c r="I1047" t="s">
        <v>18</v>
      </c>
      <c r="J1047">
        <v>24</v>
      </c>
    </row>
    <row r="1048" spans="1:10" x14ac:dyDescent="0.3">
      <c r="A1048">
        <v>27</v>
      </c>
      <c r="B1048" t="s">
        <v>10</v>
      </c>
      <c r="C1048" s="1">
        <v>45904</v>
      </c>
      <c r="D1048" t="s">
        <v>11</v>
      </c>
      <c r="E1048" t="s">
        <v>30</v>
      </c>
      <c r="F1048">
        <v>4</v>
      </c>
      <c r="G1048">
        <v>8</v>
      </c>
      <c r="H1048" t="s">
        <v>13</v>
      </c>
      <c r="I1048" t="s">
        <v>18</v>
      </c>
      <c r="J1048">
        <v>32</v>
      </c>
    </row>
    <row r="1049" spans="1:10" x14ac:dyDescent="0.3">
      <c r="A1049">
        <v>1347</v>
      </c>
      <c r="B1049" t="s">
        <v>32</v>
      </c>
      <c r="C1049" s="1">
        <v>45920</v>
      </c>
      <c r="D1049" t="s">
        <v>20</v>
      </c>
      <c r="E1049" t="s">
        <v>17</v>
      </c>
      <c r="F1049">
        <v>1</v>
      </c>
      <c r="G1049">
        <v>12</v>
      </c>
      <c r="H1049" t="s">
        <v>23</v>
      </c>
      <c r="I1049" t="s">
        <v>18</v>
      </c>
      <c r="J1049">
        <v>12</v>
      </c>
    </row>
    <row r="1050" spans="1:10" x14ac:dyDescent="0.3">
      <c r="A1050">
        <v>1181</v>
      </c>
      <c r="B1050" t="s">
        <v>10</v>
      </c>
      <c r="C1050" s="1">
        <v>45890</v>
      </c>
      <c r="D1050" t="s">
        <v>33</v>
      </c>
      <c r="E1050" t="s">
        <v>17</v>
      </c>
      <c r="F1050">
        <v>4</v>
      </c>
      <c r="G1050">
        <v>12</v>
      </c>
      <c r="H1050" t="s">
        <v>13</v>
      </c>
      <c r="I1050" t="s">
        <v>18</v>
      </c>
      <c r="J1050">
        <v>48</v>
      </c>
    </row>
    <row r="1051" spans="1:10" x14ac:dyDescent="0.3">
      <c r="A1051">
        <v>1004</v>
      </c>
      <c r="B1051" t="s">
        <v>24</v>
      </c>
      <c r="C1051" s="1">
        <v>45843</v>
      </c>
      <c r="D1051" t="s">
        <v>16</v>
      </c>
      <c r="E1051" t="s">
        <v>12</v>
      </c>
      <c r="F1051">
        <v>5</v>
      </c>
      <c r="G1051">
        <v>25</v>
      </c>
      <c r="H1051" t="s">
        <v>21</v>
      </c>
      <c r="I1051" t="s">
        <v>18</v>
      </c>
      <c r="J1051">
        <v>125</v>
      </c>
    </row>
    <row r="1052" spans="1:10" x14ac:dyDescent="0.3">
      <c r="A1052">
        <v>1476</v>
      </c>
      <c r="B1052" t="s">
        <v>19</v>
      </c>
      <c r="C1052" s="1">
        <v>45879</v>
      </c>
      <c r="D1052" t="s">
        <v>11</v>
      </c>
      <c r="E1052" t="s">
        <v>22</v>
      </c>
      <c r="F1052">
        <v>4</v>
      </c>
      <c r="G1052">
        <v>20</v>
      </c>
      <c r="H1052" t="s">
        <v>23</v>
      </c>
      <c r="I1052" t="s">
        <v>18</v>
      </c>
      <c r="J1052">
        <v>80</v>
      </c>
    </row>
    <row r="1053" spans="1:10" x14ac:dyDescent="0.3">
      <c r="A1053">
        <v>1038</v>
      </c>
      <c r="B1053" t="s">
        <v>28</v>
      </c>
      <c r="C1053" s="1">
        <v>45920</v>
      </c>
      <c r="D1053" t="s">
        <v>16</v>
      </c>
      <c r="E1053" t="s">
        <v>29</v>
      </c>
      <c r="F1053">
        <v>2</v>
      </c>
      <c r="G1053">
        <v>30</v>
      </c>
      <c r="H1053" t="s">
        <v>21</v>
      </c>
      <c r="I1053" t="s">
        <v>18</v>
      </c>
      <c r="J1053">
        <v>60</v>
      </c>
    </row>
    <row r="1054" spans="1:10" x14ac:dyDescent="0.3">
      <c r="A1054">
        <v>1468</v>
      </c>
      <c r="B1054" t="s">
        <v>10</v>
      </c>
      <c r="C1054" s="1">
        <v>45894</v>
      </c>
      <c r="D1054" t="s">
        <v>20</v>
      </c>
      <c r="E1054" t="s">
        <v>30</v>
      </c>
      <c r="F1054">
        <v>4</v>
      </c>
      <c r="G1054">
        <v>8</v>
      </c>
      <c r="H1054" t="s">
        <v>21</v>
      </c>
      <c r="I1054" t="s">
        <v>18</v>
      </c>
      <c r="J1054">
        <v>32</v>
      </c>
    </row>
    <row r="1055" spans="1:10" x14ac:dyDescent="0.3">
      <c r="A1055">
        <v>1981</v>
      </c>
      <c r="B1055" t="s">
        <v>15</v>
      </c>
      <c r="C1055" s="1">
        <v>45857</v>
      </c>
      <c r="D1055" t="s">
        <v>20</v>
      </c>
      <c r="E1055" t="s">
        <v>22</v>
      </c>
      <c r="F1055">
        <v>1</v>
      </c>
      <c r="G1055">
        <v>20</v>
      </c>
      <c r="H1055" t="s">
        <v>21</v>
      </c>
      <c r="I1055" t="s">
        <v>18</v>
      </c>
      <c r="J1055">
        <v>20</v>
      </c>
    </row>
    <row r="1056" spans="1:10" x14ac:dyDescent="0.3">
      <c r="A1056">
        <v>363</v>
      </c>
      <c r="B1056" t="s">
        <v>24</v>
      </c>
      <c r="C1056" s="1">
        <v>45842</v>
      </c>
      <c r="D1056" t="s">
        <v>11</v>
      </c>
      <c r="E1056" t="s">
        <v>17</v>
      </c>
      <c r="F1056">
        <v>1</v>
      </c>
      <c r="G1056">
        <v>12</v>
      </c>
      <c r="H1056" t="s">
        <v>21</v>
      </c>
      <c r="I1056" t="s">
        <v>18</v>
      </c>
      <c r="J1056">
        <v>12</v>
      </c>
    </row>
    <row r="1057" spans="1:10" x14ac:dyDescent="0.3">
      <c r="A1057">
        <v>919</v>
      </c>
      <c r="B1057" t="s">
        <v>31</v>
      </c>
      <c r="C1057" s="1">
        <v>45899</v>
      </c>
      <c r="D1057" t="s">
        <v>16</v>
      </c>
      <c r="E1057" t="s">
        <v>17</v>
      </c>
      <c r="F1057">
        <v>3</v>
      </c>
      <c r="G1057">
        <v>12</v>
      </c>
      <c r="H1057" t="s">
        <v>21</v>
      </c>
      <c r="I1057" t="s">
        <v>18</v>
      </c>
      <c r="J1057">
        <v>36</v>
      </c>
    </row>
    <row r="1058" spans="1:10" x14ac:dyDescent="0.3">
      <c r="A1058">
        <v>1177</v>
      </c>
      <c r="B1058" t="s">
        <v>28</v>
      </c>
      <c r="C1058" s="1">
        <v>45913</v>
      </c>
      <c r="D1058" t="s">
        <v>20</v>
      </c>
      <c r="E1058" t="s">
        <v>30</v>
      </c>
      <c r="F1058">
        <v>3</v>
      </c>
      <c r="G1058">
        <v>8</v>
      </c>
      <c r="H1058" t="s">
        <v>23</v>
      </c>
      <c r="I1058" t="s">
        <v>18</v>
      </c>
      <c r="J1058">
        <v>24</v>
      </c>
    </row>
    <row r="1059" spans="1:10" x14ac:dyDescent="0.3">
      <c r="A1059">
        <v>976</v>
      </c>
      <c r="B1059" t="s">
        <v>26</v>
      </c>
      <c r="C1059" s="1">
        <v>45906</v>
      </c>
      <c r="D1059" t="s">
        <v>11</v>
      </c>
      <c r="E1059" t="s">
        <v>17</v>
      </c>
      <c r="F1059">
        <v>4</v>
      </c>
      <c r="G1059">
        <v>12</v>
      </c>
      <c r="H1059" t="s">
        <v>13</v>
      </c>
      <c r="I1059" t="s">
        <v>18</v>
      </c>
      <c r="J1059">
        <v>48</v>
      </c>
    </row>
    <row r="1060" spans="1:10" x14ac:dyDescent="0.3">
      <c r="A1060">
        <v>1906</v>
      </c>
      <c r="B1060" t="s">
        <v>26</v>
      </c>
      <c r="C1060" s="1">
        <v>45893</v>
      </c>
      <c r="D1060" t="s">
        <v>16</v>
      </c>
      <c r="E1060" t="s">
        <v>17</v>
      </c>
      <c r="F1060">
        <v>4</v>
      </c>
      <c r="G1060">
        <v>12</v>
      </c>
      <c r="H1060" t="s">
        <v>13</v>
      </c>
      <c r="I1060" t="s">
        <v>18</v>
      </c>
      <c r="J1060">
        <v>48</v>
      </c>
    </row>
    <row r="1061" spans="1:10" x14ac:dyDescent="0.3">
      <c r="A1061">
        <v>1031</v>
      </c>
      <c r="B1061" t="s">
        <v>28</v>
      </c>
      <c r="C1061" s="1">
        <v>45921</v>
      </c>
      <c r="D1061" t="s">
        <v>11</v>
      </c>
      <c r="E1061" t="s">
        <v>17</v>
      </c>
      <c r="F1061">
        <v>4</v>
      </c>
      <c r="G1061">
        <v>12</v>
      </c>
      <c r="H1061" t="s">
        <v>21</v>
      </c>
      <c r="I1061" t="s">
        <v>18</v>
      </c>
      <c r="J1061">
        <v>48</v>
      </c>
    </row>
    <row r="1062" spans="1:10" x14ac:dyDescent="0.3">
      <c r="A1062">
        <v>1655</v>
      </c>
      <c r="B1062" t="s">
        <v>26</v>
      </c>
      <c r="C1062" s="1">
        <v>45878</v>
      </c>
      <c r="D1062" t="s">
        <v>20</v>
      </c>
      <c r="E1062" t="s">
        <v>17</v>
      </c>
      <c r="F1062">
        <v>1</v>
      </c>
      <c r="G1062">
        <v>12</v>
      </c>
      <c r="H1062" t="s">
        <v>13</v>
      </c>
      <c r="I1062" t="s">
        <v>18</v>
      </c>
      <c r="J1062">
        <v>12</v>
      </c>
    </row>
    <row r="1063" spans="1:10" x14ac:dyDescent="0.3">
      <c r="A1063">
        <v>1607</v>
      </c>
      <c r="B1063" t="s">
        <v>26</v>
      </c>
      <c r="C1063" s="1">
        <v>45849</v>
      </c>
      <c r="D1063" t="s">
        <v>20</v>
      </c>
      <c r="E1063" t="s">
        <v>22</v>
      </c>
      <c r="F1063">
        <v>2</v>
      </c>
      <c r="G1063">
        <v>20</v>
      </c>
      <c r="H1063" t="s">
        <v>21</v>
      </c>
      <c r="I1063" t="s">
        <v>18</v>
      </c>
      <c r="J1063">
        <v>40</v>
      </c>
    </row>
    <row r="1064" spans="1:10" x14ac:dyDescent="0.3">
      <c r="A1064">
        <v>1949</v>
      </c>
      <c r="B1064" t="s">
        <v>31</v>
      </c>
      <c r="C1064" s="1">
        <v>45891</v>
      </c>
      <c r="D1064" t="s">
        <v>33</v>
      </c>
      <c r="E1064" t="s">
        <v>17</v>
      </c>
      <c r="F1064">
        <v>4</v>
      </c>
      <c r="G1064">
        <v>12</v>
      </c>
      <c r="H1064" t="s">
        <v>13</v>
      </c>
      <c r="I1064" t="s">
        <v>18</v>
      </c>
      <c r="J1064">
        <v>48</v>
      </c>
    </row>
    <row r="1065" spans="1:10" x14ac:dyDescent="0.3">
      <c r="A1065">
        <v>1374</v>
      </c>
      <c r="B1065" t="s">
        <v>26</v>
      </c>
      <c r="C1065" s="1">
        <v>45865</v>
      </c>
      <c r="D1065" t="s">
        <v>11</v>
      </c>
      <c r="E1065" t="s">
        <v>30</v>
      </c>
      <c r="F1065">
        <v>2</v>
      </c>
      <c r="G1065">
        <v>8</v>
      </c>
      <c r="H1065" t="s">
        <v>13</v>
      </c>
      <c r="I1065" t="s">
        <v>18</v>
      </c>
      <c r="J1065">
        <v>16</v>
      </c>
    </row>
    <row r="1066" spans="1:10" x14ac:dyDescent="0.3">
      <c r="A1066">
        <v>865</v>
      </c>
      <c r="B1066" t="s">
        <v>31</v>
      </c>
      <c r="C1066" s="1">
        <v>45881</v>
      </c>
      <c r="D1066" t="s">
        <v>20</v>
      </c>
      <c r="E1066" t="s">
        <v>17</v>
      </c>
      <c r="F1066">
        <v>5</v>
      </c>
      <c r="G1066">
        <v>12</v>
      </c>
      <c r="H1066" t="s">
        <v>23</v>
      </c>
      <c r="I1066" t="s">
        <v>18</v>
      </c>
      <c r="J1066">
        <v>60</v>
      </c>
    </row>
    <row r="1067" spans="1:10" x14ac:dyDescent="0.3">
      <c r="A1067">
        <v>76</v>
      </c>
      <c r="B1067" t="s">
        <v>26</v>
      </c>
      <c r="C1067" s="1">
        <v>45894</v>
      </c>
      <c r="D1067" t="s">
        <v>11</v>
      </c>
      <c r="E1067" t="s">
        <v>22</v>
      </c>
      <c r="F1067">
        <v>4</v>
      </c>
      <c r="G1067">
        <v>20</v>
      </c>
      <c r="H1067" t="s">
        <v>13</v>
      </c>
      <c r="I1067" t="s">
        <v>18</v>
      </c>
      <c r="J1067">
        <v>80</v>
      </c>
    </row>
    <row r="1068" spans="1:10" x14ac:dyDescent="0.3">
      <c r="A1068">
        <v>1948</v>
      </c>
      <c r="B1068" t="s">
        <v>26</v>
      </c>
      <c r="C1068" s="1">
        <v>45916</v>
      </c>
      <c r="D1068" t="s">
        <v>11</v>
      </c>
      <c r="E1068" t="s">
        <v>12</v>
      </c>
      <c r="F1068">
        <v>5</v>
      </c>
      <c r="G1068">
        <v>25</v>
      </c>
      <c r="H1068" t="s">
        <v>23</v>
      </c>
      <c r="I1068" t="s">
        <v>18</v>
      </c>
      <c r="J1068">
        <v>125</v>
      </c>
    </row>
    <row r="1069" spans="1:10" x14ac:dyDescent="0.3">
      <c r="A1069">
        <v>596</v>
      </c>
      <c r="B1069" t="s">
        <v>31</v>
      </c>
      <c r="C1069" s="1">
        <v>45907</v>
      </c>
      <c r="D1069" t="s">
        <v>16</v>
      </c>
      <c r="E1069" t="s">
        <v>30</v>
      </c>
      <c r="F1069">
        <v>3</v>
      </c>
      <c r="G1069">
        <v>8</v>
      </c>
      <c r="H1069" t="s">
        <v>13</v>
      </c>
      <c r="I1069" t="s">
        <v>18</v>
      </c>
      <c r="J1069">
        <v>24</v>
      </c>
    </row>
    <row r="1070" spans="1:10" x14ac:dyDescent="0.3">
      <c r="A1070">
        <v>1352</v>
      </c>
      <c r="B1070" t="s">
        <v>19</v>
      </c>
      <c r="C1070" s="1">
        <v>45873</v>
      </c>
      <c r="D1070" t="s">
        <v>20</v>
      </c>
      <c r="E1070" t="s">
        <v>17</v>
      </c>
      <c r="F1070">
        <v>2</v>
      </c>
      <c r="G1070">
        <v>12</v>
      </c>
      <c r="H1070" t="s">
        <v>21</v>
      </c>
      <c r="I1070" t="s">
        <v>18</v>
      </c>
      <c r="J1070">
        <v>24</v>
      </c>
    </row>
    <row r="1071" spans="1:10" x14ac:dyDescent="0.3">
      <c r="A1071">
        <v>317</v>
      </c>
      <c r="B1071" t="s">
        <v>32</v>
      </c>
      <c r="C1071" s="1">
        <v>45875</v>
      </c>
      <c r="D1071" t="s">
        <v>20</v>
      </c>
      <c r="E1071" t="s">
        <v>17</v>
      </c>
      <c r="F1071">
        <v>1</v>
      </c>
      <c r="G1071">
        <v>12</v>
      </c>
      <c r="H1071" t="s">
        <v>23</v>
      </c>
      <c r="I1071" t="s">
        <v>18</v>
      </c>
      <c r="J1071">
        <v>12</v>
      </c>
    </row>
    <row r="1072" spans="1:10" x14ac:dyDescent="0.3">
      <c r="A1072">
        <v>1994</v>
      </c>
      <c r="B1072" t="s">
        <v>24</v>
      </c>
      <c r="C1072" s="1">
        <v>45878</v>
      </c>
      <c r="D1072" t="s">
        <v>33</v>
      </c>
      <c r="E1072" t="s">
        <v>17</v>
      </c>
      <c r="F1072">
        <v>2</v>
      </c>
      <c r="G1072">
        <v>12</v>
      </c>
      <c r="H1072" t="s">
        <v>13</v>
      </c>
      <c r="I1072" t="s">
        <v>18</v>
      </c>
      <c r="J1072">
        <v>24</v>
      </c>
    </row>
    <row r="1073" spans="1:10" x14ac:dyDescent="0.3">
      <c r="A1073">
        <v>431</v>
      </c>
      <c r="B1073" t="s">
        <v>24</v>
      </c>
      <c r="C1073" s="1">
        <v>45871</v>
      </c>
      <c r="D1073" t="s">
        <v>16</v>
      </c>
      <c r="E1073" t="s">
        <v>12</v>
      </c>
      <c r="F1073">
        <v>4</v>
      </c>
      <c r="G1073">
        <v>25</v>
      </c>
      <c r="H1073" t="s">
        <v>21</v>
      </c>
      <c r="I1073" t="s">
        <v>18</v>
      </c>
      <c r="J1073">
        <v>100</v>
      </c>
    </row>
    <row r="1074" spans="1:10" x14ac:dyDescent="0.3">
      <c r="A1074">
        <v>1263</v>
      </c>
      <c r="B1074" t="s">
        <v>28</v>
      </c>
      <c r="C1074" s="1">
        <v>45843</v>
      </c>
      <c r="D1074" t="s">
        <v>33</v>
      </c>
      <c r="E1074" t="s">
        <v>17</v>
      </c>
      <c r="F1074">
        <v>1</v>
      </c>
      <c r="G1074">
        <v>12</v>
      </c>
      <c r="H1074" t="s">
        <v>21</v>
      </c>
      <c r="I1074" t="s">
        <v>18</v>
      </c>
      <c r="J1074">
        <v>12</v>
      </c>
    </row>
    <row r="1075" spans="1:10" x14ac:dyDescent="0.3">
      <c r="A1075">
        <v>1430</v>
      </c>
      <c r="B1075" t="s">
        <v>28</v>
      </c>
      <c r="C1075" s="1">
        <v>45865</v>
      </c>
      <c r="D1075" t="s">
        <v>20</v>
      </c>
      <c r="E1075" t="s">
        <v>12</v>
      </c>
      <c r="F1075">
        <v>4</v>
      </c>
      <c r="G1075">
        <v>25</v>
      </c>
      <c r="H1075" t="s">
        <v>21</v>
      </c>
      <c r="I1075" t="s">
        <v>18</v>
      </c>
      <c r="J1075">
        <v>100</v>
      </c>
    </row>
    <row r="1076" spans="1:10" x14ac:dyDescent="0.3">
      <c r="A1076">
        <v>425</v>
      </c>
      <c r="B1076" t="s">
        <v>19</v>
      </c>
      <c r="C1076" s="1">
        <v>45842</v>
      </c>
      <c r="D1076" t="s">
        <v>11</v>
      </c>
      <c r="E1076" t="s">
        <v>17</v>
      </c>
      <c r="F1076">
        <v>5</v>
      </c>
      <c r="G1076">
        <v>12</v>
      </c>
      <c r="H1076" t="s">
        <v>23</v>
      </c>
      <c r="I1076" t="s">
        <v>18</v>
      </c>
      <c r="J1076">
        <v>60</v>
      </c>
    </row>
    <row r="1077" spans="1:10" x14ac:dyDescent="0.3">
      <c r="A1077">
        <v>555</v>
      </c>
      <c r="B1077" t="s">
        <v>24</v>
      </c>
      <c r="C1077" s="1">
        <v>45891</v>
      </c>
      <c r="D1077" t="s">
        <v>33</v>
      </c>
      <c r="E1077" t="s">
        <v>17</v>
      </c>
      <c r="F1077">
        <v>3</v>
      </c>
      <c r="G1077">
        <v>12</v>
      </c>
      <c r="H1077" t="s">
        <v>13</v>
      </c>
      <c r="I1077" t="s">
        <v>18</v>
      </c>
      <c r="J1077">
        <v>36</v>
      </c>
    </row>
    <row r="1078" spans="1:10" x14ac:dyDescent="0.3">
      <c r="A1078">
        <v>945</v>
      </c>
      <c r="B1078" t="s">
        <v>15</v>
      </c>
      <c r="C1078" s="1">
        <v>45900</v>
      </c>
      <c r="D1078" t="s">
        <v>16</v>
      </c>
      <c r="E1078" t="s">
        <v>30</v>
      </c>
      <c r="F1078">
        <v>4</v>
      </c>
      <c r="G1078">
        <v>8</v>
      </c>
      <c r="H1078" t="s">
        <v>21</v>
      </c>
      <c r="I1078" t="s">
        <v>18</v>
      </c>
      <c r="J1078">
        <v>32</v>
      </c>
    </row>
    <row r="1079" spans="1:10" x14ac:dyDescent="0.3">
      <c r="A1079">
        <v>655</v>
      </c>
      <c r="B1079" t="s">
        <v>10</v>
      </c>
      <c r="C1079" s="1">
        <v>45844</v>
      </c>
      <c r="D1079" t="s">
        <v>11</v>
      </c>
      <c r="E1079" t="s">
        <v>30</v>
      </c>
      <c r="F1079">
        <v>4</v>
      </c>
      <c r="G1079">
        <v>8</v>
      </c>
      <c r="H1079" t="s">
        <v>13</v>
      </c>
      <c r="I1079" t="s">
        <v>18</v>
      </c>
      <c r="J1079">
        <v>32</v>
      </c>
    </row>
    <row r="1080" spans="1:10" x14ac:dyDescent="0.3">
      <c r="A1080">
        <v>1732</v>
      </c>
      <c r="B1080" t="s">
        <v>32</v>
      </c>
      <c r="C1080" s="1">
        <v>45856</v>
      </c>
      <c r="D1080" t="s">
        <v>16</v>
      </c>
      <c r="E1080" t="s">
        <v>29</v>
      </c>
      <c r="F1080">
        <v>4</v>
      </c>
      <c r="G1080">
        <v>30</v>
      </c>
      <c r="H1080" t="s">
        <v>21</v>
      </c>
      <c r="I1080" t="s">
        <v>18</v>
      </c>
      <c r="J1080">
        <v>120</v>
      </c>
    </row>
    <row r="1081" spans="1:10" x14ac:dyDescent="0.3">
      <c r="A1081">
        <v>1456</v>
      </c>
      <c r="B1081" t="s">
        <v>15</v>
      </c>
      <c r="C1081" s="1">
        <v>45888</v>
      </c>
      <c r="D1081" t="s">
        <v>16</v>
      </c>
      <c r="E1081" t="s">
        <v>17</v>
      </c>
      <c r="F1081">
        <v>5</v>
      </c>
      <c r="G1081">
        <v>12</v>
      </c>
      <c r="H1081" t="s">
        <v>23</v>
      </c>
      <c r="I1081" t="s">
        <v>18</v>
      </c>
      <c r="J1081">
        <v>60</v>
      </c>
    </row>
    <row r="1082" spans="1:10" x14ac:dyDescent="0.3">
      <c r="A1082">
        <v>1762</v>
      </c>
      <c r="B1082" t="s">
        <v>28</v>
      </c>
      <c r="C1082" s="1">
        <v>45907</v>
      </c>
      <c r="D1082" t="s">
        <v>20</v>
      </c>
      <c r="E1082" t="s">
        <v>30</v>
      </c>
      <c r="F1082">
        <v>5</v>
      </c>
      <c r="G1082">
        <v>8</v>
      </c>
      <c r="H1082" t="s">
        <v>23</v>
      </c>
      <c r="I1082" t="s">
        <v>18</v>
      </c>
      <c r="J1082">
        <v>40</v>
      </c>
    </row>
    <row r="1083" spans="1:10" x14ac:dyDescent="0.3">
      <c r="A1083">
        <v>1684</v>
      </c>
      <c r="B1083" t="s">
        <v>24</v>
      </c>
      <c r="C1083" s="1">
        <v>45902</v>
      </c>
      <c r="D1083" t="s">
        <v>20</v>
      </c>
      <c r="E1083" t="s">
        <v>17</v>
      </c>
      <c r="F1083">
        <v>2</v>
      </c>
      <c r="G1083">
        <v>12</v>
      </c>
      <c r="H1083" t="s">
        <v>13</v>
      </c>
      <c r="I1083" t="s">
        <v>18</v>
      </c>
      <c r="J1083">
        <v>24</v>
      </c>
    </row>
    <row r="1084" spans="1:10" x14ac:dyDescent="0.3">
      <c r="A1084">
        <v>1162</v>
      </c>
      <c r="B1084" t="s">
        <v>15</v>
      </c>
      <c r="C1084" s="1">
        <v>45856</v>
      </c>
      <c r="D1084" t="s">
        <v>33</v>
      </c>
      <c r="E1084" t="s">
        <v>17</v>
      </c>
      <c r="F1084">
        <v>5</v>
      </c>
      <c r="G1084">
        <v>12</v>
      </c>
      <c r="H1084" t="s">
        <v>21</v>
      </c>
      <c r="I1084" t="s">
        <v>18</v>
      </c>
      <c r="J1084">
        <v>60</v>
      </c>
    </row>
    <row r="1085" spans="1:10" x14ac:dyDescent="0.3">
      <c r="A1085">
        <v>1725</v>
      </c>
      <c r="B1085" t="s">
        <v>26</v>
      </c>
      <c r="C1085" s="1">
        <v>45927</v>
      </c>
      <c r="D1085" t="s">
        <v>11</v>
      </c>
      <c r="E1085" t="s">
        <v>17</v>
      </c>
      <c r="F1085">
        <v>4</v>
      </c>
      <c r="G1085">
        <v>12</v>
      </c>
      <c r="H1085" t="s">
        <v>23</v>
      </c>
      <c r="I1085" t="s">
        <v>18</v>
      </c>
      <c r="J1085">
        <v>48</v>
      </c>
    </row>
    <row r="1086" spans="1:10" x14ac:dyDescent="0.3">
      <c r="A1086">
        <v>1383</v>
      </c>
      <c r="B1086" t="s">
        <v>32</v>
      </c>
      <c r="C1086" s="1">
        <v>45853</v>
      </c>
      <c r="D1086" t="s">
        <v>11</v>
      </c>
      <c r="E1086" t="s">
        <v>17</v>
      </c>
      <c r="F1086">
        <v>3</v>
      </c>
      <c r="G1086">
        <v>12</v>
      </c>
      <c r="H1086" t="s">
        <v>23</v>
      </c>
      <c r="I1086" t="s">
        <v>18</v>
      </c>
      <c r="J1086">
        <v>36</v>
      </c>
    </row>
    <row r="1087" spans="1:10" x14ac:dyDescent="0.3">
      <c r="A1087">
        <v>549</v>
      </c>
      <c r="B1087" t="s">
        <v>26</v>
      </c>
      <c r="C1087" s="1">
        <v>45917</v>
      </c>
      <c r="D1087" t="s">
        <v>20</v>
      </c>
      <c r="E1087" t="s">
        <v>17</v>
      </c>
      <c r="F1087">
        <v>4</v>
      </c>
      <c r="G1087">
        <v>12</v>
      </c>
      <c r="H1087" t="s">
        <v>23</v>
      </c>
      <c r="I1087" t="s">
        <v>18</v>
      </c>
      <c r="J1087">
        <v>48</v>
      </c>
    </row>
    <row r="1088" spans="1:10" x14ac:dyDescent="0.3">
      <c r="A1088">
        <v>119</v>
      </c>
      <c r="B1088" t="s">
        <v>19</v>
      </c>
      <c r="C1088" s="1">
        <v>45845</v>
      </c>
      <c r="D1088" t="s">
        <v>33</v>
      </c>
      <c r="E1088" t="s">
        <v>17</v>
      </c>
      <c r="F1088">
        <v>3</v>
      </c>
      <c r="G1088">
        <v>12</v>
      </c>
      <c r="H1088" t="s">
        <v>21</v>
      </c>
      <c r="I1088" t="s">
        <v>18</v>
      </c>
      <c r="J1088">
        <v>36</v>
      </c>
    </row>
    <row r="1089" spans="1:10" x14ac:dyDescent="0.3">
      <c r="A1089">
        <v>1916</v>
      </c>
      <c r="B1089" t="s">
        <v>26</v>
      </c>
      <c r="C1089" s="1">
        <v>45913</v>
      </c>
      <c r="D1089" t="s">
        <v>20</v>
      </c>
      <c r="E1089" t="s">
        <v>17</v>
      </c>
      <c r="F1089">
        <v>5</v>
      </c>
      <c r="G1089">
        <v>12</v>
      </c>
      <c r="H1089" t="s">
        <v>13</v>
      </c>
      <c r="I1089" t="s">
        <v>18</v>
      </c>
      <c r="J1089">
        <v>60</v>
      </c>
    </row>
    <row r="1090" spans="1:10" x14ac:dyDescent="0.3">
      <c r="A1090">
        <v>844</v>
      </c>
      <c r="B1090" t="s">
        <v>28</v>
      </c>
      <c r="C1090" s="1">
        <v>45879</v>
      </c>
      <c r="D1090" t="s">
        <v>11</v>
      </c>
      <c r="E1090" t="s">
        <v>29</v>
      </c>
      <c r="F1090">
        <v>2</v>
      </c>
      <c r="G1090">
        <v>30</v>
      </c>
      <c r="H1090" t="s">
        <v>21</v>
      </c>
      <c r="I1090" t="s">
        <v>18</v>
      </c>
      <c r="J1090">
        <v>60</v>
      </c>
    </row>
    <row r="1091" spans="1:10" x14ac:dyDescent="0.3">
      <c r="A1091">
        <v>1814</v>
      </c>
      <c r="B1091" t="s">
        <v>15</v>
      </c>
      <c r="C1091" s="1">
        <v>45896</v>
      </c>
      <c r="D1091" t="s">
        <v>33</v>
      </c>
      <c r="E1091" t="s">
        <v>12</v>
      </c>
      <c r="F1091">
        <v>1</v>
      </c>
      <c r="G1091">
        <v>25</v>
      </c>
      <c r="H1091" t="s">
        <v>21</v>
      </c>
      <c r="I1091" t="s">
        <v>18</v>
      </c>
      <c r="J1091">
        <v>25</v>
      </c>
    </row>
    <row r="1092" spans="1:10" x14ac:dyDescent="0.3">
      <c r="A1092">
        <v>461</v>
      </c>
      <c r="B1092" t="s">
        <v>26</v>
      </c>
      <c r="C1092" s="1">
        <v>45913</v>
      </c>
      <c r="D1092" t="s">
        <v>16</v>
      </c>
      <c r="E1092" t="s">
        <v>29</v>
      </c>
      <c r="F1092">
        <v>5</v>
      </c>
      <c r="G1092">
        <v>30</v>
      </c>
      <c r="H1092" t="s">
        <v>21</v>
      </c>
      <c r="I1092" t="s">
        <v>18</v>
      </c>
      <c r="J1092">
        <v>150</v>
      </c>
    </row>
    <row r="1093" spans="1:10" x14ac:dyDescent="0.3">
      <c r="A1093">
        <v>325</v>
      </c>
      <c r="B1093" t="s">
        <v>10</v>
      </c>
      <c r="C1093" s="1">
        <v>45926</v>
      </c>
      <c r="D1093" t="s">
        <v>11</v>
      </c>
      <c r="E1093" t="s">
        <v>22</v>
      </c>
      <c r="F1093">
        <v>4</v>
      </c>
      <c r="G1093">
        <v>20</v>
      </c>
      <c r="H1093" t="s">
        <v>13</v>
      </c>
      <c r="I1093" t="s">
        <v>18</v>
      </c>
      <c r="J1093">
        <v>80</v>
      </c>
    </row>
    <row r="1094" spans="1:10" x14ac:dyDescent="0.3">
      <c r="A1094">
        <v>1407</v>
      </c>
      <c r="B1094" t="s">
        <v>26</v>
      </c>
      <c r="C1094" s="1">
        <v>45889</v>
      </c>
      <c r="D1094" t="s">
        <v>20</v>
      </c>
      <c r="E1094" t="s">
        <v>22</v>
      </c>
      <c r="F1094">
        <v>2</v>
      </c>
      <c r="G1094">
        <v>20</v>
      </c>
      <c r="H1094" t="s">
        <v>21</v>
      </c>
      <c r="I1094" t="s">
        <v>18</v>
      </c>
      <c r="J1094">
        <v>40</v>
      </c>
    </row>
    <row r="1095" spans="1:10" x14ac:dyDescent="0.3">
      <c r="A1095">
        <v>850</v>
      </c>
      <c r="B1095" t="s">
        <v>10</v>
      </c>
      <c r="C1095" s="1">
        <v>45881</v>
      </c>
      <c r="D1095" t="s">
        <v>20</v>
      </c>
      <c r="E1095" t="s">
        <v>17</v>
      </c>
      <c r="F1095">
        <v>3</v>
      </c>
      <c r="G1095">
        <v>12</v>
      </c>
      <c r="H1095" t="s">
        <v>13</v>
      </c>
      <c r="I1095" t="s">
        <v>18</v>
      </c>
      <c r="J1095">
        <v>36</v>
      </c>
    </row>
    <row r="1096" spans="1:10" x14ac:dyDescent="0.3">
      <c r="A1096">
        <v>1322</v>
      </c>
      <c r="B1096" t="s">
        <v>32</v>
      </c>
      <c r="C1096" s="1">
        <v>45843</v>
      </c>
      <c r="D1096" t="s">
        <v>20</v>
      </c>
      <c r="E1096" t="s">
        <v>17</v>
      </c>
      <c r="F1096">
        <v>5</v>
      </c>
      <c r="G1096">
        <v>12</v>
      </c>
      <c r="H1096" t="s">
        <v>21</v>
      </c>
      <c r="I1096" t="s">
        <v>18</v>
      </c>
      <c r="J1096">
        <v>60</v>
      </c>
    </row>
    <row r="1097" spans="1:10" x14ac:dyDescent="0.3">
      <c r="A1097">
        <v>1227</v>
      </c>
      <c r="B1097" t="s">
        <v>28</v>
      </c>
      <c r="C1097" s="1">
        <v>45901</v>
      </c>
      <c r="D1097" t="s">
        <v>33</v>
      </c>
      <c r="E1097" t="s">
        <v>17</v>
      </c>
      <c r="F1097">
        <v>4</v>
      </c>
      <c r="G1097">
        <v>12</v>
      </c>
      <c r="H1097" t="s">
        <v>13</v>
      </c>
      <c r="I1097" t="s">
        <v>18</v>
      </c>
      <c r="J1097">
        <v>48</v>
      </c>
    </row>
    <row r="1098" spans="1:10" x14ac:dyDescent="0.3">
      <c r="A1098">
        <v>69</v>
      </c>
      <c r="B1098" t="s">
        <v>31</v>
      </c>
      <c r="C1098" s="1">
        <v>45883</v>
      </c>
      <c r="D1098" t="s">
        <v>20</v>
      </c>
      <c r="E1098" t="s">
        <v>17</v>
      </c>
      <c r="F1098">
        <v>4</v>
      </c>
      <c r="G1098">
        <v>12</v>
      </c>
      <c r="H1098" t="s">
        <v>21</v>
      </c>
      <c r="I1098" t="s">
        <v>18</v>
      </c>
      <c r="J1098">
        <v>48</v>
      </c>
    </row>
    <row r="1099" spans="1:10" x14ac:dyDescent="0.3">
      <c r="A1099">
        <v>1622</v>
      </c>
      <c r="B1099" t="s">
        <v>26</v>
      </c>
      <c r="C1099" s="1">
        <v>45867</v>
      </c>
      <c r="D1099" t="s">
        <v>20</v>
      </c>
      <c r="E1099" t="s">
        <v>17</v>
      </c>
      <c r="F1099">
        <v>1</v>
      </c>
      <c r="G1099">
        <v>12</v>
      </c>
      <c r="H1099" t="s">
        <v>13</v>
      </c>
      <c r="I1099" t="s">
        <v>18</v>
      </c>
      <c r="J1099">
        <v>12</v>
      </c>
    </row>
    <row r="1100" spans="1:10" x14ac:dyDescent="0.3">
      <c r="A1100">
        <v>952</v>
      </c>
      <c r="B1100" t="s">
        <v>31</v>
      </c>
      <c r="C1100" s="1">
        <v>45891</v>
      </c>
      <c r="D1100" t="s">
        <v>11</v>
      </c>
      <c r="E1100" t="s">
        <v>30</v>
      </c>
      <c r="F1100">
        <v>1</v>
      </c>
      <c r="G1100">
        <v>8</v>
      </c>
      <c r="H1100" t="s">
        <v>23</v>
      </c>
      <c r="I1100" t="s">
        <v>18</v>
      </c>
      <c r="J1100">
        <v>8</v>
      </c>
    </row>
    <row r="1101" spans="1:10" x14ac:dyDescent="0.3">
      <c r="A1101">
        <v>1262</v>
      </c>
      <c r="B1101" t="s">
        <v>32</v>
      </c>
      <c r="C1101" s="1">
        <v>45886</v>
      </c>
      <c r="D1101" t="s">
        <v>16</v>
      </c>
      <c r="E1101" t="s">
        <v>12</v>
      </c>
      <c r="F1101">
        <v>5</v>
      </c>
      <c r="G1101">
        <v>25</v>
      </c>
      <c r="H1101" t="s">
        <v>23</v>
      </c>
      <c r="I1101" t="s">
        <v>18</v>
      </c>
      <c r="J1101">
        <v>125</v>
      </c>
    </row>
    <row r="1102" spans="1:10" x14ac:dyDescent="0.3">
      <c r="A1102">
        <v>1536</v>
      </c>
      <c r="B1102" t="s">
        <v>26</v>
      </c>
      <c r="C1102" s="1">
        <v>45844</v>
      </c>
      <c r="D1102" t="s">
        <v>11</v>
      </c>
      <c r="E1102" t="s">
        <v>17</v>
      </c>
      <c r="F1102">
        <v>3</v>
      </c>
      <c r="G1102">
        <v>12</v>
      </c>
      <c r="H1102" t="s">
        <v>23</v>
      </c>
      <c r="I1102" t="s">
        <v>18</v>
      </c>
      <c r="J1102">
        <v>36</v>
      </c>
    </row>
    <row r="1103" spans="1:10" x14ac:dyDescent="0.3">
      <c r="A1103">
        <v>1323</v>
      </c>
      <c r="B1103" t="s">
        <v>15</v>
      </c>
      <c r="C1103" s="1">
        <v>45870</v>
      </c>
      <c r="D1103" t="s">
        <v>11</v>
      </c>
      <c r="E1103" t="s">
        <v>30</v>
      </c>
      <c r="F1103">
        <v>5</v>
      </c>
      <c r="G1103">
        <v>8</v>
      </c>
      <c r="H1103" t="s">
        <v>23</v>
      </c>
      <c r="I1103" t="s">
        <v>18</v>
      </c>
      <c r="J1103">
        <v>40</v>
      </c>
    </row>
    <row r="1104" spans="1:10" x14ac:dyDescent="0.3">
      <c r="A1104">
        <v>408</v>
      </c>
      <c r="B1104" t="s">
        <v>19</v>
      </c>
      <c r="C1104" s="1">
        <v>45858</v>
      </c>
      <c r="D1104" t="s">
        <v>11</v>
      </c>
      <c r="E1104" t="s">
        <v>17</v>
      </c>
      <c r="F1104">
        <v>5</v>
      </c>
      <c r="G1104">
        <v>12</v>
      </c>
      <c r="H1104" t="s">
        <v>13</v>
      </c>
      <c r="I1104" t="s">
        <v>18</v>
      </c>
      <c r="J1104">
        <v>60</v>
      </c>
    </row>
    <row r="1105" spans="1:10" x14ac:dyDescent="0.3">
      <c r="A1105">
        <v>1580</v>
      </c>
      <c r="B1105" t="s">
        <v>32</v>
      </c>
      <c r="C1105" s="1">
        <v>45899</v>
      </c>
      <c r="D1105" t="s">
        <v>33</v>
      </c>
      <c r="E1105" t="s">
        <v>17</v>
      </c>
      <c r="F1105">
        <v>5</v>
      </c>
      <c r="G1105">
        <v>12</v>
      </c>
      <c r="H1105" t="s">
        <v>23</v>
      </c>
      <c r="I1105" t="s">
        <v>18</v>
      </c>
      <c r="J1105">
        <v>60</v>
      </c>
    </row>
    <row r="1106" spans="1:10" x14ac:dyDescent="0.3">
      <c r="A1106">
        <v>925</v>
      </c>
      <c r="B1106" t="s">
        <v>24</v>
      </c>
      <c r="C1106" s="1">
        <v>45916</v>
      </c>
      <c r="D1106" t="s">
        <v>20</v>
      </c>
      <c r="E1106" t="s">
        <v>17</v>
      </c>
      <c r="F1106">
        <v>4</v>
      </c>
      <c r="G1106">
        <v>12</v>
      </c>
      <c r="H1106" t="s">
        <v>13</v>
      </c>
      <c r="I1106" t="s">
        <v>18</v>
      </c>
      <c r="J1106">
        <v>48</v>
      </c>
    </row>
    <row r="1107" spans="1:10" x14ac:dyDescent="0.3">
      <c r="A1107">
        <v>1578</v>
      </c>
      <c r="B1107" t="s">
        <v>26</v>
      </c>
      <c r="C1107" s="1">
        <v>45887</v>
      </c>
      <c r="D1107" t="s">
        <v>11</v>
      </c>
      <c r="E1107" t="s">
        <v>17</v>
      </c>
      <c r="F1107">
        <v>1</v>
      </c>
      <c r="G1107">
        <v>12</v>
      </c>
      <c r="H1107" t="s">
        <v>13</v>
      </c>
      <c r="I1107" t="s">
        <v>18</v>
      </c>
      <c r="J1107">
        <v>12</v>
      </c>
    </row>
    <row r="1108" spans="1:10" x14ac:dyDescent="0.3">
      <c r="A1108">
        <v>733</v>
      </c>
      <c r="B1108" t="s">
        <v>24</v>
      </c>
      <c r="C1108" s="1">
        <v>45845</v>
      </c>
      <c r="D1108" t="s">
        <v>16</v>
      </c>
      <c r="E1108" t="s">
        <v>17</v>
      </c>
      <c r="F1108">
        <v>4</v>
      </c>
      <c r="G1108">
        <v>12</v>
      </c>
      <c r="H1108" t="s">
        <v>21</v>
      </c>
      <c r="I1108" t="s">
        <v>18</v>
      </c>
      <c r="J1108">
        <v>48</v>
      </c>
    </row>
    <row r="1109" spans="1:10" x14ac:dyDescent="0.3">
      <c r="A1109">
        <v>246</v>
      </c>
      <c r="B1109" t="s">
        <v>10</v>
      </c>
      <c r="C1109" s="1">
        <v>45873</v>
      </c>
      <c r="D1109" t="s">
        <v>20</v>
      </c>
      <c r="E1109" t="s">
        <v>12</v>
      </c>
      <c r="F1109">
        <v>3</v>
      </c>
      <c r="G1109">
        <v>25</v>
      </c>
      <c r="H1109" t="s">
        <v>23</v>
      </c>
      <c r="I1109" t="s">
        <v>18</v>
      </c>
      <c r="J1109">
        <v>75</v>
      </c>
    </row>
    <row r="1110" spans="1:10" x14ac:dyDescent="0.3">
      <c r="A1110">
        <v>1973</v>
      </c>
      <c r="B1110" t="s">
        <v>32</v>
      </c>
      <c r="C1110" s="1">
        <v>45926</v>
      </c>
      <c r="D1110" t="s">
        <v>11</v>
      </c>
      <c r="E1110" t="s">
        <v>17</v>
      </c>
      <c r="F1110">
        <v>3</v>
      </c>
      <c r="G1110">
        <v>12</v>
      </c>
      <c r="H1110" t="s">
        <v>23</v>
      </c>
      <c r="I1110" t="s">
        <v>18</v>
      </c>
      <c r="J1110">
        <v>36</v>
      </c>
    </row>
    <row r="1111" spans="1:10" x14ac:dyDescent="0.3">
      <c r="A1111">
        <v>1641</v>
      </c>
      <c r="B1111" t="s">
        <v>31</v>
      </c>
      <c r="C1111" s="1">
        <v>45924</v>
      </c>
      <c r="D1111" t="s">
        <v>20</v>
      </c>
      <c r="E1111" t="s">
        <v>17</v>
      </c>
      <c r="F1111">
        <v>2</v>
      </c>
      <c r="G1111">
        <v>12</v>
      </c>
      <c r="H1111" t="s">
        <v>13</v>
      </c>
      <c r="I1111" t="s">
        <v>18</v>
      </c>
      <c r="J1111">
        <v>24</v>
      </c>
    </row>
    <row r="1112" spans="1:10" x14ac:dyDescent="0.3">
      <c r="A1112">
        <v>1592</v>
      </c>
      <c r="B1112" t="s">
        <v>32</v>
      </c>
      <c r="C1112" s="1">
        <v>45855</v>
      </c>
      <c r="D1112" t="s">
        <v>11</v>
      </c>
      <c r="E1112" t="s">
        <v>17</v>
      </c>
      <c r="F1112">
        <v>1</v>
      </c>
      <c r="G1112">
        <v>12</v>
      </c>
      <c r="H1112" t="s">
        <v>13</v>
      </c>
      <c r="I1112" t="s">
        <v>18</v>
      </c>
      <c r="J1112">
        <v>12</v>
      </c>
    </row>
    <row r="1113" spans="1:10" x14ac:dyDescent="0.3">
      <c r="A1113">
        <v>1870</v>
      </c>
      <c r="B1113" t="s">
        <v>26</v>
      </c>
      <c r="C1113" s="1">
        <v>45878</v>
      </c>
      <c r="D1113" t="s">
        <v>20</v>
      </c>
      <c r="E1113" t="s">
        <v>17</v>
      </c>
      <c r="F1113">
        <v>5</v>
      </c>
      <c r="G1113">
        <v>12</v>
      </c>
      <c r="H1113" t="s">
        <v>21</v>
      </c>
      <c r="I1113" t="s">
        <v>18</v>
      </c>
      <c r="J1113">
        <v>60</v>
      </c>
    </row>
    <row r="1114" spans="1:10" x14ac:dyDescent="0.3">
      <c r="A1114">
        <v>391</v>
      </c>
      <c r="B1114" t="s">
        <v>32</v>
      </c>
      <c r="C1114" s="1">
        <v>45914</v>
      </c>
      <c r="D1114" t="s">
        <v>20</v>
      </c>
      <c r="E1114" t="s">
        <v>17</v>
      </c>
      <c r="F1114">
        <v>2</v>
      </c>
      <c r="G1114">
        <v>12</v>
      </c>
      <c r="H1114" t="s">
        <v>23</v>
      </c>
      <c r="I1114" t="s">
        <v>18</v>
      </c>
      <c r="J1114">
        <v>24</v>
      </c>
    </row>
    <row r="1115" spans="1:10" x14ac:dyDescent="0.3">
      <c r="A1115">
        <v>1942</v>
      </c>
      <c r="B1115" t="s">
        <v>19</v>
      </c>
      <c r="C1115" s="1">
        <v>45920</v>
      </c>
      <c r="D1115" t="s">
        <v>20</v>
      </c>
      <c r="E1115" t="s">
        <v>22</v>
      </c>
      <c r="F1115">
        <v>5</v>
      </c>
      <c r="G1115">
        <v>20</v>
      </c>
      <c r="H1115" t="s">
        <v>21</v>
      </c>
      <c r="I1115" t="s">
        <v>18</v>
      </c>
      <c r="J1115">
        <v>100</v>
      </c>
    </row>
    <row r="1116" spans="1:10" x14ac:dyDescent="0.3">
      <c r="A1116">
        <v>1668</v>
      </c>
      <c r="B1116" t="s">
        <v>24</v>
      </c>
      <c r="C1116" s="1">
        <v>45914</v>
      </c>
      <c r="D1116" t="s">
        <v>16</v>
      </c>
      <c r="E1116" t="s">
        <v>17</v>
      </c>
      <c r="F1116">
        <v>4</v>
      </c>
      <c r="G1116">
        <v>12</v>
      </c>
      <c r="H1116" t="s">
        <v>13</v>
      </c>
      <c r="I1116" t="s">
        <v>18</v>
      </c>
      <c r="J1116">
        <v>48</v>
      </c>
    </row>
    <row r="1117" spans="1:10" x14ac:dyDescent="0.3">
      <c r="A1117">
        <v>68</v>
      </c>
      <c r="B1117" t="s">
        <v>24</v>
      </c>
      <c r="C1117" s="1">
        <v>45848</v>
      </c>
      <c r="D1117" t="s">
        <v>33</v>
      </c>
      <c r="E1117" t="s">
        <v>17</v>
      </c>
      <c r="F1117">
        <v>5</v>
      </c>
      <c r="G1117">
        <v>12</v>
      </c>
      <c r="H1117" t="s">
        <v>23</v>
      </c>
      <c r="I1117" t="s">
        <v>18</v>
      </c>
      <c r="J1117">
        <v>60</v>
      </c>
    </row>
    <row r="1118" spans="1:10" x14ac:dyDescent="0.3">
      <c r="A1118">
        <v>674</v>
      </c>
      <c r="B1118" t="s">
        <v>10</v>
      </c>
      <c r="C1118" s="1">
        <v>45912</v>
      </c>
      <c r="D1118" t="s">
        <v>11</v>
      </c>
      <c r="E1118" t="s">
        <v>17</v>
      </c>
      <c r="F1118">
        <v>2</v>
      </c>
      <c r="G1118">
        <v>12</v>
      </c>
      <c r="H1118" t="s">
        <v>21</v>
      </c>
      <c r="I1118" t="s">
        <v>18</v>
      </c>
      <c r="J1118">
        <v>24</v>
      </c>
    </row>
    <row r="1119" spans="1:10" x14ac:dyDescent="0.3">
      <c r="A1119">
        <v>1195</v>
      </c>
      <c r="B1119" t="s">
        <v>26</v>
      </c>
      <c r="C1119" s="1">
        <v>45869</v>
      </c>
      <c r="D1119" t="s">
        <v>20</v>
      </c>
      <c r="E1119" t="s">
        <v>17</v>
      </c>
      <c r="F1119">
        <v>1</v>
      </c>
      <c r="G1119">
        <v>12</v>
      </c>
      <c r="H1119" t="s">
        <v>13</v>
      </c>
      <c r="I1119" t="s">
        <v>18</v>
      </c>
      <c r="J1119">
        <v>12</v>
      </c>
    </row>
    <row r="1120" spans="1:10" x14ac:dyDescent="0.3">
      <c r="A1120">
        <v>1154</v>
      </c>
      <c r="B1120" t="s">
        <v>26</v>
      </c>
      <c r="C1120" s="1">
        <v>45881</v>
      </c>
      <c r="D1120" t="s">
        <v>33</v>
      </c>
      <c r="E1120" t="s">
        <v>17</v>
      </c>
      <c r="F1120">
        <v>4</v>
      </c>
      <c r="G1120">
        <v>12</v>
      </c>
      <c r="H1120" t="s">
        <v>21</v>
      </c>
      <c r="I1120" t="s">
        <v>18</v>
      </c>
      <c r="J1120">
        <v>48</v>
      </c>
    </row>
    <row r="1121" spans="1:10" x14ac:dyDescent="0.3">
      <c r="A1121">
        <v>1344</v>
      </c>
      <c r="B1121" t="s">
        <v>24</v>
      </c>
      <c r="C1121" s="1">
        <v>45876</v>
      </c>
      <c r="D1121" t="s">
        <v>20</v>
      </c>
      <c r="E1121" t="s">
        <v>17</v>
      </c>
      <c r="F1121">
        <v>3</v>
      </c>
      <c r="G1121">
        <v>12</v>
      </c>
      <c r="H1121" t="s">
        <v>13</v>
      </c>
      <c r="I1121" t="s">
        <v>18</v>
      </c>
      <c r="J1121">
        <v>36</v>
      </c>
    </row>
    <row r="1122" spans="1:10" x14ac:dyDescent="0.3">
      <c r="A1122">
        <v>477</v>
      </c>
      <c r="B1122" t="s">
        <v>24</v>
      </c>
      <c r="C1122" s="1">
        <v>45864</v>
      </c>
      <c r="D1122" t="s">
        <v>16</v>
      </c>
      <c r="E1122" t="s">
        <v>17</v>
      </c>
      <c r="F1122">
        <v>5</v>
      </c>
      <c r="G1122">
        <v>12</v>
      </c>
      <c r="H1122" t="s">
        <v>21</v>
      </c>
      <c r="I1122" t="s">
        <v>18</v>
      </c>
      <c r="J1122">
        <v>60</v>
      </c>
    </row>
    <row r="1123" spans="1:10" x14ac:dyDescent="0.3">
      <c r="A1123">
        <v>1956</v>
      </c>
      <c r="B1123" t="s">
        <v>24</v>
      </c>
      <c r="C1123" s="1">
        <v>45865</v>
      </c>
      <c r="D1123" t="s">
        <v>20</v>
      </c>
      <c r="E1123" t="s">
        <v>22</v>
      </c>
      <c r="F1123">
        <v>5</v>
      </c>
      <c r="G1123">
        <v>20</v>
      </c>
      <c r="H1123" t="s">
        <v>21</v>
      </c>
      <c r="I1123" t="s">
        <v>18</v>
      </c>
      <c r="J1123">
        <v>100</v>
      </c>
    </row>
    <row r="1124" spans="1:10" x14ac:dyDescent="0.3">
      <c r="A1124">
        <v>977</v>
      </c>
      <c r="B1124" t="s">
        <v>19</v>
      </c>
      <c r="C1124" s="1">
        <v>45884</v>
      </c>
      <c r="D1124" t="s">
        <v>16</v>
      </c>
      <c r="E1124" t="s">
        <v>22</v>
      </c>
      <c r="F1124">
        <v>5</v>
      </c>
      <c r="G1124">
        <v>20</v>
      </c>
      <c r="H1124" t="s">
        <v>21</v>
      </c>
      <c r="I1124" t="s">
        <v>18</v>
      </c>
      <c r="J1124">
        <v>100</v>
      </c>
    </row>
    <row r="1125" spans="1:10" x14ac:dyDescent="0.3">
      <c r="A1125">
        <v>1000</v>
      </c>
      <c r="B1125" t="s">
        <v>32</v>
      </c>
      <c r="C1125" s="1">
        <v>45900</v>
      </c>
      <c r="D1125" t="s">
        <v>16</v>
      </c>
      <c r="E1125" t="s">
        <v>22</v>
      </c>
      <c r="F1125">
        <v>1</v>
      </c>
      <c r="G1125">
        <v>20</v>
      </c>
      <c r="H1125" t="s">
        <v>23</v>
      </c>
      <c r="I1125" t="s">
        <v>18</v>
      </c>
      <c r="J1125">
        <v>20</v>
      </c>
    </row>
    <row r="1126" spans="1:10" x14ac:dyDescent="0.3">
      <c r="A1126">
        <v>372</v>
      </c>
      <c r="B1126" t="s">
        <v>19</v>
      </c>
      <c r="C1126" s="1">
        <v>45850</v>
      </c>
      <c r="D1126" t="s">
        <v>16</v>
      </c>
      <c r="E1126" t="s">
        <v>22</v>
      </c>
      <c r="F1126">
        <v>4</v>
      </c>
      <c r="G1126">
        <v>20</v>
      </c>
      <c r="H1126" t="s">
        <v>21</v>
      </c>
      <c r="I1126" t="s">
        <v>18</v>
      </c>
      <c r="J1126">
        <v>80</v>
      </c>
    </row>
    <row r="1127" spans="1:10" x14ac:dyDescent="0.3">
      <c r="A1127">
        <v>378</v>
      </c>
      <c r="B1127" t="s">
        <v>24</v>
      </c>
      <c r="C1127" s="1">
        <v>45870</v>
      </c>
      <c r="D1127" t="s">
        <v>16</v>
      </c>
      <c r="E1127" t="s">
        <v>30</v>
      </c>
      <c r="F1127">
        <v>4</v>
      </c>
      <c r="G1127">
        <v>8</v>
      </c>
      <c r="H1127" t="s">
        <v>21</v>
      </c>
      <c r="I1127" t="s">
        <v>18</v>
      </c>
      <c r="J1127">
        <v>32</v>
      </c>
    </row>
    <row r="1128" spans="1:10" x14ac:dyDescent="0.3">
      <c r="A1128">
        <v>489</v>
      </c>
      <c r="B1128" t="s">
        <v>24</v>
      </c>
      <c r="C1128" s="1">
        <v>45910</v>
      </c>
      <c r="D1128" t="s">
        <v>16</v>
      </c>
      <c r="E1128" t="s">
        <v>12</v>
      </c>
      <c r="F1128">
        <v>3</v>
      </c>
      <c r="G1128">
        <v>25</v>
      </c>
      <c r="H1128" t="s">
        <v>23</v>
      </c>
      <c r="I1128" t="s">
        <v>18</v>
      </c>
      <c r="J1128">
        <v>75</v>
      </c>
    </row>
    <row r="1129" spans="1:10" x14ac:dyDescent="0.3">
      <c r="A1129">
        <v>1510</v>
      </c>
      <c r="B1129" t="s">
        <v>31</v>
      </c>
      <c r="C1129" s="1">
        <v>45906</v>
      </c>
      <c r="D1129" t="s">
        <v>33</v>
      </c>
      <c r="E1129" t="s">
        <v>17</v>
      </c>
      <c r="F1129">
        <v>5</v>
      </c>
      <c r="G1129">
        <v>12</v>
      </c>
      <c r="H1129" t="s">
        <v>13</v>
      </c>
      <c r="I1129" t="s">
        <v>18</v>
      </c>
      <c r="J1129">
        <v>60</v>
      </c>
    </row>
    <row r="1130" spans="1:10" x14ac:dyDescent="0.3">
      <c r="A1130">
        <v>1248</v>
      </c>
      <c r="B1130" t="s">
        <v>10</v>
      </c>
      <c r="C1130" s="1">
        <v>45928</v>
      </c>
      <c r="D1130" t="s">
        <v>33</v>
      </c>
      <c r="E1130" t="s">
        <v>17</v>
      </c>
      <c r="F1130">
        <v>3</v>
      </c>
      <c r="G1130">
        <v>12</v>
      </c>
      <c r="H1130" t="s">
        <v>23</v>
      </c>
      <c r="I1130" t="s">
        <v>18</v>
      </c>
      <c r="J1130">
        <v>36</v>
      </c>
    </row>
    <row r="1131" spans="1:10" x14ac:dyDescent="0.3">
      <c r="A1131">
        <v>1437</v>
      </c>
      <c r="B1131" t="s">
        <v>10</v>
      </c>
      <c r="C1131" s="1">
        <v>45855</v>
      </c>
      <c r="D1131" t="s">
        <v>33</v>
      </c>
      <c r="E1131" t="s">
        <v>17</v>
      </c>
      <c r="F1131">
        <v>4</v>
      </c>
      <c r="G1131">
        <v>12</v>
      </c>
      <c r="H1131" t="s">
        <v>21</v>
      </c>
      <c r="I1131" t="s">
        <v>18</v>
      </c>
      <c r="J1131">
        <v>48</v>
      </c>
    </row>
    <row r="1132" spans="1:10" x14ac:dyDescent="0.3">
      <c r="A1132">
        <v>525</v>
      </c>
      <c r="B1132" t="s">
        <v>26</v>
      </c>
      <c r="C1132" s="1">
        <v>45901</v>
      </c>
      <c r="D1132" t="s">
        <v>11</v>
      </c>
      <c r="E1132" t="s">
        <v>22</v>
      </c>
      <c r="F1132">
        <v>1</v>
      </c>
      <c r="G1132">
        <v>20</v>
      </c>
      <c r="H1132" t="s">
        <v>13</v>
      </c>
      <c r="I1132" t="s">
        <v>18</v>
      </c>
      <c r="J1132">
        <v>20</v>
      </c>
    </row>
    <row r="1133" spans="1:10" x14ac:dyDescent="0.3">
      <c r="A1133">
        <v>1376</v>
      </c>
      <c r="B1133" t="s">
        <v>15</v>
      </c>
      <c r="C1133" s="1">
        <v>45878</v>
      </c>
      <c r="D1133" t="s">
        <v>33</v>
      </c>
      <c r="E1133" t="s">
        <v>30</v>
      </c>
      <c r="F1133">
        <v>2</v>
      </c>
      <c r="G1133">
        <v>8</v>
      </c>
      <c r="H1133" t="s">
        <v>13</v>
      </c>
      <c r="I1133" t="s">
        <v>18</v>
      </c>
      <c r="J1133">
        <v>16</v>
      </c>
    </row>
    <row r="1134" spans="1:10" x14ac:dyDescent="0.3">
      <c r="A1134">
        <v>1039</v>
      </c>
      <c r="B1134" t="s">
        <v>24</v>
      </c>
      <c r="C1134" s="1">
        <v>45906</v>
      </c>
      <c r="D1134" t="s">
        <v>11</v>
      </c>
      <c r="E1134" t="s">
        <v>17</v>
      </c>
      <c r="F1134">
        <v>5</v>
      </c>
      <c r="G1134">
        <v>12</v>
      </c>
      <c r="H1134" t="s">
        <v>23</v>
      </c>
      <c r="I1134" t="s">
        <v>18</v>
      </c>
      <c r="J1134">
        <v>60</v>
      </c>
    </row>
    <row r="1135" spans="1:10" x14ac:dyDescent="0.3">
      <c r="A1135">
        <v>24</v>
      </c>
      <c r="B1135" t="s">
        <v>19</v>
      </c>
      <c r="C1135" s="1">
        <v>45927</v>
      </c>
      <c r="D1135" t="s">
        <v>33</v>
      </c>
      <c r="E1135" t="s">
        <v>17</v>
      </c>
      <c r="F1135">
        <v>1</v>
      </c>
      <c r="G1135">
        <v>12</v>
      </c>
      <c r="H1135" t="s">
        <v>23</v>
      </c>
      <c r="I1135" t="s">
        <v>18</v>
      </c>
      <c r="J1135">
        <v>12</v>
      </c>
    </row>
    <row r="1136" spans="1:10" x14ac:dyDescent="0.3">
      <c r="A1136">
        <v>1631</v>
      </c>
      <c r="B1136" t="s">
        <v>28</v>
      </c>
      <c r="C1136" s="1">
        <v>45857</v>
      </c>
      <c r="D1136" t="s">
        <v>16</v>
      </c>
      <c r="E1136" t="s">
        <v>30</v>
      </c>
      <c r="F1136">
        <v>1</v>
      </c>
      <c r="G1136">
        <v>8</v>
      </c>
      <c r="H1136" t="s">
        <v>23</v>
      </c>
      <c r="I1136" t="s">
        <v>18</v>
      </c>
      <c r="J1136">
        <v>8</v>
      </c>
    </row>
    <row r="1137" spans="1:10" x14ac:dyDescent="0.3">
      <c r="A1137">
        <v>77</v>
      </c>
      <c r="B1137" t="s">
        <v>31</v>
      </c>
      <c r="C1137" s="1">
        <v>45848</v>
      </c>
      <c r="D1137" t="s">
        <v>16</v>
      </c>
      <c r="E1137" t="s">
        <v>17</v>
      </c>
      <c r="F1137">
        <v>1</v>
      </c>
      <c r="G1137">
        <v>12</v>
      </c>
      <c r="H1137" t="s">
        <v>21</v>
      </c>
      <c r="I1137" t="s">
        <v>18</v>
      </c>
      <c r="J1137">
        <v>12</v>
      </c>
    </row>
    <row r="1138" spans="1:10" x14ac:dyDescent="0.3">
      <c r="A1138">
        <v>813</v>
      </c>
      <c r="B1138" t="s">
        <v>24</v>
      </c>
      <c r="C1138" s="1">
        <v>45847</v>
      </c>
      <c r="D1138" t="s">
        <v>33</v>
      </c>
      <c r="E1138" t="s">
        <v>30</v>
      </c>
      <c r="F1138">
        <v>3</v>
      </c>
      <c r="G1138">
        <v>8</v>
      </c>
      <c r="H1138" t="s">
        <v>21</v>
      </c>
      <c r="I1138" t="s">
        <v>18</v>
      </c>
      <c r="J1138">
        <v>24</v>
      </c>
    </row>
    <row r="1139" spans="1:10" x14ac:dyDescent="0.3">
      <c r="A1139">
        <v>470</v>
      </c>
      <c r="B1139" t="s">
        <v>31</v>
      </c>
      <c r="C1139" s="1">
        <v>45921</v>
      </c>
      <c r="D1139" t="s">
        <v>16</v>
      </c>
      <c r="E1139" t="s">
        <v>12</v>
      </c>
      <c r="F1139">
        <v>3</v>
      </c>
      <c r="G1139">
        <v>25</v>
      </c>
      <c r="H1139" t="s">
        <v>21</v>
      </c>
      <c r="I1139" t="s">
        <v>18</v>
      </c>
      <c r="J1139">
        <v>75</v>
      </c>
    </row>
    <row r="1140" spans="1:10" x14ac:dyDescent="0.3">
      <c r="A1140">
        <v>541</v>
      </c>
      <c r="B1140" t="s">
        <v>28</v>
      </c>
      <c r="C1140" s="1">
        <v>45864</v>
      </c>
      <c r="D1140" t="s">
        <v>33</v>
      </c>
      <c r="E1140" t="s">
        <v>30</v>
      </c>
      <c r="F1140">
        <v>1</v>
      </c>
      <c r="G1140">
        <v>8</v>
      </c>
      <c r="H1140" t="s">
        <v>13</v>
      </c>
      <c r="I1140" t="s">
        <v>18</v>
      </c>
      <c r="J1140">
        <v>8</v>
      </c>
    </row>
    <row r="1141" spans="1:10" x14ac:dyDescent="0.3">
      <c r="A1141">
        <v>1993</v>
      </c>
      <c r="B1141" t="s">
        <v>32</v>
      </c>
      <c r="C1141" s="1">
        <v>45852</v>
      </c>
      <c r="D1141" t="s">
        <v>16</v>
      </c>
      <c r="E1141" t="s">
        <v>30</v>
      </c>
      <c r="F1141">
        <v>2</v>
      </c>
      <c r="G1141">
        <v>8</v>
      </c>
      <c r="H1141" t="s">
        <v>23</v>
      </c>
      <c r="I1141" t="s">
        <v>18</v>
      </c>
      <c r="J1141">
        <v>16</v>
      </c>
    </row>
    <row r="1142" spans="1:10" x14ac:dyDescent="0.3">
      <c r="A1142">
        <v>999</v>
      </c>
      <c r="B1142" t="s">
        <v>19</v>
      </c>
      <c r="C1142" s="1">
        <v>45881</v>
      </c>
      <c r="D1142" t="s">
        <v>20</v>
      </c>
      <c r="E1142" t="s">
        <v>17</v>
      </c>
      <c r="F1142">
        <v>5</v>
      </c>
      <c r="G1142">
        <v>12</v>
      </c>
      <c r="H1142" t="s">
        <v>21</v>
      </c>
      <c r="I1142" t="s">
        <v>18</v>
      </c>
      <c r="J1142">
        <v>60</v>
      </c>
    </row>
    <row r="1143" spans="1:10" x14ac:dyDescent="0.3">
      <c r="A1143">
        <v>1643</v>
      </c>
      <c r="B1143" t="s">
        <v>15</v>
      </c>
      <c r="C1143" s="1">
        <v>45893</v>
      </c>
      <c r="D1143" t="s">
        <v>33</v>
      </c>
      <c r="E1143" t="s">
        <v>17</v>
      </c>
      <c r="F1143">
        <v>5</v>
      </c>
      <c r="G1143">
        <v>12</v>
      </c>
      <c r="H1143" t="s">
        <v>13</v>
      </c>
      <c r="I1143" t="s">
        <v>18</v>
      </c>
      <c r="J1143">
        <v>60</v>
      </c>
    </row>
    <row r="1144" spans="1:10" x14ac:dyDescent="0.3">
      <c r="A1144">
        <v>1315</v>
      </c>
      <c r="B1144" t="s">
        <v>10</v>
      </c>
      <c r="C1144" s="1">
        <v>45885</v>
      </c>
      <c r="D1144" t="s">
        <v>11</v>
      </c>
      <c r="E1144" t="s">
        <v>17</v>
      </c>
      <c r="F1144">
        <v>4</v>
      </c>
      <c r="G1144">
        <v>12</v>
      </c>
      <c r="H1144" t="s">
        <v>21</v>
      </c>
      <c r="I1144" t="s">
        <v>18</v>
      </c>
      <c r="J1144">
        <v>48</v>
      </c>
    </row>
    <row r="1145" spans="1:10" x14ac:dyDescent="0.3">
      <c r="A1145">
        <v>955</v>
      </c>
      <c r="B1145" t="s">
        <v>32</v>
      </c>
      <c r="C1145" s="1">
        <v>45841</v>
      </c>
      <c r="D1145" t="s">
        <v>20</v>
      </c>
      <c r="E1145" t="s">
        <v>29</v>
      </c>
      <c r="F1145">
        <v>3</v>
      </c>
      <c r="G1145">
        <v>30</v>
      </c>
      <c r="H1145" t="s">
        <v>21</v>
      </c>
      <c r="I1145" t="s">
        <v>18</v>
      </c>
      <c r="J1145">
        <v>90</v>
      </c>
    </row>
    <row r="1146" spans="1:10" x14ac:dyDescent="0.3">
      <c r="A1146">
        <v>232</v>
      </c>
      <c r="B1146" t="s">
        <v>31</v>
      </c>
      <c r="C1146" s="1">
        <v>45843</v>
      </c>
      <c r="D1146" t="s">
        <v>33</v>
      </c>
      <c r="E1146" t="s">
        <v>17</v>
      </c>
      <c r="F1146">
        <v>3</v>
      </c>
      <c r="G1146">
        <v>12</v>
      </c>
      <c r="H1146" t="s">
        <v>23</v>
      </c>
      <c r="I1146" t="s">
        <v>18</v>
      </c>
      <c r="J1146">
        <v>36</v>
      </c>
    </row>
    <row r="1147" spans="1:10" x14ac:dyDescent="0.3">
      <c r="A1147">
        <v>1754</v>
      </c>
      <c r="B1147" t="s">
        <v>28</v>
      </c>
      <c r="C1147" s="1">
        <v>45921</v>
      </c>
      <c r="D1147" t="s">
        <v>33</v>
      </c>
      <c r="E1147" t="s">
        <v>30</v>
      </c>
      <c r="F1147">
        <v>4</v>
      </c>
      <c r="G1147">
        <v>8</v>
      </c>
      <c r="H1147" t="s">
        <v>13</v>
      </c>
      <c r="I1147" t="s">
        <v>18</v>
      </c>
      <c r="J1147">
        <v>32</v>
      </c>
    </row>
    <row r="1148" spans="1:10" x14ac:dyDescent="0.3">
      <c r="A1148">
        <v>1564</v>
      </c>
      <c r="B1148" t="s">
        <v>26</v>
      </c>
      <c r="C1148" s="1">
        <v>45920</v>
      </c>
      <c r="D1148" t="s">
        <v>16</v>
      </c>
      <c r="E1148" t="s">
        <v>17</v>
      </c>
      <c r="F1148">
        <v>1</v>
      </c>
      <c r="G1148">
        <v>12</v>
      </c>
      <c r="H1148" t="s">
        <v>21</v>
      </c>
      <c r="I1148" t="s">
        <v>18</v>
      </c>
      <c r="J1148">
        <v>12</v>
      </c>
    </row>
    <row r="1149" spans="1:10" x14ac:dyDescent="0.3">
      <c r="A1149">
        <v>1042</v>
      </c>
      <c r="B1149" t="s">
        <v>26</v>
      </c>
      <c r="C1149" s="1">
        <v>45892</v>
      </c>
      <c r="D1149" t="s">
        <v>16</v>
      </c>
      <c r="E1149" t="s">
        <v>29</v>
      </c>
      <c r="F1149">
        <v>5</v>
      </c>
      <c r="G1149">
        <v>30</v>
      </c>
      <c r="H1149" t="s">
        <v>23</v>
      </c>
      <c r="I1149" t="s">
        <v>18</v>
      </c>
      <c r="J1149">
        <v>150</v>
      </c>
    </row>
    <row r="1150" spans="1:10" x14ac:dyDescent="0.3">
      <c r="A1150">
        <v>1217</v>
      </c>
      <c r="B1150" t="s">
        <v>10</v>
      </c>
      <c r="C1150" s="1">
        <v>45902</v>
      </c>
      <c r="D1150" t="s">
        <v>11</v>
      </c>
      <c r="E1150" t="s">
        <v>17</v>
      </c>
      <c r="F1150">
        <v>5</v>
      </c>
      <c r="G1150">
        <v>12</v>
      </c>
      <c r="H1150" t="s">
        <v>21</v>
      </c>
      <c r="I1150" t="s">
        <v>18</v>
      </c>
      <c r="J1150">
        <v>60</v>
      </c>
    </row>
    <row r="1151" spans="1:10" x14ac:dyDescent="0.3">
      <c r="A1151">
        <v>993</v>
      </c>
      <c r="B1151" t="s">
        <v>26</v>
      </c>
      <c r="C1151" s="1">
        <v>45872</v>
      </c>
      <c r="D1151" t="s">
        <v>20</v>
      </c>
      <c r="E1151" t="s">
        <v>12</v>
      </c>
      <c r="F1151">
        <v>2</v>
      </c>
      <c r="G1151">
        <v>25</v>
      </c>
      <c r="H1151" t="s">
        <v>21</v>
      </c>
      <c r="I1151" t="s">
        <v>18</v>
      </c>
      <c r="J1151">
        <v>50</v>
      </c>
    </row>
    <row r="1152" spans="1:10" x14ac:dyDescent="0.3">
      <c r="A1152">
        <v>1403</v>
      </c>
      <c r="B1152" t="s">
        <v>24</v>
      </c>
      <c r="C1152" s="1">
        <v>45898</v>
      </c>
      <c r="D1152" t="s">
        <v>16</v>
      </c>
      <c r="E1152" t="s">
        <v>29</v>
      </c>
      <c r="F1152">
        <v>1</v>
      </c>
      <c r="G1152">
        <v>30</v>
      </c>
      <c r="H1152" t="s">
        <v>21</v>
      </c>
      <c r="I1152" t="s">
        <v>18</v>
      </c>
      <c r="J1152">
        <v>30</v>
      </c>
    </row>
    <row r="1153" spans="1:10" x14ac:dyDescent="0.3">
      <c r="A1153">
        <v>115</v>
      </c>
      <c r="B1153" t="s">
        <v>28</v>
      </c>
      <c r="C1153" s="1">
        <v>45843</v>
      </c>
      <c r="D1153" t="s">
        <v>33</v>
      </c>
      <c r="E1153" t="s">
        <v>30</v>
      </c>
      <c r="F1153">
        <v>1</v>
      </c>
      <c r="G1153">
        <v>8</v>
      </c>
      <c r="H1153" t="s">
        <v>23</v>
      </c>
      <c r="I1153" t="s">
        <v>18</v>
      </c>
      <c r="J1153">
        <v>8</v>
      </c>
    </row>
    <row r="1154" spans="1:10" x14ac:dyDescent="0.3">
      <c r="A1154">
        <v>848</v>
      </c>
      <c r="B1154" t="s">
        <v>26</v>
      </c>
      <c r="C1154" s="1">
        <v>45928</v>
      </c>
      <c r="D1154" t="s">
        <v>16</v>
      </c>
      <c r="E1154" t="s">
        <v>17</v>
      </c>
      <c r="F1154">
        <v>2</v>
      </c>
      <c r="G1154">
        <v>12</v>
      </c>
      <c r="H1154" t="s">
        <v>13</v>
      </c>
      <c r="I1154" t="s">
        <v>18</v>
      </c>
      <c r="J1154">
        <v>24</v>
      </c>
    </row>
    <row r="1155" spans="1:10" x14ac:dyDescent="0.3">
      <c r="A1155">
        <v>155</v>
      </c>
      <c r="B1155" t="s">
        <v>15</v>
      </c>
      <c r="C1155" s="1">
        <v>45886</v>
      </c>
      <c r="D1155" t="s">
        <v>16</v>
      </c>
      <c r="E1155" t="s">
        <v>17</v>
      </c>
      <c r="F1155">
        <v>2</v>
      </c>
      <c r="G1155">
        <v>12</v>
      </c>
      <c r="H1155" t="s">
        <v>13</v>
      </c>
      <c r="I1155" t="s">
        <v>18</v>
      </c>
      <c r="J1155">
        <v>24</v>
      </c>
    </row>
    <row r="1156" spans="1:10" x14ac:dyDescent="0.3">
      <c r="A1156">
        <v>231</v>
      </c>
      <c r="B1156" t="s">
        <v>10</v>
      </c>
      <c r="C1156" s="1">
        <v>45911</v>
      </c>
      <c r="D1156" t="s">
        <v>20</v>
      </c>
      <c r="E1156" t="s">
        <v>30</v>
      </c>
      <c r="F1156">
        <v>1</v>
      </c>
      <c r="G1156">
        <v>8</v>
      </c>
      <c r="H1156" t="s">
        <v>23</v>
      </c>
      <c r="I1156" t="s">
        <v>18</v>
      </c>
      <c r="J1156">
        <v>8</v>
      </c>
    </row>
    <row r="1157" spans="1:10" x14ac:dyDescent="0.3">
      <c r="A1157">
        <v>309</v>
      </c>
      <c r="B1157" t="s">
        <v>19</v>
      </c>
      <c r="C1157" s="1">
        <v>45849</v>
      </c>
      <c r="D1157" t="s">
        <v>11</v>
      </c>
      <c r="E1157" t="s">
        <v>17</v>
      </c>
      <c r="F1157">
        <v>2</v>
      </c>
      <c r="G1157">
        <v>12</v>
      </c>
      <c r="H1157" t="s">
        <v>23</v>
      </c>
      <c r="I1157" t="s">
        <v>18</v>
      </c>
      <c r="J1157">
        <v>24</v>
      </c>
    </row>
    <row r="1158" spans="1:10" x14ac:dyDescent="0.3">
      <c r="A1158">
        <v>245</v>
      </c>
      <c r="B1158" t="s">
        <v>28</v>
      </c>
      <c r="C1158" s="1">
        <v>45866</v>
      </c>
      <c r="D1158" t="s">
        <v>16</v>
      </c>
      <c r="E1158" t="s">
        <v>22</v>
      </c>
      <c r="F1158">
        <v>3</v>
      </c>
      <c r="G1158">
        <v>20</v>
      </c>
      <c r="H1158" t="s">
        <v>13</v>
      </c>
      <c r="I1158" t="s">
        <v>27</v>
      </c>
      <c r="J1158">
        <v>60</v>
      </c>
    </row>
    <row r="1159" spans="1:10" x14ac:dyDescent="0.3">
      <c r="A1159">
        <v>699</v>
      </c>
      <c r="B1159" t="s">
        <v>26</v>
      </c>
      <c r="C1159" s="1">
        <v>45841</v>
      </c>
      <c r="D1159" t="s">
        <v>16</v>
      </c>
      <c r="E1159" t="s">
        <v>30</v>
      </c>
      <c r="F1159">
        <v>4</v>
      </c>
      <c r="G1159">
        <v>8</v>
      </c>
      <c r="H1159" t="s">
        <v>23</v>
      </c>
      <c r="I1159" t="s">
        <v>25</v>
      </c>
      <c r="J1159">
        <v>32</v>
      </c>
    </row>
    <row r="1160" spans="1:10" x14ac:dyDescent="0.3">
      <c r="A1160">
        <v>1913</v>
      </c>
      <c r="B1160" t="s">
        <v>26</v>
      </c>
      <c r="C1160" s="1">
        <v>45901</v>
      </c>
      <c r="D1160" t="s">
        <v>33</v>
      </c>
      <c r="E1160" t="s">
        <v>17</v>
      </c>
      <c r="F1160">
        <v>4</v>
      </c>
      <c r="G1160">
        <v>12</v>
      </c>
      <c r="H1160" t="s">
        <v>21</v>
      </c>
      <c r="I1160" t="s">
        <v>18</v>
      </c>
      <c r="J1160">
        <v>48</v>
      </c>
    </row>
    <row r="1161" spans="1:10" x14ac:dyDescent="0.3">
      <c r="A1161">
        <v>552</v>
      </c>
      <c r="B1161" t="s">
        <v>31</v>
      </c>
      <c r="C1161" s="1">
        <v>45886</v>
      </c>
      <c r="D1161" t="s">
        <v>33</v>
      </c>
      <c r="E1161" t="s">
        <v>17</v>
      </c>
      <c r="F1161">
        <v>1</v>
      </c>
      <c r="G1161">
        <v>12</v>
      </c>
      <c r="H1161" t="s">
        <v>13</v>
      </c>
      <c r="I1161" t="s">
        <v>27</v>
      </c>
      <c r="J1161">
        <v>12</v>
      </c>
    </row>
    <row r="1162" spans="1:10" x14ac:dyDescent="0.3">
      <c r="A1162">
        <v>215</v>
      </c>
      <c r="B1162" t="s">
        <v>32</v>
      </c>
      <c r="C1162" s="1">
        <v>45919</v>
      </c>
      <c r="D1162" t="s">
        <v>20</v>
      </c>
      <c r="E1162" t="s">
        <v>30</v>
      </c>
      <c r="F1162">
        <v>3</v>
      </c>
      <c r="G1162">
        <v>8</v>
      </c>
      <c r="H1162" t="s">
        <v>21</v>
      </c>
      <c r="I1162" t="s">
        <v>18</v>
      </c>
      <c r="J1162">
        <v>24</v>
      </c>
    </row>
    <row r="1163" spans="1:10" x14ac:dyDescent="0.3">
      <c r="A1163">
        <v>1210</v>
      </c>
      <c r="B1163" t="s">
        <v>15</v>
      </c>
      <c r="C1163" s="1">
        <v>45902</v>
      </c>
      <c r="D1163" t="s">
        <v>33</v>
      </c>
      <c r="E1163" t="s">
        <v>12</v>
      </c>
      <c r="F1163">
        <v>2</v>
      </c>
      <c r="G1163">
        <v>25</v>
      </c>
      <c r="H1163" t="s">
        <v>13</v>
      </c>
      <c r="I1163" t="s">
        <v>27</v>
      </c>
      <c r="J1163">
        <v>50</v>
      </c>
    </row>
    <row r="1164" spans="1:10" x14ac:dyDescent="0.3">
      <c r="A1164">
        <v>656</v>
      </c>
      <c r="B1164" t="s">
        <v>15</v>
      </c>
      <c r="C1164" s="1">
        <v>45927</v>
      </c>
      <c r="D1164" t="s">
        <v>33</v>
      </c>
      <c r="E1164" t="s">
        <v>17</v>
      </c>
      <c r="F1164">
        <v>1</v>
      </c>
      <c r="G1164">
        <v>12</v>
      </c>
      <c r="H1164" t="s">
        <v>21</v>
      </c>
      <c r="I1164" t="s">
        <v>14</v>
      </c>
      <c r="J1164">
        <v>12</v>
      </c>
    </row>
    <row r="1165" spans="1:10" x14ac:dyDescent="0.3">
      <c r="A1165">
        <v>88</v>
      </c>
      <c r="B1165" t="s">
        <v>24</v>
      </c>
      <c r="C1165" s="1">
        <v>45850</v>
      </c>
      <c r="D1165" t="s">
        <v>33</v>
      </c>
      <c r="E1165" t="s">
        <v>30</v>
      </c>
      <c r="F1165">
        <v>2</v>
      </c>
      <c r="G1165">
        <v>8</v>
      </c>
      <c r="H1165" t="s">
        <v>13</v>
      </c>
      <c r="I1165" t="s">
        <v>27</v>
      </c>
      <c r="J1165">
        <v>16</v>
      </c>
    </row>
    <row r="1166" spans="1:10" x14ac:dyDescent="0.3">
      <c r="A1166">
        <v>419</v>
      </c>
      <c r="B1166" t="s">
        <v>19</v>
      </c>
      <c r="C1166" s="1">
        <v>45846</v>
      </c>
      <c r="D1166" t="s">
        <v>33</v>
      </c>
      <c r="E1166" t="s">
        <v>17</v>
      </c>
      <c r="F1166">
        <v>5</v>
      </c>
      <c r="G1166">
        <v>12</v>
      </c>
      <c r="H1166" t="s">
        <v>13</v>
      </c>
      <c r="I1166" t="s">
        <v>14</v>
      </c>
      <c r="J1166">
        <v>60</v>
      </c>
    </row>
    <row r="1167" spans="1:10" x14ac:dyDescent="0.3">
      <c r="A1167">
        <v>697</v>
      </c>
      <c r="B1167" t="s">
        <v>28</v>
      </c>
      <c r="C1167" s="1">
        <v>45847</v>
      </c>
      <c r="D1167" t="s">
        <v>16</v>
      </c>
      <c r="E1167" t="s">
        <v>30</v>
      </c>
      <c r="F1167">
        <v>1</v>
      </c>
      <c r="G1167">
        <v>8</v>
      </c>
      <c r="H1167" t="s">
        <v>23</v>
      </c>
      <c r="I1167" t="s">
        <v>14</v>
      </c>
      <c r="J1167">
        <v>8</v>
      </c>
    </row>
    <row r="1168" spans="1:10" x14ac:dyDescent="0.3">
      <c r="A1168">
        <v>1080</v>
      </c>
      <c r="B1168" t="s">
        <v>24</v>
      </c>
      <c r="C1168" s="1">
        <v>45927</v>
      </c>
      <c r="D1168" t="s">
        <v>11</v>
      </c>
      <c r="E1168" t="s">
        <v>29</v>
      </c>
      <c r="F1168">
        <v>1</v>
      </c>
      <c r="G1168">
        <v>30</v>
      </c>
      <c r="H1168" t="s">
        <v>21</v>
      </c>
      <c r="I1168" t="s">
        <v>25</v>
      </c>
      <c r="J1168">
        <v>30</v>
      </c>
    </row>
    <row r="1169" spans="1:10" x14ac:dyDescent="0.3">
      <c r="A1169">
        <v>440</v>
      </c>
      <c r="B1169" t="s">
        <v>32</v>
      </c>
      <c r="C1169" s="1">
        <v>45916</v>
      </c>
      <c r="D1169" t="s">
        <v>11</v>
      </c>
      <c r="E1169" t="s">
        <v>17</v>
      </c>
      <c r="F1169">
        <v>3</v>
      </c>
      <c r="G1169">
        <v>12</v>
      </c>
      <c r="H1169" t="s">
        <v>23</v>
      </c>
      <c r="I1169" t="s">
        <v>18</v>
      </c>
      <c r="J1169">
        <v>36</v>
      </c>
    </row>
    <row r="1170" spans="1:10" x14ac:dyDescent="0.3">
      <c r="A1170">
        <v>1165</v>
      </c>
      <c r="B1170" t="s">
        <v>15</v>
      </c>
      <c r="C1170" s="1">
        <v>45889</v>
      </c>
      <c r="D1170" t="s">
        <v>33</v>
      </c>
      <c r="E1170" t="s">
        <v>17</v>
      </c>
      <c r="F1170">
        <v>1</v>
      </c>
      <c r="G1170">
        <v>12</v>
      </c>
      <c r="H1170" t="s">
        <v>23</v>
      </c>
      <c r="I1170" t="s">
        <v>27</v>
      </c>
      <c r="J1170">
        <v>12</v>
      </c>
    </row>
    <row r="1171" spans="1:10" x14ac:dyDescent="0.3">
      <c r="A1171">
        <v>1926</v>
      </c>
      <c r="B1171" t="s">
        <v>15</v>
      </c>
      <c r="C1171" s="1">
        <v>45868</v>
      </c>
      <c r="D1171" t="s">
        <v>16</v>
      </c>
      <c r="E1171" t="s">
        <v>17</v>
      </c>
      <c r="F1171">
        <v>1</v>
      </c>
      <c r="G1171">
        <v>12</v>
      </c>
      <c r="H1171" t="s">
        <v>21</v>
      </c>
      <c r="I1171" t="s">
        <v>25</v>
      </c>
      <c r="J1171">
        <v>12</v>
      </c>
    </row>
    <row r="1172" spans="1:10" x14ac:dyDescent="0.3">
      <c r="A1172">
        <v>135</v>
      </c>
      <c r="B1172" t="s">
        <v>28</v>
      </c>
      <c r="C1172" s="1">
        <v>45870</v>
      </c>
      <c r="D1172" t="s">
        <v>11</v>
      </c>
      <c r="E1172" t="s">
        <v>30</v>
      </c>
      <c r="F1172">
        <v>2</v>
      </c>
      <c r="G1172">
        <v>8</v>
      </c>
      <c r="H1172" t="s">
        <v>21</v>
      </c>
      <c r="I1172" t="s">
        <v>18</v>
      </c>
      <c r="J1172">
        <v>16</v>
      </c>
    </row>
    <row r="1173" spans="1:10" x14ac:dyDescent="0.3">
      <c r="A1173">
        <v>1759</v>
      </c>
      <c r="B1173" t="s">
        <v>28</v>
      </c>
      <c r="C1173" s="1">
        <v>45888</v>
      </c>
      <c r="D1173" t="s">
        <v>11</v>
      </c>
      <c r="E1173" t="s">
        <v>17</v>
      </c>
      <c r="F1173">
        <v>3</v>
      </c>
      <c r="G1173">
        <v>12</v>
      </c>
      <c r="H1173" t="s">
        <v>23</v>
      </c>
      <c r="I1173" t="s">
        <v>18</v>
      </c>
      <c r="J1173">
        <v>36</v>
      </c>
    </row>
    <row r="1174" spans="1:10" x14ac:dyDescent="0.3">
      <c r="A1174">
        <v>1753</v>
      </c>
      <c r="B1174" t="s">
        <v>26</v>
      </c>
      <c r="C1174" s="1">
        <v>45902</v>
      </c>
      <c r="D1174" t="s">
        <v>33</v>
      </c>
      <c r="E1174" t="s">
        <v>17</v>
      </c>
      <c r="F1174">
        <v>2</v>
      </c>
      <c r="G1174">
        <v>12</v>
      </c>
      <c r="H1174" t="s">
        <v>23</v>
      </c>
      <c r="I1174" t="s">
        <v>27</v>
      </c>
      <c r="J1174">
        <v>24</v>
      </c>
    </row>
    <row r="1175" spans="1:10" x14ac:dyDescent="0.3">
      <c r="A1175">
        <v>1995</v>
      </c>
      <c r="B1175" t="s">
        <v>15</v>
      </c>
      <c r="C1175" s="1">
        <v>45865</v>
      </c>
      <c r="D1175" t="s">
        <v>20</v>
      </c>
      <c r="E1175" t="s">
        <v>17</v>
      </c>
      <c r="F1175">
        <v>4</v>
      </c>
      <c r="G1175">
        <v>12</v>
      </c>
      <c r="H1175" t="s">
        <v>23</v>
      </c>
      <c r="I1175" t="s">
        <v>25</v>
      </c>
      <c r="J1175">
        <v>48</v>
      </c>
    </row>
    <row r="1176" spans="1:10" x14ac:dyDescent="0.3">
      <c r="A1176">
        <v>1414</v>
      </c>
      <c r="B1176" t="s">
        <v>19</v>
      </c>
      <c r="C1176" s="1">
        <v>45873</v>
      </c>
      <c r="D1176" t="s">
        <v>16</v>
      </c>
      <c r="E1176" t="s">
        <v>17</v>
      </c>
      <c r="F1176">
        <v>2</v>
      </c>
      <c r="G1176">
        <v>12</v>
      </c>
      <c r="H1176" t="s">
        <v>13</v>
      </c>
      <c r="I1176" t="s">
        <v>14</v>
      </c>
      <c r="J1176">
        <v>24</v>
      </c>
    </row>
    <row r="1177" spans="1:10" x14ac:dyDescent="0.3">
      <c r="A1177">
        <v>1951</v>
      </c>
      <c r="B1177" t="s">
        <v>31</v>
      </c>
      <c r="C1177" s="1">
        <v>45875</v>
      </c>
      <c r="D1177" t="s">
        <v>33</v>
      </c>
      <c r="E1177" t="s">
        <v>17</v>
      </c>
      <c r="F1177">
        <v>5</v>
      </c>
      <c r="G1177">
        <v>12</v>
      </c>
      <c r="H1177" t="s">
        <v>21</v>
      </c>
      <c r="I1177" t="s">
        <v>18</v>
      </c>
      <c r="J1177">
        <v>60</v>
      </c>
    </row>
    <row r="1178" spans="1:10" x14ac:dyDescent="0.3">
      <c r="A1178">
        <v>942</v>
      </c>
      <c r="B1178" t="s">
        <v>15</v>
      </c>
      <c r="C1178" s="1">
        <v>45917</v>
      </c>
      <c r="D1178" t="s">
        <v>11</v>
      </c>
      <c r="E1178" t="s">
        <v>12</v>
      </c>
      <c r="F1178">
        <v>2</v>
      </c>
      <c r="G1178">
        <v>25</v>
      </c>
      <c r="H1178" t="s">
        <v>13</v>
      </c>
      <c r="I1178" t="s">
        <v>18</v>
      </c>
      <c r="J1178">
        <v>50</v>
      </c>
    </row>
    <row r="1179" spans="1:10" x14ac:dyDescent="0.3">
      <c r="A1179">
        <v>737</v>
      </c>
      <c r="B1179" t="s">
        <v>31</v>
      </c>
      <c r="C1179" s="1">
        <v>45877</v>
      </c>
      <c r="D1179" t="s">
        <v>11</v>
      </c>
      <c r="E1179" t="s">
        <v>29</v>
      </c>
      <c r="F1179">
        <v>5</v>
      </c>
      <c r="G1179">
        <v>30</v>
      </c>
      <c r="H1179" t="s">
        <v>23</v>
      </c>
      <c r="I1179" t="s">
        <v>18</v>
      </c>
      <c r="J1179">
        <v>150</v>
      </c>
    </row>
    <row r="1180" spans="1:10" x14ac:dyDescent="0.3">
      <c r="A1180">
        <v>1006</v>
      </c>
      <c r="B1180" t="s">
        <v>15</v>
      </c>
      <c r="C1180" s="1">
        <v>45879</v>
      </c>
      <c r="D1180" t="s">
        <v>33</v>
      </c>
      <c r="E1180" t="s">
        <v>22</v>
      </c>
      <c r="F1180">
        <v>4</v>
      </c>
      <c r="G1180">
        <v>20</v>
      </c>
      <c r="H1180" t="s">
        <v>13</v>
      </c>
      <c r="I1180" t="s">
        <v>25</v>
      </c>
      <c r="J1180">
        <v>80</v>
      </c>
    </row>
    <row r="1181" spans="1:10" x14ac:dyDescent="0.3">
      <c r="A1181">
        <v>1068</v>
      </c>
      <c r="B1181" t="s">
        <v>28</v>
      </c>
      <c r="C1181" s="1">
        <v>45874</v>
      </c>
      <c r="D1181" t="s">
        <v>33</v>
      </c>
      <c r="E1181" t="s">
        <v>29</v>
      </c>
      <c r="F1181">
        <v>3</v>
      </c>
      <c r="G1181">
        <v>30</v>
      </c>
      <c r="H1181" t="s">
        <v>13</v>
      </c>
      <c r="I1181" t="s">
        <v>14</v>
      </c>
      <c r="J1181">
        <v>90</v>
      </c>
    </row>
    <row r="1182" spans="1:10" x14ac:dyDescent="0.3">
      <c r="A1182">
        <v>234</v>
      </c>
      <c r="B1182" t="s">
        <v>31</v>
      </c>
      <c r="C1182" s="1">
        <v>45839</v>
      </c>
      <c r="D1182" t="s">
        <v>11</v>
      </c>
      <c r="E1182" t="s">
        <v>22</v>
      </c>
      <c r="F1182">
        <v>3</v>
      </c>
      <c r="G1182">
        <v>20</v>
      </c>
      <c r="H1182" t="s">
        <v>21</v>
      </c>
      <c r="I1182" t="s">
        <v>25</v>
      </c>
      <c r="J1182">
        <v>60</v>
      </c>
    </row>
    <row r="1183" spans="1:10" x14ac:dyDescent="0.3">
      <c r="A1183">
        <v>793</v>
      </c>
      <c r="B1183" t="s">
        <v>15</v>
      </c>
      <c r="C1183" s="1">
        <v>45865</v>
      </c>
      <c r="D1183" t="s">
        <v>33</v>
      </c>
      <c r="E1183" t="s">
        <v>12</v>
      </c>
      <c r="F1183">
        <v>3</v>
      </c>
      <c r="G1183">
        <v>25</v>
      </c>
      <c r="H1183" t="s">
        <v>23</v>
      </c>
      <c r="I1183" t="s">
        <v>18</v>
      </c>
      <c r="J1183">
        <v>75</v>
      </c>
    </row>
    <row r="1184" spans="1:10" x14ac:dyDescent="0.3">
      <c r="A1184">
        <v>1334</v>
      </c>
      <c r="B1184" t="s">
        <v>19</v>
      </c>
      <c r="C1184" s="1">
        <v>45900</v>
      </c>
      <c r="D1184" t="s">
        <v>16</v>
      </c>
      <c r="E1184" t="s">
        <v>17</v>
      </c>
      <c r="F1184">
        <v>2</v>
      </c>
      <c r="G1184">
        <v>12</v>
      </c>
      <c r="H1184" t="s">
        <v>21</v>
      </c>
      <c r="I1184" t="s">
        <v>18</v>
      </c>
      <c r="J1184">
        <v>24</v>
      </c>
    </row>
    <row r="1185" spans="1:10" x14ac:dyDescent="0.3">
      <c r="A1185">
        <v>557</v>
      </c>
      <c r="B1185" t="s">
        <v>19</v>
      </c>
      <c r="C1185" s="1">
        <v>45921</v>
      </c>
      <c r="D1185" t="s">
        <v>16</v>
      </c>
      <c r="E1185" t="s">
        <v>12</v>
      </c>
      <c r="F1185">
        <v>2</v>
      </c>
      <c r="G1185">
        <v>25</v>
      </c>
      <c r="H1185" t="s">
        <v>21</v>
      </c>
      <c r="I1185" t="s">
        <v>27</v>
      </c>
      <c r="J1185">
        <v>50</v>
      </c>
    </row>
    <row r="1186" spans="1:10" x14ac:dyDescent="0.3">
      <c r="A1186">
        <v>207</v>
      </c>
      <c r="B1186" t="s">
        <v>19</v>
      </c>
      <c r="C1186" s="1">
        <v>45855</v>
      </c>
      <c r="D1186" t="s">
        <v>11</v>
      </c>
      <c r="E1186" t="s">
        <v>17</v>
      </c>
      <c r="F1186">
        <v>5</v>
      </c>
      <c r="G1186">
        <v>12</v>
      </c>
      <c r="H1186" t="s">
        <v>23</v>
      </c>
      <c r="I1186" t="s">
        <v>18</v>
      </c>
      <c r="J1186">
        <v>60</v>
      </c>
    </row>
    <row r="1187" spans="1:10" x14ac:dyDescent="0.3">
      <c r="A1187">
        <v>640</v>
      </c>
      <c r="B1187" t="s">
        <v>19</v>
      </c>
      <c r="C1187" s="1">
        <v>45908</v>
      </c>
      <c r="D1187" t="s">
        <v>16</v>
      </c>
      <c r="E1187" t="s">
        <v>30</v>
      </c>
      <c r="F1187">
        <v>5</v>
      </c>
      <c r="G1187">
        <v>8</v>
      </c>
      <c r="H1187" t="s">
        <v>13</v>
      </c>
      <c r="I1187" t="s">
        <v>18</v>
      </c>
      <c r="J1187">
        <v>40</v>
      </c>
    </row>
    <row r="1188" spans="1:10" x14ac:dyDescent="0.3">
      <c r="A1188">
        <v>387</v>
      </c>
      <c r="B1188" t="s">
        <v>32</v>
      </c>
      <c r="C1188" s="1">
        <v>45926</v>
      </c>
      <c r="D1188" t="s">
        <v>20</v>
      </c>
      <c r="E1188" t="s">
        <v>17</v>
      </c>
      <c r="F1188">
        <v>2</v>
      </c>
      <c r="G1188">
        <v>12</v>
      </c>
      <c r="H1188" t="s">
        <v>21</v>
      </c>
      <c r="I1188" t="s">
        <v>18</v>
      </c>
      <c r="J1188">
        <v>24</v>
      </c>
    </row>
    <row r="1189" spans="1:10" x14ac:dyDescent="0.3">
      <c r="A1189">
        <v>1809</v>
      </c>
      <c r="B1189" t="s">
        <v>31</v>
      </c>
      <c r="C1189" s="1">
        <v>45914</v>
      </c>
      <c r="D1189" t="s">
        <v>33</v>
      </c>
      <c r="E1189" t="s">
        <v>17</v>
      </c>
      <c r="F1189">
        <v>3</v>
      </c>
      <c r="G1189">
        <v>12</v>
      </c>
      <c r="H1189" t="s">
        <v>23</v>
      </c>
      <c r="I1189" t="s">
        <v>18</v>
      </c>
      <c r="J1189">
        <v>36</v>
      </c>
    </row>
    <row r="1190" spans="1:10" x14ac:dyDescent="0.3">
      <c r="A1190">
        <v>540</v>
      </c>
      <c r="B1190" t="s">
        <v>26</v>
      </c>
      <c r="C1190" s="1">
        <v>45862</v>
      </c>
      <c r="D1190" t="s">
        <v>11</v>
      </c>
      <c r="E1190" t="s">
        <v>30</v>
      </c>
      <c r="F1190">
        <v>5</v>
      </c>
      <c r="G1190">
        <v>8</v>
      </c>
      <c r="H1190" t="s">
        <v>23</v>
      </c>
      <c r="I1190" t="s">
        <v>18</v>
      </c>
      <c r="J1190">
        <v>40</v>
      </c>
    </row>
    <row r="1191" spans="1:10" x14ac:dyDescent="0.3">
      <c r="A1191">
        <v>32</v>
      </c>
      <c r="B1191" t="s">
        <v>24</v>
      </c>
      <c r="C1191" s="1">
        <v>45923</v>
      </c>
      <c r="D1191" t="s">
        <v>33</v>
      </c>
      <c r="E1191" t="s">
        <v>12</v>
      </c>
      <c r="F1191">
        <v>2</v>
      </c>
      <c r="G1191">
        <v>25</v>
      </c>
      <c r="H1191" t="s">
        <v>21</v>
      </c>
      <c r="I1191" t="s">
        <v>27</v>
      </c>
      <c r="J1191">
        <v>50</v>
      </c>
    </row>
    <row r="1192" spans="1:10" x14ac:dyDescent="0.3">
      <c r="A1192">
        <v>936</v>
      </c>
      <c r="B1192" t="s">
        <v>24</v>
      </c>
      <c r="C1192" s="1">
        <v>45871</v>
      </c>
      <c r="D1192" t="s">
        <v>33</v>
      </c>
      <c r="E1192" t="s">
        <v>17</v>
      </c>
      <c r="F1192">
        <v>3</v>
      </c>
      <c r="G1192">
        <v>12</v>
      </c>
      <c r="H1192" t="s">
        <v>13</v>
      </c>
      <c r="I1192" t="s">
        <v>18</v>
      </c>
      <c r="J1192">
        <v>36</v>
      </c>
    </row>
    <row r="1193" spans="1:10" x14ac:dyDescent="0.3">
      <c r="A1193">
        <v>1851</v>
      </c>
      <c r="B1193" t="s">
        <v>32</v>
      </c>
      <c r="C1193" s="1">
        <v>45869</v>
      </c>
      <c r="D1193" t="s">
        <v>16</v>
      </c>
      <c r="E1193" t="s">
        <v>17</v>
      </c>
      <c r="F1193">
        <v>5</v>
      </c>
      <c r="G1193">
        <v>12</v>
      </c>
      <c r="H1193" t="s">
        <v>21</v>
      </c>
      <c r="I1193" t="s">
        <v>27</v>
      </c>
      <c r="J1193">
        <v>60</v>
      </c>
    </row>
    <row r="1194" spans="1:10" x14ac:dyDescent="0.3">
      <c r="A1194">
        <v>949</v>
      </c>
      <c r="B1194" t="s">
        <v>10</v>
      </c>
      <c r="C1194" s="1">
        <v>45921</v>
      </c>
      <c r="D1194" t="s">
        <v>20</v>
      </c>
      <c r="E1194" t="s">
        <v>17</v>
      </c>
      <c r="F1194">
        <v>2</v>
      </c>
      <c r="G1194">
        <v>12</v>
      </c>
      <c r="H1194" t="s">
        <v>23</v>
      </c>
      <c r="I1194" t="s">
        <v>25</v>
      </c>
      <c r="J1194">
        <v>24</v>
      </c>
    </row>
    <row r="1195" spans="1:10" x14ac:dyDescent="0.3">
      <c r="A1195">
        <v>11</v>
      </c>
      <c r="B1195" t="s">
        <v>32</v>
      </c>
      <c r="C1195" s="1">
        <v>45878</v>
      </c>
      <c r="D1195" t="s">
        <v>11</v>
      </c>
      <c r="E1195" t="s">
        <v>17</v>
      </c>
      <c r="F1195">
        <v>2</v>
      </c>
      <c r="G1195">
        <v>12</v>
      </c>
      <c r="H1195" t="s">
        <v>21</v>
      </c>
      <c r="I1195" t="s">
        <v>27</v>
      </c>
      <c r="J1195">
        <v>24</v>
      </c>
    </row>
    <row r="1196" spans="1:10" x14ac:dyDescent="0.3">
      <c r="A1196">
        <v>257</v>
      </c>
      <c r="B1196" t="s">
        <v>28</v>
      </c>
      <c r="C1196" s="1">
        <v>45873</v>
      </c>
      <c r="D1196" t="s">
        <v>11</v>
      </c>
      <c r="E1196" t="s">
        <v>12</v>
      </c>
      <c r="F1196">
        <v>3</v>
      </c>
      <c r="G1196">
        <v>25</v>
      </c>
      <c r="H1196" t="s">
        <v>23</v>
      </c>
      <c r="I1196" t="s">
        <v>14</v>
      </c>
      <c r="J1196">
        <v>75</v>
      </c>
    </row>
    <row r="1197" spans="1:10" x14ac:dyDescent="0.3">
      <c r="A1197">
        <v>1673</v>
      </c>
      <c r="B1197" t="s">
        <v>19</v>
      </c>
      <c r="C1197" s="1">
        <v>45913</v>
      </c>
      <c r="D1197" t="s">
        <v>11</v>
      </c>
      <c r="E1197" t="s">
        <v>30</v>
      </c>
      <c r="F1197">
        <v>3</v>
      </c>
      <c r="G1197">
        <v>8</v>
      </c>
      <c r="H1197" t="s">
        <v>21</v>
      </c>
      <c r="I1197" t="s">
        <v>27</v>
      </c>
      <c r="J1197">
        <v>24</v>
      </c>
    </row>
    <row r="1198" spans="1:10" x14ac:dyDescent="0.3">
      <c r="A1198">
        <v>1184</v>
      </c>
      <c r="B1198" t="s">
        <v>31</v>
      </c>
      <c r="C1198" s="1">
        <v>45893</v>
      </c>
      <c r="D1198" t="s">
        <v>16</v>
      </c>
      <c r="E1198" t="s">
        <v>17</v>
      </c>
      <c r="F1198">
        <v>1</v>
      </c>
      <c r="G1198">
        <v>12</v>
      </c>
      <c r="H1198" t="s">
        <v>21</v>
      </c>
      <c r="I1198" t="s">
        <v>14</v>
      </c>
      <c r="J1198">
        <v>12</v>
      </c>
    </row>
    <row r="1199" spans="1:10" x14ac:dyDescent="0.3">
      <c r="A1199">
        <v>1860</v>
      </c>
      <c r="B1199" t="s">
        <v>24</v>
      </c>
      <c r="C1199" s="1">
        <v>45928</v>
      </c>
      <c r="D1199" t="s">
        <v>33</v>
      </c>
      <c r="E1199" t="s">
        <v>22</v>
      </c>
      <c r="F1199">
        <v>3</v>
      </c>
      <c r="G1199">
        <v>20</v>
      </c>
      <c r="H1199" t="s">
        <v>21</v>
      </c>
      <c r="I1199" t="s">
        <v>14</v>
      </c>
      <c r="J1199">
        <v>60</v>
      </c>
    </row>
    <row r="1200" spans="1:10" x14ac:dyDescent="0.3">
      <c r="A1200">
        <v>5</v>
      </c>
      <c r="B1200" t="s">
        <v>32</v>
      </c>
      <c r="C1200" s="1">
        <v>45893</v>
      </c>
      <c r="D1200" t="s">
        <v>16</v>
      </c>
      <c r="E1200" t="s">
        <v>17</v>
      </c>
      <c r="F1200">
        <v>4</v>
      </c>
      <c r="G1200">
        <v>12</v>
      </c>
      <c r="H1200" t="s">
        <v>21</v>
      </c>
      <c r="I1200" t="s">
        <v>18</v>
      </c>
      <c r="J1200">
        <v>48</v>
      </c>
    </row>
    <row r="1201" spans="1:10" x14ac:dyDescent="0.3">
      <c r="A1201">
        <v>1963</v>
      </c>
      <c r="B1201" t="s">
        <v>26</v>
      </c>
      <c r="C1201" s="1">
        <v>45901</v>
      </c>
      <c r="D1201" t="s">
        <v>33</v>
      </c>
      <c r="E1201" t="s">
        <v>17</v>
      </c>
      <c r="F1201">
        <v>3</v>
      </c>
      <c r="G1201">
        <v>12</v>
      </c>
      <c r="H1201" t="s">
        <v>21</v>
      </c>
      <c r="I1201" t="s">
        <v>18</v>
      </c>
      <c r="J1201">
        <v>36</v>
      </c>
    </row>
    <row r="1202" spans="1:10" x14ac:dyDescent="0.3">
      <c r="A1202">
        <v>1559</v>
      </c>
      <c r="B1202" t="s">
        <v>28</v>
      </c>
      <c r="C1202" s="1">
        <v>45893</v>
      </c>
      <c r="D1202" t="s">
        <v>20</v>
      </c>
      <c r="E1202" t="s">
        <v>17</v>
      </c>
      <c r="F1202">
        <v>4</v>
      </c>
      <c r="G1202">
        <v>12</v>
      </c>
      <c r="H1202" t="s">
        <v>13</v>
      </c>
      <c r="I1202" t="s">
        <v>18</v>
      </c>
      <c r="J1202">
        <v>48</v>
      </c>
    </row>
    <row r="1203" spans="1:10" x14ac:dyDescent="0.3">
      <c r="A1203">
        <v>484</v>
      </c>
      <c r="B1203" t="s">
        <v>10</v>
      </c>
      <c r="C1203" s="1">
        <v>45913</v>
      </c>
      <c r="D1203" t="s">
        <v>16</v>
      </c>
      <c r="E1203" t="s">
        <v>17</v>
      </c>
      <c r="F1203">
        <v>3</v>
      </c>
      <c r="G1203">
        <v>12</v>
      </c>
      <c r="H1203" t="s">
        <v>13</v>
      </c>
      <c r="I1203" t="s">
        <v>18</v>
      </c>
      <c r="J1203">
        <v>36</v>
      </c>
    </row>
    <row r="1204" spans="1:10" x14ac:dyDescent="0.3">
      <c r="A1204">
        <v>1573</v>
      </c>
      <c r="B1204" t="s">
        <v>10</v>
      </c>
      <c r="C1204" s="1">
        <v>45863</v>
      </c>
      <c r="D1204" t="s">
        <v>16</v>
      </c>
      <c r="E1204" t="s">
        <v>22</v>
      </c>
      <c r="F1204">
        <v>5</v>
      </c>
      <c r="G1204">
        <v>20</v>
      </c>
      <c r="H1204" t="s">
        <v>21</v>
      </c>
      <c r="I1204" t="s">
        <v>25</v>
      </c>
      <c r="J1204">
        <v>100</v>
      </c>
    </row>
    <row r="1205" spans="1:10" x14ac:dyDescent="0.3">
      <c r="A1205">
        <v>1747</v>
      </c>
      <c r="B1205" t="s">
        <v>31</v>
      </c>
      <c r="C1205" s="1">
        <v>45871</v>
      </c>
      <c r="D1205" t="s">
        <v>16</v>
      </c>
      <c r="E1205" t="s">
        <v>30</v>
      </c>
      <c r="F1205">
        <v>1</v>
      </c>
      <c r="G1205">
        <v>8</v>
      </c>
      <c r="H1205" t="s">
        <v>13</v>
      </c>
      <c r="I1205" t="s">
        <v>14</v>
      </c>
      <c r="J1205">
        <v>8</v>
      </c>
    </row>
    <row r="1206" spans="1:10" x14ac:dyDescent="0.3">
      <c r="A1206">
        <v>608</v>
      </c>
      <c r="B1206" t="s">
        <v>19</v>
      </c>
      <c r="C1206" s="1">
        <v>45865</v>
      </c>
      <c r="D1206" t="s">
        <v>33</v>
      </c>
      <c r="E1206" t="s">
        <v>17</v>
      </c>
      <c r="F1206">
        <v>2</v>
      </c>
      <c r="G1206">
        <v>12</v>
      </c>
      <c r="H1206" t="s">
        <v>13</v>
      </c>
      <c r="I1206" t="s">
        <v>18</v>
      </c>
      <c r="J1206">
        <v>24</v>
      </c>
    </row>
    <row r="1207" spans="1:10" x14ac:dyDescent="0.3">
      <c r="A1207">
        <v>131</v>
      </c>
      <c r="B1207" t="s">
        <v>31</v>
      </c>
      <c r="C1207" s="1">
        <v>45839</v>
      </c>
      <c r="D1207" t="s">
        <v>33</v>
      </c>
      <c r="E1207" t="s">
        <v>17</v>
      </c>
      <c r="F1207">
        <v>1</v>
      </c>
      <c r="G1207">
        <v>12</v>
      </c>
      <c r="H1207" t="s">
        <v>13</v>
      </c>
      <c r="I1207" t="s">
        <v>18</v>
      </c>
      <c r="J1207">
        <v>12</v>
      </c>
    </row>
    <row r="1208" spans="1:10" x14ac:dyDescent="0.3">
      <c r="A1208">
        <v>1279</v>
      </c>
      <c r="B1208" t="s">
        <v>15</v>
      </c>
      <c r="C1208" s="1">
        <v>45851</v>
      </c>
      <c r="D1208" t="s">
        <v>16</v>
      </c>
      <c r="E1208" t="s">
        <v>17</v>
      </c>
      <c r="F1208">
        <v>1</v>
      </c>
      <c r="G1208">
        <v>12</v>
      </c>
      <c r="H1208" t="s">
        <v>23</v>
      </c>
      <c r="I1208" t="s">
        <v>14</v>
      </c>
      <c r="J1208">
        <v>12</v>
      </c>
    </row>
    <row r="1209" spans="1:10" x14ac:dyDescent="0.3">
      <c r="A1209">
        <v>875</v>
      </c>
      <c r="B1209" t="s">
        <v>26</v>
      </c>
      <c r="C1209" s="1">
        <v>45852</v>
      </c>
      <c r="D1209" t="s">
        <v>16</v>
      </c>
      <c r="E1209" t="s">
        <v>30</v>
      </c>
      <c r="F1209">
        <v>5</v>
      </c>
      <c r="G1209">
        <v>8</v>
      </c>
      <c r="H1209" t="s">
        <v>13</v>
      </c>
      <c r="I1209" t="s">
        <v>14</v>
      </c>
      <c r="J1209">
        <v>40</v>
      </c>
    </row>
    <row r="1210" spans="1:10" x14ac:dyDescent="0.3">
      <c r="A1210">
        <v>768</v>
      </c>
      <c r="B1210" t="s">
        <v>19</v>
      </c>
      <c r="C1210" s="1">
        <v>45843</v>
      </c>
      <c r="D1210" t="s">
        <v>11</v>
      </c>
      <c r="E1210" t="s">
        <v>17</v>
      </c>
      <c r="F1210">
        <v>3</v>
      </c>
      <c r="G1210">
        <v>12</v>
      </c>
      <c r="H1210" t="s">
        <v>13</v>
      </c>
      <c r="I1210" t="s">
        <v>14</v>
      </c>
      <c r="J1210">
        <v>36</v>
      </c>
    </row>
    <row r="1211" spans="1:10" x14ac:dyDescent="0.3">
      <c r="A1211">
        <v>1537</v>
      </c>
      <c r="B1211" t="s">
        <v>24</v>
      </c>
      <c r="C1211" s="1">
        <v>45871</v>
      </c>
      <c r="D1211" t="s">
        <v>33</v>
      </c>
      <c r="E1211" t="s">
        <v>17</v>
      </c>
      <c r="F1211">
        <v>3</v>
      </c>
      <c r="G1211">
        <v>12</v>
      </c>
      <c r="H1211" t="s">
        <v>23</v>
      </c>
      <c r="I1211" t="s">
        <v>18</v>
      </c>
      <c r="J1211">
        <v>36</v>
      </c>
    </row>
    <row r="1212" spans="1:10" x14ac:dyDescent="0.3">
      <c r="A1212">
        <v>602</v>
      </c>
      <c r="B1212" t="s">
        <v>19</v>
      </c>
      <c r="C1212" s="1">
        <v>45926</v>
      </c>
      <c r="D1212" t="s">
        <v>33</v>
      </c>
      <c r="E1212" t="s">
        <v>17</v>
      </c>
      <c r="F1212">
        <v>1</v>
      </c>
      <c r="G1212">
        <v>12</v>
      </c>
      <c r="H1212" t="s">
        <v>13</v>
      </c>
      <c r="I1212" t="s">
        <v>18</v>
      </c>
      <c r="J1212">
        <v>12</v>
      </c>
    </row>
    <row r="1213" spans="1:10" x14ac:dyDescent="0.3">
      <c r="A1213">
        <v>828</v>
      </c>
      <c r="B1213" t="s">
        <v>26</v>
      </c>
      <c r="C1213" s="1">
        <v>45887</v>
      </c>
      <c r="D1213" t="s">
        <v>33</v>
      </c>
      <c r="E1213" t="s">
        <v>17</v>
      </c>
      <c r="F1213">
        <v>4</v>
      </c>
      <c r="G1213">
        <v>12</v>
      </c>
      <c r="H1213" t="s">
        <v>13</v>
      </c>
      <c r="I1213" t="s">
        <v>18</v>
      </c>
      <c r="J1213">
        <v>48</v>
      </c>
    </row>
    <row r="1214" spans="1:10" x14ac:dyDescent="0.3">
      <c r="A1214">
        <v>1318</v>
      </c>
      <c r="B1214" t="s">
        <v>19</v>
      </c>
      <c r="C1214" s="1">
        <v>45858</v>
      </c>
      <c r="D1214" t="s">
        <v>20</v>
      </c>
      <c r="E1214" t="s">
        <v>17</v>
      </c>
      <c r="F1214">
        <v>2</v>
      </c>
      <c r="G1214">
        <v>12</v>
      </c>
      <c r="H1214" t="s">
        <v>23</v>
      </c>
      <c r="I1214" t="s">
        <v>18</v>
      </c>
      <c r="J1214">
        <v>24</v>
      </c>
    </row>
    <row r="1215" spans="1:10" x14ac:dyDescent="0.3">
      <c r="A1215">
        <v>727</v>
      </c>
      <c r="B1215" t="s">
        <v>32</v>
      </c>
      <c r="C1215" s="1">
        <v>45906</v>
      </c>
      <c r="D1215" t="s">
        <v>16</v>
      </c>
      <c r="E1215" t="s">
        <v>17</v>
      </c>
      <c r="F1215">
        <v>5</v>
      </c>
      <c r="G1215">
        <v>12</v>
      </c>
      <c r="H1215" t="s">
        <v>23</v>
      </c>
      <c r="I1215" t="s">
        <v>27</v>
      </c>
      <c r="J1215">
        <v>60</v>
      </c>
    </row>
    <row r="1216" spans="1:10" x14ac:dyDescent="0.3">
      <c r="A1216">
        <v>1469</v>
      </c>
      <c r="B1216" t="s">
        <v>31</v>
      </c>
      <c r="C1216" s="1">
        <v>45929</v>
      </c>
      <c r="D1216" t="s">
        <v>11</v>
      </c>
      <c r="E1216" t="s">
        <v>22</v>
      </c>
      <c r="F1216">
        <v>2</v>
      </c>
      <c r="G1216">
        <v>20</v>
      </c>
      <c r="H1216" t="s">
        <v>23</v>
      </c>
      <c r="I1216" t="s">
        <v>18</v>
      </c>
      <c r="J1216">
        <v>40</v>
      </c>
    </row>
    <row r="1217" spans="1:10" x14ac:dyDescent="0.3">
      <c r="A1217">
        <v>815</v>
      </c>
      <c r="B1217" t="s">
        <v>31</v>
      </c>
      <c r="C1217" s="1">
        <v>45915</v>
      </c>
      <c r="D1217" t="s">
        <v>16</v>
      </c>
      <c r="E1217" t="s">
        <v>12</v>
      </c>
      <c r="F1217">
        <v>3</v>
      </c>
      <c r="G1217">
        <v>25</v>
      </c>
      <c r="H1217" t="s">
        <v>21</v>
      </c>
      <c r="I1217" t="s">
        <v>18</v>
      </c>
      <c r="J1217">
        <v>75</v>
      </c>
    </row>
    <row r="1218" spans="1:10" x14ac:dyDescent="0.3">
      <c r="A1218">
        <v>300</v>
      </c>
      <c r="B1218" t="s">
        <v>19</v>
      </c>
      <c r="C1218" s="1">
        <v>45900</v>
      </c>
      <c r="D1218" t="s">
        <v>16</v>
      </c>
      <c r="E1218" t="s">
        <v>17</v>
      </c>
      <c r="F1218">
        <v>1</v>
      </c>
      <c r="G1218">
        <v>12</v>
      </c>
      <c r="H1218" t="s">
        <v>21</v>
      </c>
      <c r="I1218" t="s">
        <v>18</v>
      </c>
      <c r="J1218">
        <v>12</v>
      </c>
    </row>
    <row r="1219" spans="1:10" x14ac:dyDescent="0.3">
      <c r="A1219">
        <v>755</v>
      </c>
      <c r="B1219" t="s">
        <v>26</v>
      </c>
      <c r="C1219" s="1">
        <v>45879</v>
      </c>
      <c r="D1219" t="s">
        <v>16</v>
      </c>
      <c r="E1219" t="s">
        <v>29</v>
      </c>
      <c r="F1219">
        <v>3</v>
      </c>
      <c r="G1219">
        <v>30</v>
      </c>
      <c r="H1219" t="s">
        <v>23</v>
      </c>
      <c r="I1219" t="s">
        <v>18</v>
      </c>
      <c r="J1219">
        <v>90</v>
      </c>
    </row>
    <row r="1220" spans="1:10" x14ac:dyDescent="0.3">
      <c r="A1220">
        <v>1788</v>
      </c>
      <c r="B1220" t="s">
        <v>31</v>
      </c>
      <c r="C1220" s="1">
        <v>45900</v>
      </c>
      <c r="D1220" t="s">
        <v>33</v>
      </c>
      <c r="E1220" t="s">
        <v>17</v>
      </c>
      <c r="F1220">
        <v>4</v>
      </c>
      <c r="G1220">
        <v>12</v>
      </c>
      <c r="H1220" t="s">
        <v>13</v>
      </c>
      <c r="I1220" t="s">
        <v>18</v>
      </c>
      <c r="J1220">
        <v>48</v>
      </c>
    </row>
    <row r="1221" spans="1:10" x14ac:dyDescent="0.3">
      <c r="A1221">
        <v>1256</v>
      </c>
      <c r="B1221" t="s">
        <v>26</v>
      </c>
      <c r="C1221" s="1">
        <v>45911</v>
      </c>
      <c r="D1221" t="s">
        <v>20</v>
      </c>
      <c r="E1221" t="s">
        <v>17</v>
      </c>
      <c r="F1221">
        <v>2</v>
      </c>
      <c r="G1221">
        <v>12</v>
      </c>
      <c r="H1221" t="s">
        <v>21</v>
      </c>
      <c r="I1221" t="s">
        <v>18</v>
      </c>
      <c r="J1221">
        <v>24</v>
      </c>
    </row>
    <row r="1222" spans="1:10" x14ac:dyDescent="0.3">
      <c r="A1222">
        <v>565</v>
      </c>
      <c r="B1222" t="s">
        <v>31</v>
      </c>
      <c r="C1222" s="1">
        <v>45848</v>
      </c>
      <c r="D1222" t="s">
        <v>20</v>
      </c>
      <c r="E1222" t="s">
        <v>17</v>
      </c>
      <c r="F1222">
        <v>2</v>
      </c>
      <c r="G1222">
        <v>12</v>
      </c>
      <c r="H1222" t="s">
        <v>13</v>
      </c>
      <c r="I1222" t="s">
        <v>18</v>
      </c>
      <c r="J1222">
        <v>24</v>
      </c>
    </row>
    <row r="1223" spans="1:10" x14ac:dyDescent="0.3">
      <c r="A1223">
        <v>500</v>
      </c>
      <c r="B1223" t="s">
        <v>31</v>
      </c>
      <c r="C1223" s="1">
        <v>45874</v>
      </c>
      <c r="D1223" t="s">
        <v>16</v>
      </c>
      <c r="E1223" t="s">
        <v>17</v>
      </c>
      <c r="F1223">
        <v>1</v>
      </c>
      <c r="G1223">
        <v>12</v>
      </c>
      <c r="H1223" t="s">
        <v>21</v>
      </c>
      <c r="I1223" t="s">
        <v>18</v>
      </c>
      <c r="J1223">
        <v>12</v>
      </c>
    </row>
    <row r="1224" spans="1:10" x14ac:dyDescent="0.3">
      <c r="A1224">
        <v>669</v>
      </c>
      <c r="B1224" t="s">
        <v>15</v>
      </c>
      <c r="C1224" s="1">
        <v>45851</v>
      </c>
      <c r="D1224" t="s">
        <v>33</v>
      </c>
      <c r="E1224" t="s">
        <v>30</v>
      </c>
      <c r="F1224">
        <v>1</v>
      </c>
      <c r="G1224">
        <v>8</v>
      </c>
      <c r="H1224" t="s">
        <v>23</v>
      </c>
      <c r="I1224" t="s">
        <v>18</v>
      </c>
      <c r="J1224">
        <v>8</v>
      </c>
    </row>
    <row r="1225" spans="1:10" x14ac:dyDescent="0.3">
      <c r="A1225">
        <v>743</v>
      </c>
      <c r="B1225" t="s">
        <v>26</v>
      </c>
      <c r="C1225" s="1">
        <v>45893</v>
      </c>
      <c r="D1225" t="s">
        <v>11</v>
      </c>
      <c r="E1225" t="s">
        <v>17</v>
      </c>
      <c r="F1225">
        <v>4</v>
      </c>
      <c r="G1225">
        <v>12</v>
      </c>
      <c r="H1225" t="s">
        <v>21</v>
      </c>
      <c r="I1225" t="s">
        <v>18</v>
      </c>
      <c r="J1225">
        <v>48</v>
      </c>
    </row>
    <row r="1226" spans="1:10" x14ac:dyDescent="0.3">
      <c r="A1226">
        <v>14</v>
      </c>
      <c r="B1226" t="s">
        <v>32</v>
      </c>
      <c r="C1226" s="1">
        <v>45890</v>
      </c>
      <c r="D1226" t="s">
        <v>16</v>
      </c>
      <c r="E1226" t="s">
        <v>17</v>
      </c>
      <c r="F1226">
        <v>5</v>
      </c>
      <c r="G1226">
        <v>12</v>
      </c>
      <c r="H1226" t="s">
        <v>23</v>
      </c>
      <c r="I1226" t="s">
        <v>18</v>
      </c>
      <c r="J1226">
        <v>60</v>
      </c>
    </row>
    <row r="1227" spans="1:10" x14ac:dyDescent="0.3">
      <c r="A1227">
        <v>1660</v>
      </c>
      <c r="B1227" t="s">
        <v>19</v>
      </c>
      <c r="C1227" s="1">
        <v>45906</v>
      </c>
      <c r="D1227" t="s">
        <v>11</v>
      </c>
      <c r="E1227" t="s">
        <v>29</v>
      </c>
      <c r="F1227">
        <v>5</v>
      </c>
      <c r="G1227">
        <v>30</v>
      </c>
      <c r="H1227" t="s">
        <v>21</v>
      </c>
      <c r="I1227" t="s">
        <v>18</v>
      </c>
      <c r="J1227">
        <v>150</v>
      </c>
    </row>
    <row r="1228" spans="1:10" x14ac:dyDescent="0.3">
      <c r="A1228">
        <v>381</v>
      </c>
      <c r="B1228" t="s">
        <v>19</v>
      </c>
      <c r="C1228" s="1">
        <v>45907</v>
      </c>
      <c r="D1228" t="s">
        <v>20</v>
      </c>
      <c r="E1228" t="s">
        <v>22</v>
      </c>
      <c r="F1228">
        <v>3</v>
      </c>
      <c r="G1228">
        <v>20</v>
      </c>
      <c r="H1228" t="s">
        <v>23</v>
      </c>
      <c r="I1228" t="s">
        <v>14</v>
      </c>
      <c r="J1228">
        <v>60</v>
      </c>
    </row>
    <row r="1229" spans="1:10" x14ac:dyDescent="0.3">
      <c r="A1229">
        <v>375</v>
      </c>
      <c r="B1229" t="s">
        <v>24</v>
      </c>
      <c r="C1229" s="1">
        <v>45857</v>
      </c>
      <c r="D1229" t="s">
        <v>20</v>
      </c>
      <c r="E1229" t="s">
        <v>30</v>
      </c>
      <c r="F1229">
        <v>3</v>
      </c>
      <c r="G1229">
        <v>8</v>
      </c>
      <c r="H1229" t="s">
        <v>23</v>
      </c>
      <c r="I1229" t="s">
        <v>14</v>
      </c>
      <c r="J1229">
        <v>24</v>
      </c>
    </row>
    <row r="1230" spans="1:10" x14ac:dyDescent="0.3">
      <c r="A1230">
        <v>1194</v>
      </c>
      <c r="B1230" t="s">
        <v>19</v>
      </c>
      <c r="C1230" s="1">
        <v>45881</v>
      </c>
      <c r="D1230" t="s">
        <v>33</v>
      </c>
      <c r="E1230" t="s">
        <v>17</v>
      </c>
      <c r="F1230">
        <v>2</v>
      </c>
      <c r="G1230">
        <v>12</v>
      </c>
      <c r="H1230" t="s">
        <v>23</v>
      </c>
      <c r="I1230" t="s">
        <v>14</v>
      </c>
      <c r="J1230">
        <v>24</v>
      </c>
    </row>
    <row r="1231" spans="1:10" x14ac:dyDescent="0.3">
      <c r="A1231">
        <v>438</v>
      </c>
      <c r="B1231" t="s">
        <v>19</v>
      </c>
      <c r="C1231" s="1">
        <v>45900</v>
      </c>
      <c r="D1231" t="s">
        <v>11</v>
      </c>
      <c r="E1231" t="s">
        <v>17</v>
      </c>
      <c r="F1231">
        <v>3</v>
      </c>
      <c r="G1231">
        <v>12</v>
      </c>
      <c r="H1231" t="s">
        <v>13</v>
      </c>
      <c r="I1231" t="s">
        <v>18</v>
      </c>
      <c r="J1231">
        <v>36</v>
      </c>
    </row>
    <row r="1232" spans="1:10" x14ac:dyDescent="0.3">
      <c r="A1232">
        <v>304</v>
      </c>
      <c r="B1232" t="s">
        <v>10</v>
      </c>
      <c r="C1232" s="1">
        <v>45851</v>
      </c>
      <c r="D1232" t="s">
        <v>33</v>
      </c>
      <c r="E1232" t="s">
        <v>17</v>
      </c>
      <c r="F1232">
        <v>1</v>
      </c>
      <c r="G1232">
        <v>12</v>
      </c>
      <c r="H1232" t="s">
        <v>23</v>
      </c>
      <c r="I1232" t="s">
        <v>18</v>
      </c>
      <c r="J1232">
        <v>12</v>
      </c>
    </row>
    <row r="1233" spans="1:10" x14ac:dyDescent="0.3">
      <c r="A1233">
        <v>1261</v>
      </c>
      <c r="B1233" t="s">
        <v>28</v>
      </c>
      <c r="C1233" s="1">
        <v>45879</v>
      </c>
      <c r="D1233" t="s">
        <v>16</v>
      </c>
      <c r="E1233" t="s">
        <v>17</v>
      </c>
      <c r="F1233">
        <v>3</v>
      </c>
      <c r="G1233">
        <v>12</v>
      </c>
      <c r="H1233" t="s">
        <v>21</v>
      </c>
      <c r="I1233" t="s">
        <v>14</v>
      </c>
      <c r="J1233">
        <v>36</v>
      </c>
    </row>
    <row r="1234" spans="1:10" x14ac:dyDescent="0.3">
      <c r="A1234">
        <v>1817</v>
      </c>
      <c r="B1234" t="s">
        <v>26</v>
      </c>
      <c r="C1234" s="1">
        <v>45871</v>
      </c>
      <c r="D1234" t="s">
        <v>11</v>
      </c>
      <c r="E1234" t="s">
        <v>17</v>
      </c>
      <c r="F1234">
        <v>4</v>
      </c>
      <c r="G1234">
        <v>12</v>
      </c>
      <c r="H1234" t="s">
        <v>13</v>
      </c>
      <c r="I1234" t="s">
        <v>14</v>
      </c>
      <c r="J1234">
        <v>48</v>
      </c>
    </row>
    <row r="1235" spans="1:10" x14ac:dyDescent="0.3">
      <c r="A1235">
        <v>1019</v>
      </c>
      <c r="B1235" t="s">
        <v>19</v>
      </c>
      <c r="C1235" s="1">
        <v>45919</v>
      </c>
      <c r="D1235" t="s">
        <v>16</v>
      </c>
      <c r="E1235" t="s">
        <v>17</v>
      </c>
      <c r="F1235">
        <v>5</v>
      </c>
      <c r="G1235">
        <v>12</v>
      </c>
      <c r="H1235" t="s">
        <v>21</v>
      </c>
      <c r="I1235" t="s">
        <v>27</v>
      </c>
      <c r="J1235">
        <v>60</v>
      </c>
    </row>
    <row r="1236" spans="1:10" x14ac:dyDescent="0.3">
      <c r="A1236">
        <v>870</v>
      </c>
      <c r="B1236" t="s">
        <v>10</v>
      </c>
      <c r="C1236" s="1">
        <v>45850</v>
      </c>
      <c r="D1236" t="s">
        <v>11</v>
      </c>
      <c r="E1236" t="s">
        <v>17</v>
      </c>
      <c r="F1236">
        <v>1</v>
      </c>
      <c r="G1236">
        <v>12</v>
      </c>
      <c r="H1236" t="s">
        <v>23</v>
      </c>
      <c r="I1236" t="s">
        <v>27</v>
      </c>
      <c r="J1236">
        <v>12</v>
      </c>
    </row>
    <row r="1237" spans="1:10" x14ac:dyDescent="0.3">
      <c r="A1237">
        <v>1481</v>
      </c>
      <c r="B1237" t="s">
        <v>32</v>
      </c>
      <c r="C1237" s="1">
        <v>45920</v>
      </c>
      <c r="D1237" t="s">
        <v>20</v>
      </c>
      <c r="E1237" t="s">
        <v>17</v>
      </c>
      <c r="F1237">
        <v>2</v>
      </c>
      <c r="G1237">
        <v>12</v>
      </c>
      <c r="H1237" t="s">
        <v>21</v>
      </c>
      <c r="I1237" t="s">
        <v>14</v>
      </c>
      <c r="J1237">
        <v>24</v>
      </c>
    </row>
    <row r="1238" spans="1:10" x14ac:dyDescent="0.3">
      <c r="A1238">
        <v>1254</v>
      </c>
      <c r="B1238" t="s">
        <v>26</v>
      </c>
      <c r="C1238" s="1">
        <v>45876</v>
      </c>
      <c r="D1238" t="s">
        <v>11</v>
      </c>
      <c r="E1238" t="s">
        <v>17</v>
      </c>
      <c r="F1238">
        <v>3</v>
      </c>
      <c r="G1238">
        <v>12</v>
      </c>
      <c r="H1238" t="s">
        <v>13</v>
      </c>
      <c r="I1238" t="s">
        <v>25</v>
      </c>
      <c r="J1238">
        <v>36</v>
      </c>
    </row>
    <row r="1239" spans="1:10" x14ac:dyDescent="0.3">
      <c r="A1239">
        <v>1866</v>
      </c>
      <c r="B1239" t="s">
        <v>26</v>
      </c>
      <c r="C1239" s="1">
        <v>45914</v>
      </c>
      <c r="D1239" t="s">
        <v>16</v>
      </c>
      <c r="E1239" t="s">
        <v>17</v>
      </c>
      <c r="F1239">
        <v>4</v>
      </c>
      <c r="G1239">
        <v>12</v>
      </c>
      <c r="H1239" t="s">
        <v>13</v>
      </c>
      <c r="I1239" t="s">
        <v>14</v>
      </c>
      <c r="J1239">
        <v>48</v>
      </c>
    </row>
    <row r="1240" spans="1:10" x14ac:dyDescent="0.3">
      <c r="A1240">
        <v>1384</v>
      </c>
      <c r="B1240" t="s">
        <v>31</v>
      </c>
      <c r="C1240" s="1">
        <v>45864</v>
      </c>
      <c r="D1240" t="s">
        <v>11</v>
      </c>
      <c r="E1240" t="s">
        <v>17</v>
      </c>
      <c r="F1240">
        <v>2</v>
      </c>
      <c r="G1240">
        <v>12</v>
      </c>
      <c r="H1240" t="s">
        <v>13</v>
      </c>
      <c r="I1240" t="s">
        <v>25</v>
      </c>
      <c r="J1240">
        <v>24</v>
      </c>
    </row>
    <row r="1241" spans="1:10" x14ac:dyDescent="0.3">
      <c r="A1241">
        <v>280</v>
      </c>
      <c r="B1241" t="s">
        <v>26</v>
      </c>
      <c r="C1241" s="1">
        <v>45884</v>
      </c>
      <c r="D1241" t="s">
        <v>11</v>
      </c>
      <c r="E1241" t="s">
        <v>17</v>
      </c>
      <c r="F1241">
        <v>4</v>
      </c>
      <c r="G1241">
        <v>12</v>
      </c>
      <c r="H1241" t="s">
        <v>21</v>
      </c>
      <c r="I1241" t="s">
        <v>14</v>
      </c>
      <c r="J1241">
        <v>48</v>
      </c>
    </row>
    <row r="1242" spans="1:10" x14ac:dyDescent="0.3">
      <c r="A1242">
        <v>1503</v>
      </c>
      <c r="B1242" t="s">
        <v>10</v>
      </c>
      <c r="C1242" s="1">
        <v>45882</v>
      </c>
      <c r="D1242" t="s">
        <v>33</v>
      </c>
      <c r="E1242" t="s">
        <v>29</v>
      </c>
      <c r="F1242">
        <v>4</v>
      </c>
      <c r="G1242">
        <v>30</v>
      </c>
      <c r="H1242" t="s">
        <v>13</v>
      </c>
      <c r="I1242" t="s">
        <v>14</v>
      </c>
      <c r="J1242">
        <v>120</v>
      </c>
    </row>
    <row r="1243" spans="1:10" x14ac:dyDescent="0.3">
      <c r="A1243">
        <v>877</v>
      </c>
      <c r="B1243" t="s">
        <v>26</v>
      </c>
      <c r="C1243" s="1">
        <v>45908</v>
      </c>
      <c r="D1243" t="s">
        <v>20</v>
      </c>
      <c r="E1243" t="s">
        <v>17</v>
      </c>
      <c r="F1243">
        <v>5</v>
      </c>
      <c r="G1243">
        <v>12</v>
      </c>
      <c r="H1243" t="s">
        <v>23</v>
      </c>
      <c r="I1243" t="s">
        <v>14</v>
      </c>
      <c r="J1243">
        <v>60</v>
      </c>
    </row>
    <row r="1244" spans="1:10" x14ac:dyDescent="0.3">
      <c r="A1244">
        <v>1159</v>
      </c>
      <c r="B1244" t="s">
        <v>31</v>
      </c>
      <c r="C1244" s="1">
        <v>45902</v>
      </c>
      <c r="D1244" t="s">
        <v>16</v>
      </c>
      <c r="E1244" t="s">
        <v>22</v>
      </c>
      <c r="F1244">
        <v>4</v>
      </c>
      <c r="G1244">
        <v>20</v>
      </c>
      <c r="H1244" t="s">
        <v>13</v>
      </c>
      <c r="I1244" t="s">
        <v>14</v>
      </c>
      <c r="J1244">
        <v>80</v>
      </c>
    </row>
    <row r="1245" spans="1:10" x14ac:dyDescent="0.3">
      <c r="A1245">
        <v>238</v>
      </c>
      <c r="B1245" t="s">
        <v>10</v>
      </c>
      <c r="C1245" s="1">
        <v>45858</v>
      </c>
      <c r="D1245" t="s">
        <v>11</v>
      </c>
      <c r="E1245" t="s">
        <v>17</v>
      </c>
      <c r="F1245">
        <v>4</v>
      </c>
      <c r="G1245">
        <v>12</v>
      </c>
      <c r="H1245" t="s">
        <v>13</v>
      </c>
      <c r="I1245" t="s">
        <v>27</v>
      </c>
      <c r="J1245">
        <v>48</v>
      </c>
    </row>
    <row r="1246" spans="1:10" x14ac:dyDescent="0.3">
      <c r="A1246">
        <v>179</v>
      </c>
      <c r="B1246" t="s">
        <v>24</v>
      </c>
      <c r="C1246" s="1">
        <v>45871</v>
      </c>
      <c r="D1246" t="s">
        <v>11</v>
      </c>
      <c r="E1246" t="s">
        <v>30</v>
      </c>
      <c r="F1246">
        <v>5</v>
      </c>
      <c r="G1246">
        <v>8</v>
      </c>
      <c r="H1246" t="s">
        <v>13</v>
      </c>
      <c r="I1246" t="s">
        <v>27</v>
      </c>
      <c r="J1246">
        <v>40</v>
      </c>
    </row>
    <row r="1247" spans="1:10" x14ac:dyDescent="0.3">
      <c r="A1247">
        <v>1789</v>
      </c>
      <c r="B1247" t="s">
        <v>15</v>
      </c>
      <c r="C1247" s="1">
        <v>45905</v>
      </c>
      <c r="D1247" t="s">
        <v>20</v>
      </c>
      <c r="E1247" t="s">
        <v>17</v>
      </c>
      <c r="F1247">
        <v>2</v>
      </c>
      <c r="G1247">
        <v>12</v>
      </c>
      <c r="H1247" t="s">
        <v>21</v>
      </c>
      <c r="I1247" t="s">
        <v>14</v>
      </c>
      <c r="J1247">
        <v>24</v>
      </c>
    </row>
    <row r="1248" spans="1:10" x14ac:dyDescent="0.3">
      <c r="A1248">
        <v>1750</v>
      </c>
      <c r="B1248" t="s">
        <v>28</v>
      </c>
      <c r="C1248" s="1">
        <v>45930</v>
      </c>
      <c r="D1248" t="s">
        <v>20</v>
      </c>
      <c r="E1248" t="s">
        <v>22</v>
      </c>
      <c r="F1248">
        <v>4</v>
      </c>
      <c r="G1248">
        <v>20</v>
      </c>
      <c r="H1248" t="s">
        <v>23</v>
      </c>
      <c r="I1248" t="s">
        <v>18</v>
      </c>
      <c r="J1248">
        <v>80</v>
      </c>
    </row>
    <row r="1249" spans="1:10" x14ac:dyDescent="0.3">
      <c r="A1249">
        <v>1919</v>
      </c>
      <c r="B1249" t="s">
        <v>32</v>
      </c>
      <c r="C1249" s="1">
        <v>45840</v>
      </c>
      <c r="D1249" t="s">
        <v>16</v>
      </c>
      <c r="E1249" t="s">
        <v>30</v>
      </c>
      <c r="F1249">
        <v>5</v>
      </c>
      <c r="G1249">
        <v>8</v>
      </c>
      <c r="H1249" t="s">
        <v>23</v>
      </c>
      <c r="I1249" t="s">
        <v>27</v>
      </c>
      <c r="J1249">
        <v>40</v>
      </c>
    </row>
    <row r="1250" spans="1:10" x14ac:dyDescent="0.3">
      <c r="A1250">
        <v>1046</v>
      </c>
      <c r="B1250" t="s">
        <v>32</v>
      </c>
      <c r="C1250" s="1">
        <v>45866</v>
      </c>
      <c r="D1250" t="s">
        <v>11</v>
      </c>
      <c r="E1250" t="s">
        <v>30</v>
      </c>
      <c r="F1250">
        <v>1</v>
      </c>
      <c r="G1250">
        <v>8</v>
      </c>
      <c r="H1250" t="s">
        <v>13</v>
      </c>
      <c r="I1250" t="s">
        <v>25</v>
      </c>
      <c r="J1250">
        <v>8</v>
      </c>
    </row>
    <row r="1251" spans="1:10" x14ac:dyDescent="0.3">
      <c r="A1251">
        <v>1968</v>
      </c>
      <c r="B1251" t="s">
        <v>19</v>
      </c>
      <c r="C1251" s="1">
        <v>45921</v>
      </c>
      <c r="D1251" t="s">
        <v>16</v>
      </c>
      <c r="E1251" t="s">
        <v>17</v>
      </c>
      <c r="F1251">
        <v>1</v>
      </c>
      <c r="G1251">
        <v>12</v>
      </c>
      <c r="H1251" t="s">
        <v>13</v>
      </c>
      <c r="I1251" t="s">
        <v>27</v>
      </c>
      <c r="J1251">
        <v>12</v>
      </c>
    </row>
    <row r="1252" spans="1:10" x14ac:dyDescent="0.3">
      <c r="A1252">
        <v>1873</v>
      </c>
      <c r="B1252" t="s">
        <v>32</v>
      </c>
      <c r="C1252" s="1">
        <v>45921</v>
      </c>
      <c r="D1252" t="s">
        <v>11</v>
      </c>
      <c r="E1252" t="s">
        <v>17</v>
      </c>
      <c r="F1252">
        <v>5</v>
      </c>
      <c r="G1252">
        <v>12</v>
      </c>
      <c r="H1252" t="s">
        <v>21</v>
      </c>
      <c r="I1252" t="s">
        <v>14</v>
      </c>
      <c r="J1252">
        <v>60</v>
      </c>
    </row>
    <row r="1253" spans="1:10" x14ac:dyDescent="0.3">
      <c r="A1253">
        <v>689</v>
      </c>
      <c r="B1253" t="s">
        <v>28</v>
      </c>
      <c r="C1253" s="1">
        <v>45867</v>
      </c>
      <c r="D1253" t="s">
        <v>33</v>
      </c>
      <c r="E1253" t="s">
        <v>17</v>
      </c>
      <c r="F1253">
        <v>2</v>
      </c>
      <c r="G1253">
        <v>12</v>
      </c>
      <c r="H1253" t="s">
        <v>21</v>
      </c>
      <c r="I1253" t="s">
        <v>27</v>
      </c>
      <c r="J1253">
        <v>24</v>
      </c>
    </row>
    <row r="1254" spans="1:10" x14ac:dyDescent="0.3">
      <c r="A1254">
        <v>1415</v>
      </c>
      <c r="B1254" t="s">
        <v>26</v>
      </c>
      <c r="C1254" s="1">
        <v>45849</v>
      </c>
      <c r="D1254" t="s">
        <v>33</v>
      </c>
      <c r="E1254" t="s">
        <v>30</v>
      </c>
      <c r="F1254">
        <v>2</v>
      </c>
      <c r="G1254">
        <v>8</v>
      </c>
      <c r="H1254" t="s">
        <v>13</v>
      </c>
      <c r="I1254" t="s">
        <v>27</v>
      </c>
      <c r="J1254">
        <v>16</v>
      </c>
    </row>
    <row r="1255" spans="1:10" x14ac:dyDescent="0.3">
      <c r="A1255">
        <v>371</v>
      </c>
      <c r="B1255" t="s">
        <v>31</v>
      </c>
      <c r="C1255" s="1">
        <v>45842</v>
      </c>
      <c r="D1255" t="s">
        <v>16</v>
      </c>
      <c r="E1255" t="s">
        <v>30</v>
      </c>
      <c r="F1255">
        <v>2</v>
      </c>
      <c r="G1255">
        <v>8</v>
      </c>
      <c r="H1255" t="s">
        <v>13</v>
      </c>
      <c r="I1255" t="s">
        <v>14</v>
      </c>
      <c r="J1255">
        <v>16</v>
      </c>
    </row>
    <row r="1256" spans="1:10" x14ac:dyDescent="0.3">
      <c r="A1256">
        <v>1069</v>
      </c>
      <c r="B1256" t="s">
        <v>15</v>
      </c>
      <c r="C1256" s="1">
        <v>45896</v>
      </c>
      <c r="D1256" t="s">
        <v>16</v>
      </c>
      <c r="E1256" t="s">
        <v>17</v>
      </c>
      <c r="F1256">
        <v>1</v>
      </c>
      <c r="G1256">
        <v>12</v>
      </c>
      <c r="H1256" t="s">
        <v>21</v>
      </c>
      <c r="I1256" t="s">
        <v>14</v>
      </c>
      <c r="J1256">
        <v>12</v>
      </c>
    </row>
    <row r="1257" spans="1:10" x14ac:dyDescent="0.3">
      <c r="A1257">
        <v>530</v>
      </c>
      <c r="B1257" t="s">
        <v>26</v>
      </c>
      <c r="C1257" s="1">
        <v>45924</v>
      </c>
      <c r="D1257" t="s">
        <v>33</v>
      </c>
      <c r="E1257" t="s">
        <v>29</v>
      </c>
      <c r="F1257">
        <v>4</v>
      </c>
      <c r="G1257">
        <v>30</v>
      </c>
      <c r="H1257" t="s">
        <v>23</v>
      </c>
      <c r="I1257" t="s">
        <v>14</v>
      </c>
      <c r="J1257">
        <v>120</v>
      </c>
    </row>
    <row r="1258" spans="1:10" x14ac:dyDescent="0.3">
      <c r="A1258">
        <v>1361</v>
      </c>
      <c r="B1258" t="s">
        <v>10</v>
      </c>
      <c r="C1258" s="1">
        <v>45927</v>
      </c>
      <c r="D1258" t="s">
        <v>20</v>
      </c>
      <c r="E1258" t="s">
        <v>30</v>
      </c>
      <c r="F1258">
        <v>1</v>
      </c>
      <c r="G1258">
        <v>8</v>
      </c>
      <c r="H1258" t="s">
        <v>13</v>
      </c>
      <c r="I1258" t="s">
        <v>14</v>
      </c>
      <c r="J1258">
        <v>8</v>
      </c>
    </row>
    <row r="1259" spans="1:10" x14ac:dyDescent="0.3">
      <c r="A1259">
        <v>1096</v>
      </c>
      <c r="B1259" t="s">
        <v>26</v>
      </c>
      <c r="C1259" s="1">
        <v>45850</v>
      </c>
      <c r="D1259" t="s">
        <v>16</v>
      </c>
      <c r="E1259" t="s">
        <v>30</v>
      </c>
      <c r="F1259">
        <v>5</v>
      </c>
      <c r="G1259">
        <v>8</v>
      </c>
      <c r="H1259" t="s">
        <v>23</v>
      </c>
      <c r="I1259" t="s">
        <v>27</v>
      </c>
      <c r="J1259">
        <v>40</v>
      </c>
    </row>
    <row r="1260" spans="1:10" x14ac:dyDescent="0.3">
      <c r="A1260">
        <v>423</v>
      </c>
      <c r="B1260" t="s">
        <v>10</v>
      </c>
      <c r="C1260" s="1">
        <v>45921</v>
      </c>
      <c r="D1260" t="s">
        <v>33</v>
      </c>
      <c r="E1260" t="s">
        <v>30</v>
      </c>
      <c r="F1260">
        <v>2</v>
      </c>
      <c r="G1260">
        <v>8</v>
      </c>
      <c r="H1260" t="s">
        <v>23</v>
      </c>
      <c r="I1260" t="s">
        <v>25</v>
      </c>
      <c r="J1260">
        <v>16</v>
      </c>
    </row>
    <row r="1261" spans="1:10" x14ac:dyDescent="0.3">
      <c r="A1261">
        <v>227</v>
      </c>
      <c r="B1261" t="s">
        <v>15</v>
      </c>
      <c r="C1261" s="1">
        <v>45922</v>
      </c>
      <c r="D1261" t="s">
        <v>11</v>
      </c>
      <c r="E1261" t="s">
        <v>17</v>
      </c>
      <c r="F1261">
        <v>5</v>
      </c>
      <c r="G1261">
        <v>12</v>
      </c>
      <c r="H1261" t="s">
        <v>13</v>
      </c>
      <c r="I1261" t="s">
        <v>27</v>
      </c>
      <c r="J1261">
        <v>60</v>
      </c>
    </row>
    <row r="1262" spans="1:10" x14ac:dyDescent="0.3">
      <c r="A1262">
        <v>920</v>
      </c>
      <c r="B1262" t="s">
        <v>19</v>
      </c>
      <c r="C1262" s="1">
        <v>45864</v>
      </c>
      <c r="D1262" t="s">
        <v>20</v>
      </c>
      <c r="E1262" t="s">
        <v>17</v>
      </c>
      <c r="F1262">
        <v>3</v>
      </c>
      <c r="G1262">
        <v>12</v>
      </c>
      <c r="H1262" t="s">
        <v>23</v>
      </c>
      <c r="I1262" t="s">
        <v>18</v>
      </c>
      <c r="J1262">
        <v>36</v>
      </c>
    </row>
    <row r="1263" spans="1:10" x14ac:dyDescent="0.3">
      <c r="A1263">
        <v>1623</v>
      </c>
      <c r="B1263" t="s">
        <v>10</v>
      </c>
      <c r="C1263" s="1">
        <v>45873</v>
      </c>
      <c r="D1263" t="s">
        <v>16</v>
      </c>
      <c r="E1263" t="s">
        <v>17</v>
      </c>
      <c r="F1263">
        <v>4</v>
      </c>
      <c r="G1263">
        <v>12</v>
      </c>
      <c r="H1263" t="s">
        <v>23</v>
      </c>
      <c r="I1263" t="s">
        <v>18</v>
      </c>
      <c r="J1263">
        <v>48</v>
      </c>
    </row>
    <row r="1264" spans="1:10" x14ac:dyDescent="0.3">
      <c r="A1264">
        <v>554</v>
      </c>
      <c r="B1264" t="s">
        <v>31</v>
      </c>
      <c r="C1264" s="1">
        <v>45886</v>
      </c>
      <c r="D1264" t="s">
        <v>16</v>
      </c>
      <c r="E1264" t="s">
        <v>29</v>
      </c>
      <c r="F1264">
        <v>3</v>
      </c>
      <c r="G1264">
        <v>30</v>
      </c>
      <c r="H1264" t="s">
        <v>21</v>
      </c>
      <c r="I1264" t="s">
        <v>14</v>
      </c>
      <c r="J1264">
        <v>90</v>
      </c>
    </row>
    <row r="1265" spans="1:10" x14ac:dyDescent="0.3">
      <c r="A1265">
        <v>610</v>
      </c>
      <c r="B1265" t="s">
        <v>19</v>
      </c>
      <c r="C1265" s="1">
        <v>45844</v>
      </c>
      <c r="D1265" t="s">
        <v>16</v>
      </c>
      <c r="E1265" t="s">
        <v>17</v>
      </c>
      <c r="F1265">
        <v>3</v>
      </c>
      <c r="G1265">
        <v>12</v>
      </c>
      <c r="H1265" t="s">
        <v>13</v>
      </c>
      <c r="I1265" t="s">
        <v>27</v>
      </c>
      <c r="J1265">
        <v>36</v>
      </c>
    </row>
    <row r="1266" spans="1:10" x14ac:dyDescent="0.3">
      <c r="A1266">
        <v>1920</v>
      </c>
      <c r="B1266" t="s">
        <v>24</v>
      </c>
      <c r="C1266" s="1">
        <v>45880</v>
      </c>
      <c r="D1266" t="s">
        <v>11</v>
      </c>
      <c r="E1266" t="s">
        <v>22</v>
      </c>
      <c r="F1266">
        <v>3</v>
      </c>
      <c r="G1266">
        <v>20</v>
      </c>
      <c r="H1266" t="s">
        <v>13</v>
      </c>
      <c r="I1266" t="s">
        <v>27</v>
      </c>
      <c r="J1266">
        <v>60</v>
      </c>
    </row>
    <row r="1267" spans="1:10" x14ac:dyDescent="0.3">
      <c r="A1267">
        <v>1266</v>
      </c>
      <c r="B1267" t="s">
        <v>32</v>
      </c>
      <c r="C1267" s="1">
        <v>45916</v>
      </c>
      <c r="D1267" t="s">
        <v>16</v>
      </c>
      <c r="E1267" t="s">
        <v>17</v>
      </c>
      <c r="F1267">
        <v>5</v>
      </c>
      <c r="G1267">
        <v>12</v>
      </c>
      <c r="H1267" t="s">
        <v>23</v>
      </c>
      <c r="I1267" t="s">
        <v>18</v>
      </c>
      <c r="J1267">
        <v>60</v>
      </c>
    </row>
    <row r="1268" spans="1:10" x14ac:dyDescent="0.3">
      <c r="A1268">
        <v>99</v>
      </c>
      <c r="B1268" t="s">
        <v>10</v>
      </c>
      <c r="C1268" s="1">
        <v>45884</v>
      </c>
      <c r="D1268" t="s">
        <v>20</v>
      </c>
      <c r="E1268" t="s">
        <v>30</v>
      </c>
      <c r="F1268">
        <v>1</v>
      </c>
      <c r="G1268">
        <v>8</v>
      </c>
      <c r="H1268" t="s">
        <v>21</v>
      </c>
      <c r="I1268" t="s">
        <v>27</v>
      </c>
      <c r="J1268">
        <v>8</v>
      </c>
    </row>
    <row r="1269" spans="1:10" x14ac:dyDescent="0.3">
      <c r="A1269">
        <v>1768</v>
      </c>
      <c r="B1269" t="s">
        <v>24</v>
      </c>
      <c r="C1269" s="1">
        <v>45900</v>
      </c>
      <c r="D1269" t="s">
        <v>33</v>
      </c>
      <c r="E1269" t="s">
        <v>17</v>
      </c>
      <c r="F1269">
        <v>4</v>
      </c>
      <c r="G1269">
        <v>12</v>
      </c>
      <c r="H1269" t="s">
        <v>23</v>
      </c>
      <c r="I1269" t="s">
        <v>14</v>
      </c>
      <c r="J1269">
        <v>48</v>
      </c>
    </row>
    <row r="1270" spans="1:10" x14ac:dyDescent="0.3">
      <c r="A1270">
        <v>1458</v>
      </c>
      <c r="B1270" t="s">
        <v>31</v>
      </c>
      <c r="C1270" s="1">
        <v>45883</v>
      </c>
      <c r="D1270" t="s">
        <v>33</v>
      </c>
      <c r="E1270" t="s">
        <v>30</v>
      </c>
      <c r="F1270">
        <v>1</v>
      </c>
      <c r="G1270">
        <v>8</v>
      </c>
      <c r="H1270" t="s">
        <v>23</v>
      </c>
      <c r="I1270" t="s">
        <v>18</v>
      </c>
      <c r="J1270">
        <v>8</v>
      </c>
    </row>
    <row r="1271" spans="1:10" x14ac:dyDescent="0.3">
      <c r="A1271">
        <v>798</v>
      </c>
      <c r="B1271" t="s">
        <v>28</v>
      </c>
      <c r="C1271" s="1">
        <v>45911</v>
      </c>
      <c r="D1271" t="s">
        <v>16</v>
      </c>
      <c r="E1271" t="s">
        <v>12</v>
      </c>
      <c r="F1271">
        <v>3</v>
      </c>
      <c r="G1271">
        <v>25</v>
      </c>
      <c r="H1271" t="s">
        <v>23</v>
      </c>
      <c r="I1271" t="s">
        <v>27</v>
      </c>
      <c r="J1271">
        <v>75</v>
      </c>
    </row>
    <row r="1272" spans="1:10" x14ac:dyDescent="0.3">
      <c r="A1272">
        <v>991</v>
      </c>
      <c r="B1272" t="s">
        <v>26</v>
      </c>
      <c r="C1272" s="1">
        <v>45929</v>
      </c>
      <c r="D1272" t="s">
        <v>20</v>
      </c>
      <c r="E1272" t="s">
        <v>17</v>
      </c>
      <c r="F1272">
        <v>2</v>
      </c>
      <c r="G1272">
        <v>12</v>
      </c>
      <c r="H1272" t="s">
        <v>13</v>
      </c>
      <c r="I1272" t="s">
        <v>14</v>
      </c>
      <c r="J1272">
        <v>24</v>
      </c>
    </row>
    <row r="1273" spans="1:10" x14ac:dyDescent="0.3">
      <c r="A1273">
        <v>1777</v>
      </c>
      <c r="B1273" t="s">
        <v>26</v>
      </c>
      <c r="C1273" s="1">
        <v>45880</v>
      </c>
      <c r="D1273" t="s">
        <v>33</v>
      </c>
      <c r="E1273" t="s">
        <v>22</v>
      </c>
      <c r="F1273">
        <v>4</v>
      </c>
      <c r="G1273">
        <v>20</v>
      </c>
      <c r="H1273" t="s">
        <v>13</v>
      </c>
      <c r="I1273" t="s">
        <v>25</v>
      </c>
      <c r="J1273">
        <v>80</v>
      </c>
    </row>
    <row r="1274" spans="1:10" x14ac:dyDescent="0.3">
      <c r="A1274">
        <v>1672</v>
      </c>
      <c r="B1274" t="s">
        <v>15</v>
      </c>
      <c r="C1274" s="1">
        <v>45886</v>
      </c>
      <c r="D1274" t="s">
        <v>20</v>
      </c>
      <c r="E1274" t="s">
        <v>17</v>
      </c>
      <c r="F1274">
        <v>5</v>
      </c>
      <c r="G1274">
        <v>12</v>
      </c>
      <c r="H1274" t="s">
        <v>21</v>
      </c>
      <c r="I1274" t="s">
        <v>14</v>
      </c>
      <c r="J1274">
        <v>60</v>
      </c>
    </row>
    <row r="1275" spans="1:10" x14ac:dyDescent="0.3">
      <c r="A1275">
        <v>726</v>
      </c>
      <c r="B1275" t="s">
        <v>15</v>
      </c>
      <c r="C1275" s="1">
        <v>45872</v>
      </c>
      <c r="D1275" t="s">
        <v>20</v>
      </c>
      <c r="E1275" t="s">
        <v>17</v>
      </c>
      <c r="F1275">
        <v>4</v>
      </c>
      <c r="G1275">
        <v>12</v>
      </c>
      <c r="H1275" t="s">
        <v>23</v>
      </c>
      <c r="I1275" t="s">
        <v>18</v>
      </c>
      <c r="J1275">
        <v>48</v>
      </c>
    </row>
    <row r="1276" spans="1:10" x14ac:dyDescent="0.3">
      <c r="A1276">
        <v>1455</v>
      </c>
      <c r="B1276" t="s">
        <v>24</v>
      </c>
      <c r="C1276" s="1">
        <v>45866</v>
      </c>
      <c r="D1276" t="s">
        <v>11</v>
      </c>
      <c r="E1276" t="s">
        <v>29</v>
      </c>
      <c r="F1276">
        <v>5</v>
      </c>
      <c r="G1276">
        <v>30</v>
      </c>
      <c r="H1276" t="s">
        <v>23</v>
      </c>
      <c r="I1276" t="s">
        <v>18</v>
      </c>
      <c r="J1276">
        <v>150</v>
      </c>
    </row>
    <row r="1277" spans="1:10" x14ac:dyDescent="0.3">
      <c r="A1277">
        <v>398</v>
      </c>
      <c r="B1277" t="s">
        <v>10</v>
      </c>
      <c r="C1277" s="1">
        <v>45918</v>
      </c>
      <c r="D1277" t="s">
        <v>11</v>
      </c>
      <c r="E1277" t="s">
        <v>17</v>
      </c>
      <c r="F1277">
        <v>5</v>
      </c>
      <c r="G1277">
        <v>12</v>
      </c>
      <c r="H1277" t="s">
        <v>21</v>
      </c>
      <c r="I1277" t="s">
        <v>27</v>
      </c>
      <c r="J1277">
        <v>60</v>
      </c>
    </row>
    <row r="1278" spans="1:10" x14ac:dyDescent="0.3">
      <c r="A1278">
        <v>849</v>
      </c>
      <c r="B1278" t="s">
        <v>28</v>
      </c>
      <c r="C1278" s="1">
        <v>45853</v>
      </c>
      <c r="D1278" t="s">
        <v>33</v>
      </c>
      <c r="E1278" t="s">
        <v>12</v>
      </c>
      <c r="F1278">
        <v>4</v>
      </c>
      <c r="G1278">
        <v>25</v>
      </c>
      <c r="H1278" t="s">
        <v>23</v>
      </c>
      <c r="I1278" t="s">
        <v>25</v>
      </c>
      <c r="J1278">
        <v>100</v>
      </c>
    </row>
    <row r="1279" spans="1:10" x14ac:dyDescent="0.3">
      <c r="A1279">
        <v>1363</v>
      </c>
      <c r="B1279" t="s">
        <v>24</v>
      </c>
      <c r="C1279" s="1">
        <v>45899</v>
      </c>
      <c r="D1279" t="s">
        <v>16</v>
      </c>
      <c r="E1279" t="s">
        <v>30</v>
      </c>
      <c r="F1279">
        <v>5</v>
      </c>
      <c r="G1279">
        <v>8</v>
      </c>
      <c r="H1279" t="s">
        <v>23</v>
      </c>
      <c r="I1279" t="s">
        <v>27</v>
      </c>
      <c r="J1279">
        <v>40</v>
      </c>
    </row>
    <row r="1280" spans="1:10" x14ac:dyDescent="0.3">
      <c r="A1280">
        <v>937</v>
      </c>
      <c r="B1280" t="s">
        <v>10</v>
      </c>
      <c r="C1280" s="1">
        <v>45920</v>
      </c>
      <c r="D1280" t="s">
        <v>16</v>
      </c>
      <c r="E1280" t="s">
        <v>30</v>
      </c>
      <c r="F1280">
        <v>5</v>
      </c>
      <c r="G1280">
        <v>8</v>
      </c>
      <c r="H1280" t="s">
        <v>21</v>
      </c>
      <c r="I1280" t="s">
        <v>14</v>
      </c>
      <c r="J1280">
        <v>40</v>
      </c>
    </row>
    <row r="1281" spans="1:10" x14ac:dyDescent="0.3">
      <c r="A1281">
        <v>166</v>
      </c>
      <c r="B1281" t="s">
        <v>24</v>
      </c>
      <c r="C1281" s="1">
        <v>45902</v>
      </c>
      <c r="D1281" t="s">
        <v>11</v>
      </c>
      <c r="E1281" t="s">
        <v>29</v>
      </c>
      <c r="F1281">
        <v>4</v>
      </c>
      <c r="G1281">
        <v>30</v>
      </c>
      <c r="H1281" t="s">
        <v>23</v>
      </c>
      <c r="I1281" t="s">
        <v>27</v>
      </c>
      <c r="J1281">
        <v>120</v>
      </c>
    </row>
    <row r="1282" spans="1:10" x14ac:dyDescent="0.3">
      <c r="A1282">
        <v>348</v>
      </c>
      <c r="B1282" t="s">
        <v>31</v>
      </c>
      <c r="C1282" s="1">
        <v>45881</v>
      </c>
      <c r="D1282" t="s">
        <v>20</v>
      </c>
      <c r="E1282" t="s">
        <v>17</v>
      </c>
      <c r="F1282">
        <v>2</v>
      </c>
      <c r="G1282">
        <v>12</v>
      </c>
      <c r="H1282" t="s">
        <v>13</v>
      </c>
      <c r="I1282" t="s">
        <v>14</v>
      </c>
      <c r="J1282">
        <v>24</v>
      </c>
    </row>
    <row r="1283" spans="1:10" x14ac:dyDescent="0.3">
      <c r="A1283">
        <v>1829</v>
      </c>
      <c r="B1283" t="s">
        <v>10</v>
      </c>
      <c r="C1283" s="1">
        <v>45923</v>
      </c>
      <c r="D1283" t="s">
        <v>33</v>
      </c>
      <c r="E1283" t="s">
        <v>22</v>
      </c>
      <c r="F1283">
        <v>4</v>
      </c>
      <c r="G1283">
        <v>20</v>
      </c>
      <c r="H1283" t="s">
        <v>23</v>
      </c>
      <c r="I1283" t="s">
        <v>25</v>
      </c>
      <c r="J1283">
        <v>80</v>
      </c>
    </row>
    <row r="1284" spans="1:10" x14ac:dyDescent="0.3">
      <c r="A1284">
        <v>900</v>
      </c>
      <c r="B1284" t="s">
        <v>32</v>
      </c>
      <c r="C1284" s="1">
        <v>45844</v>
      </c>
      <c r="D1284" t="s">
        <v>20</v>
      </c>
      <c r="E1284" t="s">
        <v>17</v>
      </c>
      <c r="F1284">
        <v>2</v>
      </c>
      <c r="G1284">
        <v>12</v>
      </c>
      <c r="H1284" t="s">
        <v>21</v>
      </c>
      <c r="I1284" t="s">
        <v>27</v>
      </c>
      <c r="J1284">
        <v>24</v>
      </c>
    </row>
    <row r="1285" spans="1:10" x14ac:dyDescent="0.3">
      <c r="A1285">
        <v>213</v>
      </c>
      <c r="B1285" t="s">
        <v>15</v>
      </c>
      <c r="C1285" s="1">
        <v>45843</v>
      </c>
      <c r="D1285" t="s">
        <v>20</v>
      </c>
      <c r="E1285" t="s">
        <v>17</v>
      </c>
      <c r="F1285">
        <v>4</v>
      </c>
      <c r="G1285">
        <v>12</v>
      </c>
      <c r="H1285" t="s">
        <v>23</v>
      </c>
      <c r="I1285" t="s">
        <v>14</v>
      </c>
      <c r="J1285">
        <v>48</v>
      </c>
    </row>
    <row r="1286" spans="1:10" x14ac:dyDescent="0.3">
      <c r="A1286">
        <v>421</v>
      </c>
      <c r="B1286" t="s">
        <v>26</v>
      </c>
      <c r="C1286" s="1">
        <v>45841</v>
      </c>
      <c r="D1286" t="s">
        <v>33</v>
      </c>
      <c r="E1286" t="s">
        <v>17</v>
      </c>
      <c r="F1286">
        <v>3</v>
      </c>
      <c r="G1286">
        <v>12</v>
      </c>
      <c r="H1286" t="s">
        <v>23</v>
      </c>
      <c r="I1286" t="s">
        <v>27</v>
      </c>
      <c r="J1286">
        <v>36</v>
      </c>
    </row>
    <row r="1287" spans="1:10" x14ac:dyDescent="0.3">
      <c r="A1287">
        <v>134</v>
      </c>
      <c r="B1287" t="s">
        <v>15</v>
      </c>
      <c r="C1287" s="1">
        <v>45842</v>
      </c>
      <c r="D1287" t="s">
        <v>33</v>
      </c>
      <c r="E1287" t="s">
        <v>12</v>
      </c>
      <c r="F1287">
        <v>4</v>
      </c>
      <c r="G1287">
        <v>25</v>
      </c>
      <c r="H1287" t="s">
        <v>23</v>
      </c>
      <c r="I1287" t="s">
        <v>18</v>
      </c>
      <c r="J1287">
        <v>100</v>
      </c>
    </row>
    <row r="1288" spans="1:10" x14ac:dyDescent="0.3">
      <c r="A1288">
        <v>592</v>
      </c>
      <c r="B1288" t="s">
        <v>19</v>
      </c>
      <c r="C1288" s="1">
        <v>45871</v>
      </c>
      <c r="D1288" t="s">
        <v>20</v>
      </c>
      <c r="E1288" t="s">
        <v>22</v>
      </c>
      <c r="F1288">
        <v>5</v>
      </c>
      <c r="G1288">
        <v>20</v>
      </c>
      <c r="H1288" t="s">
        <v>21</v>
      </c>
      <c r="I1288" t="s">
        <v>18</v>
      </c>
      <c r="J1288">
        <v>100</v>
      </c>
    </row>
    <row r="1289" spans="1:10" x14ac:dyDescent="0.3">
      <c r="A1289">
        <v>948</v>
      </c>
      <c r="B1289" t="s">
        <v>19</v>
      </c>
      <c r="C1289" s="1">
        <v>45851</v>
      </c>
      <c r="D1289" t="s">
        <v>20</v>
      </c>
      <c r="E1289" t="s">
        <v>12</v>
      </c>
      <c r="F1289">
        <v>2</v>
      </c>
      <c r="G1289">
        <v>25</v>
      </c>
      <c r="H1289" t="s">
        <v>23</v>
      </c>
      <c r="I1289" t="s">
        <v>14</v>
      </c>
      <c r="J1289">
        <v>50</v>
      </c>
    </row>
    <row r="1290" spans="1:10" x14ac:dyDescent="0.3">
      <c r="A1290">
        <v>1048</v>
      </c>
      <c r="B1290" t="s">
        <v>24</v>
      </c>
      <c r="C1290" s="1">
        <v>45893</v>
      </c>
      <c r="D1290" t="s">
        <v>20</v>
      </c>
      <c r="E1290" t="s">
        <v>17</v>
      </c>
      <c r="F1290">
        <v>5</v>
      </c>
      <c r="G1290">
        <v>12</v>
      </c>
      <c r="H1290" t="s">
        <v>21</v>
      </c>
      <c r="I1290" t="s">
        <v>27</v>
      </c>
      <c r="J1290">
        <v>60</v>
      </c>
    </row>
    <row r="1291" spans="1:10" x14ac:dyDescent="0.3">
      <c r="A1291">
        <v>857</v>
      </c>
      <c r="B1291" t="s">
        <v>32</v>
      </c>
      <c r="C1291" s="1">
        <v>45879</v>
      </c>
      <c r="D1291" t="s">
        <v>20</v>
      </c>
      <c r="E1291" t="s">
        <v>17</v>
      </c>
      <c r="F1291">
        <v>5</v>
      </c>
      <c r="G1291">
        <v>12</v>
      </c>
      <c r="H1291" t="s">
        <v>21</v>
      </c>
      <c r="I1291" t="s">
        <v>14</v>
      </c>
      <c r="J1291">
        <v>60</v>
      </c>
    </row>
    <row r="1292" spans="1:10" x14ac:dyDescent="0.3">
      <c r="A1292">
        <v>571</v>
      </c>
      <c r="B1292" t="s">
        <v>10</v>
      </c>
      <c r="C1292" s="1">
        <v>45901</v>
      </c>
      <c r="D1292" t="s">
        <v>20</v>
      </c>
      <c r="E1292" t="s">
        <v>17</v>
      </c>
      <c r="F1292">
        <v>1</v>
      </c>
      <c r="G1292">
        <v>12</v>
      </c>
      <c r="H1292" t="s">
        <v>13</v>
      </c>
      <c r="I1292" t="s">
        <v>25</v>
      </c>
      <c r="J1292">
        <v>12</v>
      </c>
    </row>
    <row r="1293" spans="1:10" x14ac:dyDescent="0.3">
      <c r="A1293">
        <v>157</v>
      </c>
      <c r="B1293" t="s">
        <v>28</v>
      </c>
      <c r="C1293" s="1">
        <v>45865</v>
      </c>
      <c r="D1293" t="s">
        <v>16</v>
      </c>
      <c r="E1293" t="s">
        <v>17</v>
      </c>
      <c r="F1293">
        <v>4</v>
      </c>
      <c r="G1293">
        <v>12</v>
      </c>
      <c r="H1293" t="s">
        <v>21</v>
      </c>
      <c r="I1293" t="s">
        <v>14</v>
      </c>
      <c r="J1293">
        <v>48</v>
      </c>
    </row>
    <row r="1294" spans="1:10" x14ac:dyDescent="0.3">
      <c r="A1294">
        <v>1562</v>
      </c>
      <c r="B1294" t="s">
        <v>31</v>
      </c>
      <c r="C1294" s="1">
        <v>45928</v>
      </c>
      <c r="D1294" t="s">
        <v>16</v>
      </c>
      <c r="E1294" t="s">
        <v>22</v>
      </c>
      <c r="F1294">
        <v>1</v>
      </c>
      <c r="G1294">
        <v>20</v>
      </c>
      <c r="H1294" t="s">
        <v>21</v>
      </c>
      <c r="I1294" t="s">
        <v>25</v>
      </c>
      <c r="J1294">
        <v>20</v>
      </c>
    </row>
    <row r="1295" spans="1:10" x14ac:dyDescent="0.3">
      <c r="A1295">
        <v>1838</v>
      </c>
      <c r="B1295" t="s">
        <v>31</v>
      </c>
      <c r="C1295" s="1">
        <v>45894</v>
      </c>
      <c r="D1295" t="s">
        <v>20</v>
      </c>
      <c r="E1295" t="s">
        <v>17</v>
      </c>
      <c r="F1295">
        <v>1</v>
      </c>
      <c r="G1295">
        <v>12</v>
      </c>
      <c r="H1295" t="s">
        <v>13</v>
      </c>
      <c r="I1295" t="s">
        <v>14</v>
      </c>
      <c r="J1295">
        <v>12</v>
      </c>
    </row>
    <row r="1296" spans="1:10" x14ac:dyDescent="0.3">
      <c r="A1296">
        <v>1689</v>
      </c>
      <c r="B1296" t="s">
        <v>24</v>
      </c>
      <c r="C1296" s="1">
        <v>45879</v>
      </c>
      <c r="D1296" t="s">
        <v>20</v>
      </c>
      <c r="E1296" t="s">
        <v>17</v>
      </c>
      <c r="F1296">
        <v>3</v>
      </c>
      <c r="G1296">
        <v>12</v>
      </c>
      <c r="H1296" t="s">
        <v>21</v>
      </c>
      <c r="I1296" t="s">
        <v>27</v>
      </c>
      <c r="J1296">
        <v>36</v>
      </c>
    </row>
    <row r="1297" spans="1:10" x14ac:dyDescent="0.3">
      <c r="A1297">
        <v>1542</v>
      </c>
      <c r="B1297" t="s">
        <v>28</v>
      </c>
      <c r="C1297" s="1">
        <v>45901</v>
      </c>
      <c r="D1297" t="s">
        <v>20</v>
      </c>
      <c r="E1297" t="s">
        <v>22</v>
      </c>
      <c r="F1297">
        <v>4</v>
      </c>
      <c r="G1297">
        <v>20</v>
      </c>
      <c r="H1297" t="s">
        <v>21</v>
      </c>
      <c r="I1297" t="s">
        <v>25</v>
      </c>
      <c r="J1297">
        <v>80</v>
      </c>
    </row>
    <row r="1298" spans="1:10" x14ac:dyDescent="0.3">
      <c r="A1298">
        <v>1517</v>
      </c>
      <c r="B1298" t="s">
        <v>28</v>
      </c>
      <c r="C1298" s="1">
        <v>45910</v>
      </c>
      <c r="D1298" t="s">
        <v>11</v>
      </c>
      <c r="E1298" t="s">
        <v>17</v>
      </c>
      <c r="F1298">
        <v>3</v>
      </c>
      <c r="G1298">
        <v>12</v>
      </c>
      <c r="H1298" t="s">
        <v>23</v>
      </c>
      <c r="I1298" t="s">
        <v>18</v>
      </c>
      <c r="J1298">
        <v>36</v>
      </c>
    </row>
    <row r="1299" spans="1:10" x14ac:dyDescent="0.3">
      <c r="A1299">
        <v>1420</v>
      </c>
      <c r="B1299" t="s">
        <v>24</v>
      </c>
      <c r="C1299" s="1">
        <v>45892</v>
      </c>
      <c r="D1299" t="s">
        <v>11</v>
      </c>
      <c r="E1299" t="s">
        <v>17</v>
      </c>
      <c r="F1299">
        <v>4</v>
      </c>
      <c r="G1299">
        <v>12</v>
      </c>
      <c r="H1299" t="s">
        <v>23</v>
      </c>
      <c r="I1299" t="s">
        <v>27</v>
      </c>
      <c r="J1299">
        <v>48</v>
      </c>
    </row>
    <row r="1300" spans="1:10" x14ac:dyDescent="0.3">
      <c r="A1300">
        <v>780</v>
      </c>
      <c r="B1300" t="s">
        <v>32</v>
      </c>
      <c r="C1300" s="1">
        <v>45854</v>
      </c>
      <c r="D1300" t="s">
        <v>11</v>
      </c>
      <c r="E1300" t="s">
        <v>17</v>
      </c>
      <c r="F1300">
        <v>2</v>
      </c>
      <c r="G1300">
        <v>12</v>
      </c>
      <c r="H1300" t="s">
        <v>23</v>
      </c>
      <c r="I1300" t="s">
        <v>18</v>
      </c>
      <c r="J1300">
        <v>24</v>
      </c>
    </row>
    <row r="1301" spans="1:10" x14ac:dyDescent="0.3">
      <c r="A1301">
        <v>1105</v>
      </c>
      <c r="B1301" t="s">
        <v>10</v>
      </c>
      <c r="C1301" s="1">
        <v>45887</v>
      </c>
      <c r="D1301" t="s">
        <v>20</v>
      </c>
      <c r="E1301" t="s">
        <v>17</v>
      </c>
      <c r="F1301">
        <v>3</v>
      </c>
      <c r="G1301">
        <v>12</v>
      </c>
      <c r="H1301" t="s">
        <v>23</v>
      </c>
      <c r="I1301" t="s">
        <v>27</v>
      </c>
      <c r="J1301">
        <v>36</v>
      </c>
    </row>
    <row r="1302" spans="1:10" x14ac:dyDescent="0.3">
      <c r="A1302">
        <v>1451</v>
      </c>
      <c r="B1302" t="s">
        <v>19</v>
      </c>
      <c r="C1302" s="1">
        <v>45854</v>
      </c>
      <c r="D1302" t="s">
        <v>16</v>
      </c>
      <c r="E1302" t="s">
        <v>17</v>
      </c>
      <c r="F1302">
        <v>2</v>
      </c>
      <c r="G1302">
        <v>12</v>
      </c>
      <c r="H1302" t="s">
        <v>21</v>
      </c>
      <c r="I1302" t="s">
        <v>14</v>
      </c>
      <c r="J1302">
        <v>24</v>
      </c>
    </row>
    <row r="1303" spans="1:10" x14ac:dyDescent="0.3">
      <c r="A1303">
        <v>1140</v>
      </c>
      <c r="B1303" t="s">
        <v>24</v>
      </c>
      <c r="C1303" s="1">
        <v>45907</v>
      </c>
      <c r="D1303" t="s">
        <v>11</v>
      </c>
      <c r="E1303" t="s">
        <v>17</v>
      </c>
      <c r="F1303">
        <v>5</v>
      </c>
      <c r="G1303">
        <v>12</v>
      </c>
      <c r="H1303" t="s">
        <v>21</v>
      </c>
      <c r="I1303" t="s">
        <v>14</v>
      </c>
      <c r="J1303">
        <v>60</v>
      </c>
    </row>
    <row r="1304" spans="1:10" x14ac:dyDescent="0.3">
      <c r="A1304">
        <v>1896</v>
      </c>
      <c r="B1304" t="s">
        <v>28</v>
      </c>
      <c r="C1304" s="1">
        <v>45873</v>
      </c>
      <c r="D1304" t="s">
        <v>20</v>
      </c>
      <c r="E1304" t="s">
        <v>22</v>
      </c>
      <c r="F1304">
        <v>2</v>
      </c>
      <c r="G1304">
        <v>20</v>
      </c>
      <c r="H1304" t="s">
        <v>23</v>
      </c>
      <c r="I1304" t="s">
        <v>27</v>
      </c>
      <c r="J1304">
        <v>40</v>
      </c>
    </row>
    <row r="1305" spans="1:10" x14ac:dyDescent="0.3">
      <c r="A1305">
        <v>1296</v>
      </c>
      <c r="B1305" t="s">
        <v>26</v>
      </c>
      <c r="C1305" s="1">
        <v>45853</v>
      </c>
      <c r="D1305" t="s">
        <v>16</v>
      </c>
      <c r="E1305" t="s">
        <v>17</v>
      </c>
      <c r="F1305">
        <v>2</v>
      </c>
      <c r="G1305">
        <v>12</v>
      </c>
      <c r="H1305" t="s">
        <v>13</v>
      </c>
      <c r="I1305" t="s">
        <v>27</v>
      </c>
      <c r="J1305">
        <v>24</v>
      </c>
    </row>
    <row r="1306" spans="1:10" x14ac:dyDescent="0.3">
      <c r="A1306">
        <v>821</v>
      </c>
      <c r="B1306" t="s">
        <v>28</v>
      </c>
      <c r="C1306" s="1">
        <v>45878</v>
      </c>
      <c r="D1306" t="s">
        <v>16</v>
      </c>
      <c r="E1306" t="s">
        <v>29</v>
      </c>
      <c r="F1306">
        <v>1</v>
      </c>
      <c r="G1306">
        <v>30</v>
      </c>
      <c r="H1306" t="s">
        <v>13</v>
      </c>
      <c r="I1306" t="s">
        <v>27</v>
      </c>
      <c r="J1306">
        <v>30</v>
      </c>
    </row>
    <row r="1307" spans="1:10" x14ac:dyDescent="0.3">
      <c r="A1307">
        <v>418</v>
      </c>
      <c r="B1307" t="s">
        <v>26</v>
      </c>
      <c r="C1307" s="1">
        <v>45915</v>
      </c>
      <c r="D1307" t="s">
        <v>20</v>
      </c>
      <c r="E1307" t="s">
        <v>17</v>
      </c>
      <c r="F1307">
        <v>4</v>
      </c>
      <c r="G1307">
        <v>12</v>
      </c>
      <c r="H1307" t="s">
        <v>23</v>
      </c>
      <c r="I1307" t="s">
        <v>27</v>
      </c>
      <c r="J1307">
        <v>48</v>
      </c>
    </row>
    <row r="1308" spans="1:10" x14ac:dyDescent="0.3">
      <c r="A1308">
        <v>1898</v>
      </c>
      <c r="B1308" t="s">
        <v>32</v>
      </c>
      <c r="C1308" s="1">
        <v>45881</v>
      </c>
      <c r="D1308" t="s">
        <v>33</v>
      </c>
      <c r="E1308" t="s">
        <v>22</v>
      </c>
      <c r="F1308">
        <v>1</v>
      </c>
      <c r="G1308">
        <v>20</v>
      </c>
      <c r="H1308" t="s">
        <v>23</v>
      </c>
      <c r="I1308" t="s">
        <v>25</v>
      </c>
      <c r="J1308">
        <v>20</v>
      </c>
    </row>
    <row r="1309" spans="1:10" x14ac:dyDescent="0.3">
      <c r="A1309">
        <v>1327</v>
      </c>
      <c r="B1309" t="s">
        <v>24</v>
      </c>
      <c r="C1309" s="1">
        <v>45885</v>
      </c>
      <c r="D1309" t="s">
        <v>11</v>
      </c>
      <c r="E1309" t="s">
        <v>22</v>
      </c>
      <c r="F1309">
        <v>1</v>
      </c>
      <c r="G1309">
        <v>20</v>
      </c>
      <c r="H1309" t="s">
        <v>13</v>
      </c>
      <c r="I1309" t="s">
        <v>27</v>
      </c>
      <c r="J1309">
        <v>20</v>
      </c>
    </row>
    <row r="1310" spans="1:10" x14ac:dyDescent="0.3">
      <c r="A1310">
        <v>108</v>
      </c>
      <c r="B1310" t="s">
        <v>31</v>
      </c>
      <c r="C1310" s="1">
        <v>45882</v>
      </c>
      <c r="D1310" t="s">
        <v>11</v>
      </c>
      <c r="E1310" t="s">
        <v>29</v>
      </c>
      <c r="F1310">
        <v>2</v>
      </c>
      <c r="G1310">
        <v>30</v>
      </c>
      <c r="H1310" t="s">
        <v>21</v>
      </c>
      <c r="I1310" t="s">
        <v>25</v>
      </c>
      <c r="J1310">
        <v>60</v>
      </c>
    </row>
    <row r="1311" spans="1:10" x14ac:dyDescent="0.3">
      <c r="A1311">
        <v>559</v>
      </c>
      <c r="B1311" t="s">
        <v>19</v>
      </c>
      <c r="C1311" s="1">
        <v>45886</v>
      </c>
      <c r="D1311" t="s">
        <v>16</v>
      </c>
      <c r="E1311" t="s">
        <v>17</v>
      </c>
      <c r="F1311">
        <v>4</v>
      </c>
      <c r="G1311">
        <v>12</v>
      </c>
      <c r="H1311" t="s">
        <v>13</v>
      </c>
      <c r="I1311" t="s">
        <v>14</v>
      </c>
      <c r="J1311">
        <v>48</v>
      </c>
    </row>
    <row r="1312" spans="1:10" x14ac:dyDescent="0.3">
      <c r="A1312">
        <v>368</v>
      </c>
      <c r="B1312" t="s">
        <v>26</v>
      </c>
      <c r="C1312" s="1">
        <v>45908</v>
      </c>
      <c r="D1312" t="s">
        <v>33</v>
      </c>
      <c r="E1312" t="s">
        <v>12</v>
      </c>
      <c r="F1312">
        <v>5</v>
      </c>
      <c r="G1312">
        <v>25</v>
      </c>
      <c r="H1312" t="s">
        <v>13</v>
      </c>
      <c r="I1312" t="s">
        <v>14</v>
      </c>
      <c r="J1312">
        <v>125</v>
      </c>
    </row>
    <row r="1313" spans="1:10" x14ac:dyDescent="0.3">
      <c r="A1313">
        <v>1055</v>
      </c>
      <c r="B1313" t="s">
        <v>24</v>
      </c>
      <c r="C1313" s="1">
        <v>45909</v>
      </c>
      <c r="D1313" t="s">
        <v>11</v>
      </c>
      <c r="E1313" t="s">
        <v>30</v>
      </c>
      <c r="F1313">
        <v>1</v>
      </c>
      <c r="G1313">
        <v>8</v>
      </c>
      <c r="H1313" t="s">
        <v>13</v>
      </c>
      <c r="I1313" t="s">
        <v>18</v>
      </c>
      <c r="J1313">
        <v>8</v>
      </c>
    </row>
    <row r="1314" spans="1:10" x14ac:dyDescent="0.3">
      <c r="A1314">
        <v>417</v>
      </c>
      <c r="B1314" t="s">
        <v>15</v>
      </c>
      <c r="C1314" s="1">
        <v>45909</v>
      </c>
      <c r="D1314" t="s">
        <v>20</v>
      </c>
      <c r="E1314" t="s">
        <v>17</v>
      </c>
      <c r="F1314">
        <v>5</v>
      </c>
      <c r="G1314">
        <v>12</v>
      </c>
      <c r="H1314" t="s">
        <v>21</v>
      </c>
      <c r="I1314" t="s">
        <v>14</v>
      </c>
      <c r="J1314">
        <v>60</v>
      </c>
    </row>
    <row r="1315" spans="1:10" x14ac:dyDescent="0.3">
      <c r="A1315">
        <v>373</v>
      </c>
      <c r="B1315" t="s">
        <v>26</v>
      </c>
      <c r="C1315" s="1">
        <v>45913</v>
      </c>
      <c r="D1315" t="s">
        <v>16</v>
      </c>
      <c r="E1315" t="s">
        <v>30</v>
      </c>
      <c r="F1315">
        <v>3</v>
      </c>
      <c r="G1315">
        <v>8</v>
      </c>
      <c r="H1315" t="s">
        <v>23</v>
      </c>
      <c r="I1315" t="s">
        <v>27</v>
      </c>
      <c r="J1315">
        <v>24</v>
      </c>
    </row>
    <row r="1316" spans="1:10" x14ac:dyDescent="0.3">
      <c r="A1316">
        <v>1944</v>
      </c>
      <c r="B1316" t="s">
        <v>10</v>
      </c>
      <c r="C1316" s="1">
        <v>45850</v>
      </c>
      <c r="D1316" t="s">
        <v>20</v>
      </c>
      <c r="E1316" t="s">
        <v>17</v>
      </c>
      <c r="F1316">
        <v>2</v>
      </c>
      <c r="G1316">
        <v>12</v>
      </c>
      <c r="H1316" t="s">
        <v>23</v>
      </c>
      <c r="I1316" t="s">
        <v>27</v>
      </c>
      <c r="J1316">
        <v>24</v>
      </c>
    </row>
    <row r="1317" spans="1:10" x14ac:dyDescent="0.3">
      <c r="A1317">
        <v>247</v>
      </c>
      <c r="B1317" t="s">
        <v>24</v>
      </c>
      <c r="C1317" s="1">
        <v>45850</v>
      </c>
      <c r="D1317" t="s">
        <v>33</v>
      </c>
      <c r="E1317" t="s">
        <v>17</v>
      </c>
      <c r="F1317">
        <v>5</v>
      </c>
      <c r="G1317">
        <v>12</v>
      </c>
      <c r="H1317" t="s">
        <v>13</v>
      </c>
      <c r="I1317" t="s">
        <v>27</v>
      </c>
      <c r="J1317">
        <v>60</v>
      </c>
    </row>
    <row r="1318" spans="1:10" x14ac:dyDescent="0.3">
      <c r="A1318">
        <v>1511</v>
      </c>
      <c r="B1318" t="s">
        <v>28</v>
      </c>
      <c r="C1318" s="1">
        <v>45885</v>
      </c>
      <c r="D1318" t="s">
        <v>20</v>
      </c>
      <c r="E1318" t="s">
        <v>17</v>
      </c>
      <c r="F1318">
        <v>3</v>
      </c>
      <c r="G1318">
        <v>12</v>
      </c>
      <c r="H1318" t="s">
        <v>23</v>
      </c>
      <c r="I1318" t="s">
        <v>25</v>
      </c>
      <c r="J1318">
        <v>36</v>
      </c>
    </row>
    <row r="1319" spans="1:10" x14ac:dyDescent="0.3">
      <c r="A1319">
        <v>731</v>
      </c>
      <c r="B1319" t="s">
        <v>32</v>
      </c>
      <c r="C1319" s="1">
        <v>45850</v>
      </c>
      <c r="D1319" t="s">
        <v>11</v>
      </c>
      <c r="E1319" t="s">
        <v>30</v>
      </c>
      <c r="F1319">
        <v>4</v>
      </c>
      <c r="G1319">
        <v>8</v>
      </c>
      <c r="H1319" t="s">
        <v>13</v>
      </c>
      <c r="I1319" t="s">
        <v>18</v>
      </c>
      <c r="J1319">
        <v>32</v>
      </c>
    </row>
    <row r="1320" spans="1:10" x14ac:dyDescent="0.3">
      <c r="A1320">
        <v>1423</v>
      </c>
      <c r="B1320" t="s">
        <v>32</v>
      </c>
      <c r="C1320" s="1">
        <v>45912</v>
      </c>
      <c r="D1320" t="s">
        <v>11</v>
      </c>
      <c r="E1320" t="s">
        <v>30</v>
      </c>
      <c r="F1320">
        <v>5</v>
      </c>
      <c r="G1320">
        <v>8</v>
      </c>
      <c r="H1320" t="s">
        <v>21</v>
      </c>
      <c r="I1320" t="s">
        <v>27</v>
      </c>
      <c r="J1320">
        <v>40</v>
      </c>
    </row>
    <row r="1321" spans="1:10" x14ac:dyDescent="0.3">
      <c r="A1321">
        <v>619</v>
      </c>
      <c r="B1321" t="s">
        <v>28</v>
      </c>
      <c r="C1321" s="1">
        <v>45844</v>
      </c>
      <c r="D1321" t="s">
        <v>11</v>
      </c>
      <c r="E1321" t="s">
        <v>22</v>
      </c>
      <c r="F1321">
        <v>1</v>
      </c>
      <c r="G1321">
        <v>20</v>
      </c>
      <c r="H1321" t="s">
        <v>23</v>
      </c>
      <c r="I1321" t="s">
        <v>14</v>
      </c>
      <c r="J1321">
        <v>20</v>
      </c>
    </row>
    <row r="1322" spans="1:10" x14ac:dyDescent="0.3">
      <c r="A1322">
        <v>218</v>
      </c>
      <c r="B1322" t="s">
        <v>15</v>
      </c>
      <c r="C1322" s="1">
        <v>45910</v>
      </c>
      <c r="D1322" t="s">
        <v>33</v>
      </c>
      <c r="E1322" t="s">
        <v>17</v>
      </c>
      <c r="F1322">
        <v>3</v>
      </c>
      <c r="G1322">
        <v>12</v>
      </c>
      <c r="H1322" t="s">
        <v>13</v>
      </c>
      <c r="I1322" t="s">
        <v>25</v>
      </c>
      <c r="J1322">
        <v>36</v>
      </c>
    </row>
    <row r="1323" spans="1:10" x14ac:dyDescent="0.3">
      <c r="A1323">
        <v>57</v>
      </c>
      <c r="B1323" t="s">
        <v>19</v>
      </c>
      <c r="C1323" s="1">
        <v>45873</v>
      </c>
      <c r="D1323" t="s">
        <v>20</v>
      </c>
      <c r="E1323" t="s">
        <v>17</v>
      </c>
      <c r="F1323">
        <v>3</v>
      </c>
      <c r="G1323">
        <v>12</v>
      </c>
      <c r="H1323" t="s">
        <v>23</v>
      </c>
      <c r="I1323" t="s">
        <v>27</v>
      </c>
      <c r="J1323">
        <v>36</v>
      </c>
    </row>
    <row r="1324" spans="1:10" x14ac:dyDescent="0.3">
      <c r="A1324">
        <v>1534</v>
      </c>
      <c r="B1324" t="s">
        <v>15</v>
      </c>
      <c r="C1324" s="1">
        <v>45891</v>
      </c>
      <c r="D1324" t="s">
        <v>20</v>
      </c>
      <c r="E1324" t="s">
        <v>17</v>
      </c>
      <c r="F1324">
        <v>2</v>
      </c>
      <c r="G1324">
        <v>12</v>
      </c>
      <c r="H1324" t="s">
        <v>13</v>
      </c>
      <c r="I1324" t="s">
        <v>18</v>
      </c>
      <c r="J1324">
        <v>24</v>
      </c>
    </row>
    <row r="1325" spans="1:10" x14ac:dyDescent="0.3">
      <c r="A1325">
        <v>1746</v>
      </c>
      <c r="B1325" t="s">
        <v>26</v>
      </c>
      <c r="C1325" s="1">
        <v>45877</v>
      </c>
      <c r="D1325" t="s">
        <v>11</v>
      </c>
      <c r="E1325" t="s">
        <v>17</v>
      </c>
      <c r="F1325">
        <v>3</v>
      </c>
      <c r="G1325">
        <v>12</v>
      </c>
      <c r="H1325" t="s">
        <v>23</v>
      </c>
      <c r="I1325" t="s">
        <v>25</v>
      </c>
      <c r="J1325">
        <v>36</v>
      </c>
    </row>
    <row r="1326" spans="1:10" x14ac:dyDescent="0.3">
      <c r="A1326">
        <v>459</v>
      </c>
      <c r="B1326" t="s">
        <v>32</v>
      </c>
      <c r="C1326" s="1">
        <v>45862</v>
      </c>
      <c r="D1326" t="s">
        <v>33</v>
      </c>
      <c r="E1326" t="s">
        <v>17</v>
      </c>
      <c r="F1326">
        <v>5</v>
      </c>
      <c r="G1326">
        <v>12</v>
      </c>
      <c r="H1326" t="s">
        <v>21</v>
      </c>
      <c r="I1326" t="s">
        <v>18</v>
      </c>
      <c r="J1326">
        <v>60</v>
      </c>
    </row>
    <row r="1327" spans="1:10" x14ac:dyDescent="0.3">
      <c r="A1327">
        <v>1386</v>
      </c>
      <c r="B1327" t="s">
        <v>31</v>
      </c>
      <c r="C1327" s="1">
        <v>45862</v>
      </c>
      <c r="D1327" t="s">
        <v>20</v>
      </c>
      <c r="E1327" t="s">
        <v>22</v>
      </c>
      <c r="F1327">
        <v>2</v>
      </c>
      <c r="G1327">
        <v>20</v>
      </c>
      <c r="H1327" t="s">
        <v>21</v>
      </c>
      <c r="I1327" t="s">
        <v>14</v>
      </c>
      <c r="J1327">
        <v>40</v>
      </c>
    </row>
    <row r="1328" spans="1:10" x14ac:dyDescent="0.3">
      <c r="A1328">
        <v>584</v>
      </c>
      <c r="B1328" t="s">
        <v>26</v>
      </c>
      <c r="C1328" s="1">
        <v>45903</v>
      </c>
      <c r="D1328" t="s">
        <v>20</v>
      </c>
      <c r="E1328" t="s">
        <v>17</v>
      </c>
      <c r="F1328">
        <v>4</v>
      </c>
      <c r="G1328">
        <v>12</v>
      </c>
      <c r="H1328" t="s">
        <v>13</v>
      </c>
      <c r="I1328" t="s">
        <v>25</v>
      </c>
      <c r="J1328">
        <v>48</v>
      </c>
    </row>
    <row r="1329" spans="1:10" x14ac:dyDescent="0.3">
      <c r="A1329">
        <v>1284</v>
      </c>
      <c r="B1329" t="s">
        <v>24</v>
      </c>
      <c r="C1329" s="1">
        <v>45914</v>
      </c>
      <c r="D1329" t="s">
        <v>20</v>
      </c>
      <c r="E1329" t="s">
        <v>22</v>
      </c>
      <c r="F1329">
        <v>4</v>
      </c>
      <c r="G1329">
        <v>20</v>
      </c>
      <c r="H1329" t="s">
        <v>21</v>
      </c>
      <c r="I1329" t="s">
        <v>18</v>
      </c>
      <c r="J1329">
        <v>80</v>
      </c>
    </row>
    <row r="1330" spans="1:10" x14ac:dyDescent="0.3">
      <c r="A1330">
        <v>511</v>
      </c>
      <c r="B1330" t="s">
        <v>24</v>
      </c>
      <c r="C1330" s="1">
        <v>45866</v>
      </c>
      <c r="D1330" t="s">
        <v>16</v>
      </c>
      <c r="E1330" t="s">
        <v>17</v>
      </c>
      <c r="F1330">
        <v>1</v>
      </c>
      <c r="G1330">
        <v>12</v>
      </c>
      <c r="H1330" t="s">
        <v>13</v>
      </c>
      <c r="I1330" t="s">
        <v>18</v>
      </c>
      <c r="J1330">
        <v>12</v>
      </c>
    </row>
    <row r="1331" spans="1:10" x14ac:dyDescent="0.3">
      <c r="A1331">
        <v>701</v>
      </c>
      <c r="B1331" t="s">
        <v>26</v>
      </c>
      <c r="C1331" s="1">
        <v>45899</v>
      </c>
      <c r="D1331" t="s">
        <v>33</v>
      </c>
      <c r="E1331" t="s">
        <v>12</v>
      </c>
      <c r="F1331">
        <v>3</v>
      </c>
      <c r="G1331">
        <v>25</v>
      </c>
      <c r="H1331" t="s">
        <v>13</v>
      </c>
      <c r="I1331" t="s">
        <v>14</v>
      </c>
      <c r="J1331">
        <v>75</v>
      </c>
    </row>
    <row r="1332" spans="1:10" x14ac:dyDescent="0.3">
      <c r="A1332">
        <v>170</v>
      </c>
      <c r="B1332" t="s">
        <v>10</v>
      </c>
      <c r="C1332" s="1">
        <v>45854</v>
      </c>
      <c r="D1332" t="s">
        <v>16</v>
      </c>
      <c r="E1332" t="s">
        <v>17</v>
      </c>
      <c r="F1332">
        <v>3</v>
      </c>
      <c r="G1332">
        <v>12</v>
      </c>
      <c r="H1332" t="s">
        <v>21</v>
      </c>
      <c r="I1332" t="s">
        <v>27</v>
      </c>
      <c r="J1332">
        <v>36</v>
      </c>
    </row>
    <row r="1333" spans="1:10" x14ac:dyDescent="0.3">
      <c r="A1333">
        <v>581</v>
      </c>
      <c r="B1333" t="s">
        <v>10</v>
      </c>
      <c r="C1333" s="1">
        <v>45851</v>
      </c>
      <c r="D1333" t="s">
        <v>20</v>
      </c>
      <c r="E1333" t="s">
        <v>17</v>
      </c>
      <c r="F1333">
        <v>2</v>
      </c>
      <c r="G1333">
        <v>12</v>
      </c>
      <c r="H1333" t="s">
        <v>23</v>
      </c>
      <c r="I1333" t="s">
        <v>27</v>
      </c>
      <c r="J1333">
        <v>24</v>
      </c>
    </row>
    <row r="1334" spans="1:10" x14ac:dyDescent="0.3">
      <c r="A1334">
        <v>1935</v>
      </c>
      <c r="B1334" t="s">
        <v>28</v>
      </c>
      <c r="C1334" s="1">
        <v>45843</v>
      </c>
      <c r="D1334" t="s">
        <v>33</v>
      </c>
      <c r="E1334" t="s">
        <v>17</v>
      </c>
      <c r="F1334">
        <v>4</v>
      </c>
      <c r="G1334">
        <v>12</v>
      </c>
      <c r="H1334" t="s">
        <v>21</v>
      </c>
      <c r="I1334" t="s">
        <v>27</v>
      </c>
      <c r="J1334">
        <v>48</v>
      </c>
    </row>
    <row r="1335" spans="1:10" x14ac:dyDescent="0.3">
      <c r="A1335">
        <v>1278</v>
      </c>
      <c r="B1335" t="s">
        <v>28</v>
      </c>
      <c r="C1335" s="1">
        <v>45903</v>
      </c>
      <c r="D1335" t="s">
        <v>16</v>
      </c>
      <c r="E1335" t="s">
        <v>17</v>
      </c>
      <c r="F1335">
        <v>2</v>
      </c>
      <c r="G1335">
        <v>12</v>
      </c>
      <c r="H1335" t="s">
        <v>13</v>
      </c>
      <c r="I1335" t="s">
        <v>18</v>
      </c>
      <c r="J1335">
        <v>24</v>
      </c>
    </row>
    <row r="1336" spans="1:10" x14ac:dyDescent="0.3">
      <c r="A1336">
        <v>574</v>
      </c>
      <c r="B1336" t="s">
        <v>26</v>
      </c>
      <c r="C1336" s="1">
        <v>45901</v>
      </c>
      <c r="D1336" t="s">
        <v>33</v>
      </c>
      <c r="E1336" t="s">
        <v>17</v>
      </c>
      <c r="F1336">
        <v>3</v>
      </c>
      <c r="G1336">
        <v>12</v>
      </c>
      <c r="H1336" t="s">
        <v>23</v>
      </c>
      <c r="I1336" t="s">
        <v>18</v>
      </c>
      <c r="J1336">
        <v>36</v>
      </c>
    </row>
    <row r="1337" spans="1:10" x14ac:dyDescent="0.3">
      <c r="A1337">
        <v>40</v>
      </c>
      <c r="B1337" t="s">
        <v>32</v>
      </c>
      <c r="C1337" s="1">
        <v>45839</v>
      </c>
      <c r="D1337" t="s">
        <v>11</v>
      </c>
      <c r="E1337" t="s">
        <v>17</v>
      </c>
      <c r="F1337">
        <v>5</v>
      </c>
      <c r="G1337">
        <v>12</v>
      </c>
      <c r="H1337" t="s">
        <v>21</v>
      </c>
      <c r="I1337" t="s">
        <v>14</v>
      </c>
      <c r="J1337">
        <v>60</v>
      </c>
    </row>
    <row r="1338" spans="1:10" x14ac:dyDescent="0.3">
      <c r="A1338">
        <v>664</v>
      </c>
      <c r="B1338" t="s">
        <v>10</v>
      </c>
      <c r="C1338" s="1">
        <v>45864</v>
      </c>
      <c r="D1338" t="s">
        <v>11</v>
      </c>
      <c r="E1338" t="s">
        <v>30</v>
      </c>
      <c r="F1338">
        <v>5</v>
      </c>
      <c r="G1338">
        <v>8</v>
      </c>
      <c r="H1338" t="s">
        <v>21</v>
      </c>
      <c r="I1338" t="s">
        <v>25</v>
      </c>
      <c r="J1338">
        <v>40</v>
      </c>
    </row>
    <row r="1339" spans="1:10" x14ac:dyDescent="0.3">
      <c r="A1339">
        <v>339</v>
      </c>
      <c r="B1339" t="s">
        <v>31</v>
      </c>
      <c r="C1339" s="1">
        <v>45865</v>
      </c>
      <c r="D1339" t="s">
        <v>16</v>
      </c>
      <c r="E1339" t="s">
        <v>17</v>
      </c>
      <c r="F1339">
        <v>2</v>
      </c>
      <c r="G1339">
        <v>12</v>
      </c>
      <c r="H1339" t="s">
        <v>13</v>
      </c>
      <c r="I1339" t="s">
        <v>14</v>
      </c>
      <c r="J1339">
        <v>24</v>
      </c>
    </row>
    <row r="1340" spans="1:10" x14ac:dyDescent="0.3">
      <c r="A1340">
        <v>1118</v>
      </c>
      <c r="B1340" t="s">
        <v>15</v>
      </c>
      <c r="C1340" s="1">
        <v>45917</v>
      </c>
      <c r="D1340" t="s">
        <v>20</v>
      </c>
      <c r="E1340" t="s">
        <v>17</v>
      </c>
      <c r="F1340">
        <v>1</v>
      </c>
      <c r="G1340">
        <v>12</v>
      </c>
      <c r="H1340" t="s">
        <v>13</v>
      </c>
      <c r="I1340" t="s">
        <v>27</v>
      </c>
      <c r="J1340">
        <v>12</v>
      </c>
    </row>
    <row r="1341" spans="1:10" x14ac:dyDescent="0.3">
      <c r="A1341">
        <v>933</v>
      </c>
      <c r="B1341" t="s">
        <v>24</v>
      </c>
      <c r="C1341" s="1">
        <v>45912</v>
      </c>
      <c r="D1341" t="s">
        <v>33</v>
      </c>
      <c r="E1341" t="s">
        <v>17</v>
      </c>
      <c r="F1341">
        <v>5</v>
      </c>
      <c r="G1341">
        <v>12</v>
      </c>
      <c r="H1341" t="s">
        <v>13</v>
      </c>
      <c r="I1341" t="s">
        <v>27</v>
      </c>
      <c r="J1341">
        <v>60</v>
      </c>
    </row>
    <row r="1342" spans="1:10" x14ac:dyDescent="0.3">
      <c r="A1342">
        <v>521</v>
      </c>
      <c r="B1342" t="s">
        <v>19</v>
      </c>
      <c r="C1342" s="1">
        <v>45924</v>
      </c>
      <c r="D1342" t="s">
        <v>33</v>
      </c>
      <c r="E1342" t="s">
        <v>30</v>
      </c>
      <c r="F1342">
        <v>4</v>
      </c>
      <c r="G1342">
        <v>8</v>
      </c>
      <c r="H1342" t="s">
        <v>23</v>
      </c>
      <c r="I1342" t="s">
        <v>14</v>
      </c>
      <c r="J1342">
        <v>32</v>
      </c>
    </row>
    <row r="1343" spans="1:10" x14ac:dyDescent="0.3">
      <c r="A1343">
        <v>72</v>
      </c>
      <c r="B1343" t="s">
        <v>26</v>
      </c>
      <c r="C1343" s="1">
        <v>45910</v>
      </c>
      <c r="D1343" t="s">
        <v>11</v>
      </c>
      <c r="E1343" t="s">
        <v>12</v>
      </c>
      <c r="F1343">
        <v>4</v>
      </c>
      <c r="G1343">
        <v>25</v>
      </c>
      <c r="H1343" t="s">
        <v>23</v>
      </c>
      <c r="I1343" t="s">
        <v>14</v>
      </c>
      <c r="J1343">
        <v>100</v>
      </c>
    </row>
    <row r="1344" spans="1:10" x14ac:dyDescent="0.3">
      <c r="A1344">
        <v>1932</v>
      </c>
      <c r="B1344" t="s">
        <v>31</v>
      </c>
      <c r="C1344" s="1">
        <v>45892</v>
      </c>
      <c r="D1344" t="s">
        <v>33</v>
      </c>
      <c r="E1344" t="s">
        <v>17</v>
      </c>
      <c r="F1344">
        <v>1</v>
      </c>
      <c r="G1344">
        <v>12</v>
      </c>
      <c r="H1344" t="s">
        <v>23</v>
      </c>
      <c r="I1344" t="s">
        <v>25</v>
      </c>
      <c r="J1344">
        <v>12</v>
      </c>
    </row>
    <row r="1345" spans="1:10" x14ac:dyDescent="0.3">
      <c r="A1345">
        <v>382</v>
      </c>
      <c r="B1345" t="s">
        <v>10</v>
      </c>
      <c r="C1345" s="1">
        <v>45844</v>
      </c>
      <c r="D1345" t="s">
        <v>33</v>
      </c>
      <c r="E1345" t="s">
        <v>22</v>
      </c>
      <c r="F1345">
        <v>3</v>
      </c>
      <c r="G1345">
        <v>20</v>
      </c>
      <c r="H1345" t="s">
        <v>21</v>
      </c>
      <c r="I1345" t="s">
        <v>18</v>
      </c>
      <c r="J1345">
        <v>60</v>
      </c>
    </row>
    <row r="1346" spans="1:10" x14ac:dyDescent="0.3">
      <c r="A1346">
        <v>1886</v>
      </c>
      <c r="B1346" t="s">
        <v>10</v>
      </c>
      <c r="C1346" s="1">
        <v>45845</v>
      </c>
      <c r="D1346" t="s">
        <v>20</v>
      </c>
      <c r="E1346" t="s">
        <v>29</v>
      </c>
      <c r="F1346">
        <v>4</v>
      </c>
      <c r="G1346">
        <v>30</v>
      </c>
      <c r="H1346" t="s">
        <v>21</v>
      </c>
      <c r="I1346" t="s">
        <v>25</v>
      </c>
      <c r="J1346">
        <v>120</v>
      </c>
    </row>
    <row r="1347" spans="1:10" x14ac:dyDescent="0.3">
      <c r="A1347">
        <v>347</v>
      </c>
      <c r="B1347" t="s">
        <v>32</v>
      </c>
      <c r="C1347" s="1">
        <v>45864</v>
      </c>
      <c r="D1347" t="s">
        <v>11</v>
      </c>
      <c r="E1347" t="s">
        <v>30</v>
      </c>
      <c r="F1347">
        <v>5</v>
      </c>
      <c r="G1347">
        <v>8</v>
      </c>
      <c r="H1347" t="s">
        <v>23</v>
      </c>
      <c r="I1347" t="s">
        <v>18</v>
      </c>
      <c r="J1347">
        <v>40</v>
      </c>
    </row>
    <row r="1348" spans="1:10" x14ac:dyDescent="0.3">
      <c r="A1348">
        <v>575</v>
      </c>
      <c r="B1348" t="s">
        <v>28</v>
      </c>
      <c r="C1348" s="1">
        <v>45871</v>
      </c>
      <c r="D1348" t="s">
        <v>33</v>
      </c>
      <c r="E1348" t="s">
        <v>17</v>
      </c>
      <c r="F1348">
        <v>4</v>
      </c>
      <c r="G1348">
        <v>12</v>
      </c>
      <c r="H1348" t="s">
        <v>23</v>
      </c>
      <c r="I1348" t="s">
        <v>14</v>
      </c>
      <c r="J1348">
        <v>48</v>
      </c>
    </row>
    <row r="1349" spans="1:10" x14ac:dyDescent="0.3">
      <c r="A1349">
        <v>1474</v>
      </c>
      <c r="B1349" t="s">
        <v>26</v>
      </c>
      <c r="C1349" s="1">
        <v>45880</v>
      </c>
      <c r="D1349" t="s">
        <v>16</v>
      </c>
      <c r="E1349" t="s">
        <v>30</v>
      </c>
      <c r="F1349">
        <v>4</v>
      </c>
      <c r="G1349">
        <v>8</v>
      </c>
      <c r="H1349" t="s">
        <v>21</v>
      </c>
      <c r="I1349" t="s">
        <v>18</v>
      </c>
      <c r="J1349">
        <v>32</v>
      </c>
    </row>
    <row r="1350" spans="1:10" x14ac:dyDescent="0.3">
      <c r="A1350">
        <v>475</v>
      </c>
      <c r="B1350" t="s">
        <v>32</v>
      </c>
      <c r="C1350" s="1">
        <v>45863</v>
      </c>
      <c r="D1350" t="s">
        <v>16</v>
      </c>
      <c r="E1350" t="s">
        <v>12</v>
      </c>
      <c r="F1350">
        <v>3</v>
      </c>
      <c r="G1350">
        <v>25</v>
      </c>
      <c r="H1350" t="s">
        <v>21</v>
      </c>
      <c r="I1350" t="s">
        <v>25</v>
      </c>
      <c r="J1350">
        <v>75</v>
      </c>
    </row>
    <row r="1351" spans="1:10" x14ac:dyDescent="0.3">
      <c r="A1351">
        <v>601</v>
      </c>
      <c r="B1351" t="s">
        <v>15</v>
      </c>
      <c r="C1351" s="1">
        <v>45872</v>
      </c>
      <c r="D1351" t="s">
        <v>20</v>
      </c>
      <c r="E1351" t="s">
        <v>12</v>
      </c>
      <c r="F1351">
        <v>2</v>
      </c>
      <c r="G1351">
        <v>25</v>
      </c>
      <c r="H1351" t="s">
        <v>21</v>
      </c>
      <c r="I1351" t="s">
        <v>14</v>
      </c>
      <c r="J1351">
        <v>50</v>
      </c>
    </row>
    <row r="1352" spans="1:10" x14ac:dyDescent="0.3">
      <c r="A1352">
        <v>311</v>
      </c>
      <c r="B1352" t="s">
        <v>19</v>
      </c>
      <c r="C1352" s="1">
        <v>45845</v>
      </c>
      <c r="D1352" t="s">
        <v>20</v>
      </c>
      <c r="E1352" t="s">
        <v>12</v>
      </c>
      <c r="F1352">
        <v>4</v>
      </c>
      <c r="G1352">
        <v>25</v>
      </c>
      <c r="H1352" t="s">
        <v>21</v>
      </c>
      <c r="I1352" t="s">
        <v>25</v>
      </c>
      <c r="J1352">
        <v>100</v>
      </c>
    </row>
    <row r="1353" spans="1:10" x14ac:dyDescent="0.3">
      <c r="A1353">
        <v>1486</v>
      </c>
      <c r="B1353" t="s">
        <v>28</v>
      </c>
      <c r="C1353" s="1">
        <v>45879</v>
      </c>
      <c r="D1353" t="s">
        <v>33</v>
      </c>
      <c r="E1353" t="s">
        <v>12</v>
      </c>
      <c r="F1353">
        <v>3</v>
      </c>
      <c r="G1353">
        <v>25</v>
      </c>
      <c r="H1353" t="s">
        <v>13</v>
      </c>
      <c r="I1353" t="s">
        <v>14</v>
      </c>
      <c r="J1353">
        <v>75</v>
      </c>
    </row>
    <row r="1354" spans="1:10" x14ac:dyDescent="0.3">
      <c r="A1354">
        <v>1521</v>
      </c>
      <c r="B1354" t="s">
        <v>10</v>
      </c>
      <c r="C1354" s="1">
        <v>45890</v>
      </c>
      <c r="D1354" t="s">
        <v>11</v>
      </c>
      <c r="E1354" t="s">
        <v>17</v>
      </c>
      <c r="F1354">
        <v>4</v>
      </c>
      <c r="G1354">
        <v>12</v>
      </c>
      <c r="H1354" t="s">
        <v>13</v>
      </c>
      <c r="I1354" t="s">
        <v>25</v>
      </c>
      <c r="J1354">
        <v>48</v>
      </c>
    </row>
    <row r="1355" spans="1:10" x14ac:dyDescent="0.3">
      <c r="A1355">
        <v>323</v>
      </c>
      <c r="B1355" t="s">
        <v>31</v>
      </c>
      <c r="C1355" s="1">
        <v>45927</v>
      </c>
      <c r="D1355" t="s">
        <v>20</v>
      </c>
      <c r="E1355" t="s">
        <v>12</v>
      </c>
      <c r="F1355">
        <v>4</v>
      </c>
      <c r="G1355">
        <v>25</v>
      </c>
      <c r="H1355" t="s">
        <v>21</v>
      </c>
      <c r="I1355" t="s">
        <v>27</v>
      </c>
      <c r="J1355">
        <v>100</v>
      </c>
    </row>
    <row r="1356" spans="1:10" x14ac:dyDescent="0.3">
      <c r="A1356">
        <v>146</v>
      </c>
      <c r="B1356" t="s">
        <v>28</v>
      </c>
      <c r="C1356" s="1">
        <v>45920</v>
      </c>
      <c r="D1356" t="s">
        <v>16</v>
      </c>
      <c r="E1356" t="s">
        <v>22</v>
      </c>
      <c r="F1356">
        <v>5</v>
      </c>
      <c r="G1356">
        <v>20</v>
      </c>
      <c r="H1356" t="s">
        <v>23</v>
      </c>
      <c r="I1356" t="s">
        <v>18</v>
      </c>
      <c r="J1356">
        <v>100</v>
      </c>
    </row>
    <row r="1357" spans="1:10" x14ac:dyDescent="0.3">
      <c r="A1357">
        <v>653</v>
      </c>
      <c r="B1357" t="s">
        <v>28</v>
      </c>
      <c r="C1357" s="1">
        <v>45903</v>
      </c>
      <c r="D1357" t="s">
        <v>16</v>
      </c>
      <c r="E1357" t="s">
        <v>17</v>
      </c>
      <c r="F1357">
        <v>3</v>
      </c>
      <c r="G1357">
        <v>12</v>
      </c>
      <c r="H1357" t="s">
        <v>23</v>
      </c>
      <c r="I1357" t="s">
        <v>25</v>
      </c>
      <c r="J1357">
        <v>36</v>
      </c>
    </row>
    <row r="1358" spans="1:10" x14ac:dyDescent="0.3">
      <c r="A1358">
        <v>682</v>
      </c>
      <c r="B1358" t="s">
        <v>15</v>
      </c>
      <c r="C1358" s="1">
        <v>45872</v>
      </c>
      <c r="D1358" t="s">
        <v>11</v>
      </c>
      <c r="E1358" t="s">
        <v>22</v>
      </c>
      <c r="F1358">
        <v>2</v>
      </c>
      <c r="G1358">
        <v>20</v>
      </c>
      <c r="H1358" t="s">
        <v>13</v>
      </c>
      <c r="I1358" t="s">
        <v>25</v>
      </c>
      <c r="J1358">
        <v>40</v>
      </c>
    </row>
    <row r="1359" spans="1:10" x14ac:dyDescent="0.3">
      <c r="A1359">
        <v>343</v>
      </c>
      <c r="B1359" t="s">
        <v>32</v>
      </c>
      <c r="C1359" s="1">
        <v>45852</v>
      </c>
      <c r="D1359" t="s">
        <v>33</v>
      </c>
      <c r="E1359" t="s">
        <v>17</v>
      </c>
      <c r="F1359">
        <v>1</v>
      </c>
      <c r="G1359">
        <v>12</v>
      </c>
      <c r="H1359" t="s">
        <v>23</v>
      </c>
      <c r="I1359" t="s">
        <v>25</v>
      </c>
      <c r="J1359">
        <v>12</v>
      </c>
    </row>
    <row r="1360" spans="1:10" x14ac:dyDescent="0.3">
      <c r="A1360">
        <v>707</v>
      </c>
      <c r="B1360" t="s">
        <v>31</v>
      </c>
      <c r="C1360" s="1">
        <v>45867</v>
      </c>
      <c r="D1360" t="s">
        <v>33</v>
      </c>
      <c r="E1360" t="s">
        <v>17</v>
      </c>
      <c r="F1360">
        <v>2</v>
      </c>
      <c r="G1360">
        <v>12</v>
      </c>
      <c r="H1360" t="s">
        <v>13</v>
      </c>
      <c r="I1360" t="s">
        <v>14</v>
      </c>
      <c r="J1360">
        <v>24</v>
      </c>
    </row>
    <row r="1361" spans="1:10" x14ac:dyDescent="0.3">
      <c r="A1361">
        <v>415</v>
      </c>
      <c r="B1361" t="s">
        <v>32</v>
      </c>
      <c r="C1361" s="1">
        <v>45909</v>
      </c>
      <c r="D1361" t="s">
        <v>20</v>
      </c>
      <c r="E1361" t="s">
        <v>12</v>
      </c>
      <c r="F1361">
        <v>3</v>
      </c>
      <c r="G1361">
        <v>25</v>
      </c>
      <c r="H1361" t="s">
        <v>13</v>
      </c>
      <c r="I1361" t="s">
        <v>25</v>
      </c>
      <c r="J1361">
        <v>75</v>
      </c>
    </row>
    <row r="1362" spans="1:10" x14ac:dyDescent="0.3">
      <c r="A1362">
        <v>1767</v>
      </c>
      <c r="B1362" t="s">
        <v>10</v>
      </c>
      <c r="C1362" s="1">
        <v>45872</v>
      </c>
      <c r="D1362" t="s">
        <v>16</v>
      </c>
      <c r="E1362" t="s">
        <v>12</v>
      </c>
      <c r="F1362">
        <v>4</v>
      </c>
      <c r="G1362">
        <v>25</v>
      </c>
      <c r="H1362" t="s">
        <v>13</v>
      </c>
      <c r="I1362" t="s">
        <v>14</v>
      </c>
      <c r="J1362">
        <v>100</v>
      </c>
    </row>
    <row r="1363" spans="1:10" x14ac:dyDescent="0.3">
      <c r="A1363">
        <v>662</v>
      </c>
      <c r="B1363" t="s">
        <v>32</v>
      </c>
      <c r="C1363" s="1">
        <v>45900</v>
      </c>
      <c r="D1363" t="s">
        <v>20</v>
      </c>
      <c r="E1363" t="s">
        <v>22</v>
      </c>
      <c r="F1363">
        <v>1</v>
      </c>
      <c r="G1363">
        <v>20</v>
      </c>
      <c r="H1363" t="s">
        <v>23</v>
      </c>
      <c r="I1363" t="s">
        <v>25</v>
      </c>
      <c r="J1363">
        <v>20</v>
      </c>
    </row>
    <row r="1364" spans="1:10" x14ac:dyDescent="0.3">
      <c r="A1364">
        <v>1281</v>
      </c>
      <c r="B1364" t="s">
        <v>26</v>
      </c>
      <c r="C1364" s="1">
        <v>45881</v>
      </c>
      <c r="D1364" t="s">
        <v>16</v>
      </c>
      <c r="E1364" t="s">
        <v>17</v>
      </c>
      <c r="F1364">
        <v>3</v>
      </c>
      <c r="G1364">
        <v>12</v>
      </c>
      <c r="H1364" t="s">
        <v>13</v>
      </c>
      <c r="I1364" t="s">
        <v>14</v>
      </c>
      <c r="J1364">
        <v>36</v>
      </c>
    </row>
    <row r="1365" spans="1:10" x14ac:dyDescent="0.3">
      <c r="A1365">
        <v>972</v>
      </c>
      <c r="B1365" t="s">
        <v>28</v>
      </c>
      <c r="C1365" s="1">
        <v>45920</v>
      </c>
      <c r="D1365" t="s">
        <v>20</v>
      </c>
      <c r="E1365" t="s">
        <v>17</v>
      </c>
      <c r="F1365">
        <v>4</v>
      </c>
      <c r="G1365">
        <v>12</v>
      </c>
      <c r="H1365" t="s">
        <v>21</v>
      </c>
      <c r="I1365" t="s">
        <v>14</v>
      </c>
      <c r="J1365">
        <v>48</v>
      </c>
    </row>
    <row r="1366" spans="1:10" x14ac:dyDescent="0.3">
      <c r="A1366">
        <v>1029</v>
      </c>
      <c r="B1366" t="s">
        <v>15</v>
      </c>
      <c r="C1366" s="1">
        <v>45882</v>
      </c>
      <c r="D1366" t="s">
        <v>11</v>
      </c>
      <c r="E1366" t="s">
        <v>30</v>
      </c>
      <c r="F1366">
        <v>1</v>
      </c>
      <c r="G1366">
        <v>8</v>
      </c>
      <c r="H1366" t="s">
        <v>13</v>
      </c>
      <c r="I1366" t="s">
        <v>27</v>
      </c>
      <c r="J1366">
        <v>8</v>
      </c>
    </row>
    <row r="1367" spans="1:10" x14ac:dyDescent="0.3">
      <c r="A1367">
        <v>1844</v>
      </c>
      <c r="B1367" t="s">
        <v>32</v>
      </c>
      <c r="C1367" s="1">
        <v>45850</v>
      </c>
      <c r="D1367" t="s">
        <v>20</v>
      </c>
      <c r="E1367" t="s">
        <v>17</v>
      </c>
      <c r="F1367">
        <v>4</v>
      </c>
      <c r="G1367">
        <v>12</v>
      </c>
      <c r="H1367" t="s">
        <v>23</v>
      </c>
      <c r="I1367" t="s">
        <v>14</v>
      </c>
      <c r="J1367">
        <v>48</v>
      </c>
    </row>
    <row r="1368" spans="1:10" x14ac:dyDescent="0.3">
      <c r="A1368">
        <v>1904</v>
      </c>
      <c r="B1368" t="s">
        <v>15</v>
      </c>
      <c r="C1368" s="1">
        <v>45874</v>
      </c>
      <c r="D1368" t="s">
        <v>33</v>
      </c>
      <c r="E1368" t="s">
        <v>17</v>
      </c>
      <c r="F1368">
        <v>3</v>
      </c>
      <c r="G1368">
        <v>12</v>
      </c>
      <c r="H1368" t="s">
        <v>23</v>
      </c>
      <c r="I1368" t="s">
        <v>14</v>
      </c>
      <c r="J1368">
        <v>36</v>
      </c>
    </row>
    <row r="1369" spans="1:10" x14ac:dyDescent="0.3">
      <c r="A1369">
        <v>137</v>
      </c>
      <c r="B1369" t="s">
        <v>24</v>
      </c>
      <c r="C1369" s="1">
        <v>45844</v>
      </c>
      <c r="D1369" t="s">
        <v>20</v>
      </c>
      <c r="E1369" t="s">
        <v>17</v>
      </c>
      <c r="F1369">
        <v>3</v>
      </c>
      <c r="G1369">
        <v>12</v>
      </c>
      <c r="H1369" t="s">
        <v>13</v>
      </c>
      <c r="I1369" t="s">
        <v>14</v>
      </c>
      <c r="J1369">
        <v>36</v>
      </c>
    </row>
    <row r="1370" spans="1:10" x14ac:dyDescent="0.3">
      <c r="A1370">
        <v>1202</v>
      </c>
      <c r="B1370" t="s">
        <v>26</v>
      </c>
      <c r="C1370" s="1">
        <v>45844</v>
      </c>
      <c r="D1370" t="s">
        <v>33</v>
      </c>
      <c r="E1370" t="s">
        <v>12</v>
      </c>
      <c r="F1370">
        <v>4</v>
      </c>
      <c r="G1370">
        <v>25</v>
      </c>
      <c r="H1370" t="s">
        <v>13</v>
      </c>
      <c r="I1370" t="s">
        <v>27</v>
      </c>
      <c r="J1370">
        <v>100</v>
      </c>
    </row>
    <row r="1371" spans="1:10" x14ac:dyDescent="0.3">
      <c r="A1371">
        <v>680</v>
      </c>
      <c r="B1371" t="s">
        <v>26</v>
      </c>
      <c r="C1371" s="1">
        <v>45865</v>
      </c>
      <c r="D1371" t="s">
        <v>11</v>
      </c>
      <c r="E1371" t="s">
        <v>12</v>
      </c>
      <c r="F1371">
        <v>5</v>
      </c>
      <c r="G1371">
        <v>25</v>
      </c>
      <c r="H1371" t="s">
        <v>13</v>
      </c>
      <c r="I1371" t="s">
        <v>18</v>
      </c>
      <c r="J1371">
        <v>125</v>
      </c>
    </row>
    <row r="1372" spans="1:10" x14ac:dyDescent="0.3">
      <c r="A1372">
        <v>867</v>
      </c>
      <c r="B1372" t="s">
        <v>15</v>
      </c>
      <c r="C1372" s="1">
        <v>45907</v>
      </c>
      <c r="D1372" t="s">
        <v>16</v>
      </c>
      <c r="E1372" t="s">
        <v>12</v>
      </c>
      <c r="F1372">
        <v>1</v>
      </c>
      <c r="G1372">
        <v>25</v>
      </c>
      <c r="H1372" t="s">
        <v>21</v>
      </c>
      <c r="I1372" t="s">
        <v>14</v>
      </c>
      <c r="J1372">
        <v>25</v>
      </c>
    </row>
    <row r="1373" spans="1:10" x14ac:dyDescent="0.3">
      <c r="A1373">
        <v>140</v>
      </c>
      <c r="B1373" t="s">
        <v>24</v>
      </c>
      <c r="C1373" s="1">
        <v>45914</v>
      </c>
      <c r="D1373" t="s">
        <v>20</v>
      </c>
      <c r="E1373" t="s">
        <v>22</v>
      </c>
      <c r="F1373">
        <v>3</v>
      </c>
      <c r="G1373">
        <v>20</v>
      </c>
      <c r="H1373" t="s">
        <v>13</v>
      </c>
      <c r="I1373" t="s">
        <v>25</v>
      </c>
      <c r="J1373">
        <v>60</v>
      </c>
    </row>
    <row r="1374" spans="1:10" x14ac:dyDescent="0.3">
      <c r="A1374">
        <v>37</v>
      </c>
      <c r="B1374" t="s">
        <v>31</v>
      </c>
      <c r="C1374" s="1">
        <v>45900</v>
      </c>
      <c r="D1374" t="s">
        <v>20</v>
      </c>
      <c r="E1374" t="s">
        <v>17</v>
      </c>
      <c r="F1374">
        <v>5</v>
      </c>
      <c r="G1374">
        <v>12</v>
      </c>
      <c r="H1374" t="s">
        <v>21</v>
      </c>
      <c r="I1374" t="s">
        <v>27</v>
      </c>
      <c r="J1374">
        <v>60</v>
      </c>
    </row>
    <row r="1375" spans="1:10" x14ac:dyDescent="0.3">
      <c r="A1375">
        <v>1444</v>
      </c>
      <c r="B1375" t="s">
        <v>32</v>
      </c>
      <c r="C1375" s="1">
        <v>45867</v>
      </c>
      <c r="D1375" t="s">
        <v>16</v>
      </c>
      <c r="E1375" t="s">
        <v>29</v>
      </c>
      <c r="F1375">
        <v>3</v>
      </c>
      <c r="G1375">
        <v>30</v>
      </c>
      <c r="H1375" t="s">
        <v>13</v>
      </c>
      <c r="I1375" t="s">
        <v>14</v>
      </c>
      <c r="J1375">
        <v>90</v>
      </c>
    </row>
    <row r="1376" spans="1:10" x14ac:dyDescent="0.3">
      <c r="A1376">
        <v>92</v>
      </c>
      <c r="B1376" t="s">
        <v>31</v>
      </c>
      <c r="C1376" s="1">
        <v>45890</v>
      </c>
      <c r="D1376" t="s">
        <v>16</v>
      </c>
      <c r="E1376" t="s">
        <v>29</v>
      </c>
      <c r="F1376">
        <v>3</v>
      </c>
      <c r="G1376">
        <v>30</v>
      </c>
      <c r="H1376" t="s">
        <v>23</v>
      </c>
      <c r="I1376" t="s">
        <v>27</v>
      </c>
      <c r="J1376">
        <v>90</v>
      </c>
    </row>
    <row r="1377" spans="1:10" x14ac:dyDescent="0.3">
      <c r="A1377">
        <v>1945</v>
      </c>
      <c r="B1377" t="s">
        <v>15</v>
      </c>
      <c r="C1377" s="1">
        <v>45919</v>
      </c>
      <c r="D1377" t="s">
        <v>33</v>
      </c>
      <c r="E1377" t="s">
        <v>17</v>
      </c>
      <c r="F1377">
        <v>2</v>
      </c>
      <c r="G1377">
        <v>12</v>
      </c>
      <c r="H1377" t="s">
        <v>23</v>
      </c>
      <c r="I1377" t="s">
        <v>18</v>
      </c>
      <c r="J1377">
        <v>24</v>
      </c>
    </row>
    <row r="1378" spans="1:10" x14ac:dyDescent="0.3">
      <c r="A1378">
        <v>1109</v>
      </c>
      <c r="B1378" t="s">
        <v>10</v>
      </c>
      <c r="C1378" s="1">
        <v>45843</v>
      </c>
      <c r="D1378" t="s">
        <v>33</v>
      </c>
      <c r="E1378" t="s">
        <v>12</v>
      </c>
      <c r="F1378">
        <v>1</v>
      </c>
      <c r="G1378">
        <v>25</v>
      </c>
      <c r="H1378" t="s">
        <v>23</v>
      </c>
      <c r="I1378" t="s">
        <v>18</v>
      </c>
      <c r="J1378">
        <v>25</v>
      </c>
    </row>
    <row r="1379" spans="1:10" x14ac:dyDescent="0.3">
      <c r="A1379">
        <v>1903</v>
      </c>
      <c r="B1379" t="s">
        <v>24</v>
      </c>
      <c r="C1379" s="1">
        <v>45873</v>
      </c>
      <c r="D1379" t="s">
        <v>16</v>
      </c>
      <c r="E1379" t="s">
        <v>29</v>
      </c>
      <c r="F1379">
        <v>5</v>
      </c>
      <c r="G1379">
        <v>30</v>
      </c>
      <c r="H1379" t="s">
        <v>21</v>
      </c>
      <c r="I1379" t="s">
        <v>25</v>
      </c>
      <c r="J1379">
        <v>150</v>
      </c>
    </row>
    <row r="1380" spans="1:10" x14ac:dyDescent="0.3">
      <c r="A1380">
        <v>1954</v>
      </c>
      <c r="B1380" t="s">
        <v>31</v>
      </c>
      <c r="C1380" s="1">
        <v>45913</v>
      </c>
      <c r="D1380" t="s">
        <v>11</v>
      </c>
      <c r="E1380" t="s">
        <v>17</v>
      </c>
      <c r="F1380">
        <v>1</v>
      </c>
      <c r="G1380">
        <v>12</v>
      </c>
      <c r="H1380" t="s">
        <v>23</v>
      </c>
      <c r="I1380" t="s">
        <v>14</v>
      </c>
      <c r="J1380">
        <v>12</v>
      </c>
    </row>
    <row r="1381" spans="1:10" x14ac:dyDescent="0.3">
      <c r="A1381">
        <v>1834</v>
      </c>
      <c r="B1381" t="s">
        <v>32</v>
      </c>
      <c r="C1381" s="1">
        <v>45881</v>
      </c>
      <c r="D1381" t="s">
        <v>20</v>
      </c>
      <c r="E1381" t="s">
        <v>17</v>
      </c>
      <c r="F1381">
        <v>1</v>
      </c>
      <c r="G1381">
        <v>12</v>
      </c>
      <c r="H1381" t="s">
        <v>23</v>
      </c>
      <c r="I1381" t="s">
        <v>25</v>
      </c>
      <c r="J1381">
        <v>12</v>
      </c>
    </row>
    <row r="1382" spans="1:10" x14ac:dyDescent="0.3">
      <c r="A1382">
        <v>1988</v>
      </c>
      <c r="B1382" t="s">
        <v>31</v>
      </c>
      <c r="C1382" s="1">
        <v>45888</v>
      </c>
      <c r="D1382" t="s">
        <v>33</v>
      </c>
      <c r="E1382" t="s">
        <v>17</v>
      </c>
      <c r="F1382">
        <v>4</v>
      </c>
      <c r="G1382">
        <v>12</v>
      </c>
      <c r="H1382" t="s">
        <v>21</v>
      </c>
      <c r="I1382" t="s">
        <v>27</v>
      </c>
      <c r="J1382">
        <v>48</v>
      </c>
    </row>
    <row r="1383" spans="1:10" x14ac:dyDescent="0.3">
      <c r="A1383">
        <v>626</v>
      </c>
      <c r="B1383" t="s">
        <v>26</v>
      </c>
      <c r="C1383" s="1">
        <v>45910</v>
      </c>
      <c r="D1383" t="s">
        <v>20</v>
      </c>
      <c r="E1383" t="s">
        <v>29</v>
      </c>
      <c r="F1383">
        <v>5</v>
      </c>
      <c r="G1383">
        <v>30</v>
      </c>
      <c r="H1383" t="s">
        <v>13</v>
      </c>
      <c r="I1383" t="s">
        <v>27</v>
      </c>
      <c r="J1383">
        <v>150</v>
      </c>
    </row>
    <row r="1384" spans="1:10" x14ac:dyDescent="0.3">
      <c r="A1384">
        <v>1590</v>
      </c>
      <c r="B1384" t="s">
        <v>19</v>
      </c>
      <c r="C1384" s="1">
        <v>45886</v>
      </c>
      <c r="D1384" t="s">
        <v>16</v>
      </c>
      <c r="E1384" t="s">
        <v>17</v>
      </c>
      <c r="F1384">
        <v>5</v>
      </c>
      <c r="G1384">
        <v>12</v>
      </c>
      <c r="H1384" t="s">
        <v>21</v>
      </c>
      <c r="I1384" t="s">
        <v>14</v>
      </c>
      <c r="J1384">
        <v>60</v>
      </c>
    </row>
    <row r="1385" spans="1:10" x14ac:dyDescent="0.3">
      <c r="A1385">
        <v>1043</v>
      </c>
      <c r="B1385" t="s">
        <v>28</v>
      </c>
      <c r="C1385" s="1">
        <v>45846</v>
      </c>
      <c r="D1385" t="s">
        <v>33</v>
      </c>
      <c r="E1385" t="s">
        <v>17</v>
      </c>
      <c r="F1385">
        <v>4</v>
      </c>
      <c r="G1385">
        <v>12</v>
      </c>
      <c r="H1385" t="s">
        <v>23</v>
      </c>
      <c r="I1385" t="s">
        <v>27</v>
      </c>
      <c r="J1385">
        <v>48</v>
      </c>
    </row>
    <row r="1386" spans="1:10" x14ac:dyDescent="0.3">
      <c r="A1386">
        <v>1687</v>
      </c>
      <c r="B1386" t="s">
        <v>31</v>
      </c>
      <c r="C1386" s="1">
        <v>45926</v>
      </c>
      <c r="D1386" t="s">
        <v>33</v>
      </c>
      <c r="E1386" t="s">
        <v>29</v>
      </c>
      <c r="F1386">
        <v>1</v>
      </c>
      <c r="G1386">
        <v>30</v>
      </c>
      <c r="H1386" t="s">
        <v>23</v>
      </c>
      <c r="I1386" t="s">
        <v>18</v>
      </c>
      <c r="J1386">
        <v>30</v>
      </c>
    </row>
    <row r="1387" spans="1:10" x14ac:dyDescent="0.3">
      <c r="A1387">
        <v>984</v>
      </c>
      <c r="B1387" t="s">
        <v>15</v>
      </c>
      <c r="C1387" s="1">
        <v>45879</v>
      </c>
      <c r="D1387" t="s">
        <v>11</v>
      </c>
      <c r="E1387" t="s">
        <v>22</v>
      </c>
      <c r="F1387">
        <v>2</v>
      </c>
      <c r="G1387">
        <v>20</v>
      </c>
      <c r="H1387" t="s">
        <v>13</v>
      </c>
      <c r="I1387" t="s">
        <v>25</v>
      </c>
      <c r="J1387">
        <v>40</v>
      </c>
    </row>
    <row r="1388" spans="1:10" x14ac:dyDescent="0.3">
      <c r="A1388">
        <v>941</v>
      </c>
      <c r="B1388" t="s">
        <v>31</v>
      </c>
      <c r="C1388" s="1">
        <v>45851</v>
      </c>
      <c r="D1388" t="s">
        <v>33</v>
      </c>
      <c r="E1388" t="s">
        <v>17</v>
      </c>
      <c r="F1388">
        <v>3</v>
      </c>
      <c r="G1388">
        <v>12</v>
      </c>
      <c r="H1388" t="s">
        <v>21</v>
      </c>
      <c r="I1388" t="s">
        <v>27</v>
      </c>
      <c r="J1388">
        <v>36</v>
      </c>
    </row>
    <row r="1389" spans="1:10" x14ac:dyDescent="0.3">
      <c r="A1389">
        <v>930</v>
      </c>
      <c r="B1389" t="s">
        <v>24</v>
      </c>
      <c r="C1389" s="1">
        <v>45904</v>
      </c>
      <c r="D1389" t="s">
        <v>16</v>
      </c>
      <c r="E1389" t="s">
        <v>17</v>
      </c>
      <c r="F1389">
        <v>1</v>
      </c>
      <c r="G1389">
        <v>12</v>
      </c>
      <c r="H1389" t="s">
        <v>23</v>
      </c>
      <c r="I1389" t="s">
        <v>18</v>
      </c>
      <c r="J1389">
        <v>12</v>
      </c>
    </row>
    <row r="1390" spans="1:10" x14ac:dyDescent="0.3">
      <c r="A1390">
        <v>353</v>
      </c>
      <c r="B1390" t="s">
        <v>24</v>
      </c>
      <c r="C1390" s="1">
        <v>45879</v>
      </c>
      <c r="D1390" t="s">
        <v>11</v>
      </c>
      <c r="E1390" t="s">
        <v>12</v>
      </c>
      <c r="F1390">
        <v>4</v>
      </c>
      <c r="G1390">
        <v>25</v>
      </c>
      <c r="H1390" t="s">
        <v>21</v>
      </c>
      <c r="I1390" t="s">
        <v>27</v>
      </c>
      <c r="J1390">
        <v>100</v>
      </c>
    </row>
    <row r="1391" spans="1:10" x14ac:dyDescent="0.3">
      <c r="A1391">
        <v>649</v>
      </c>
      <c r="B1391" t="s">
        <v>19</v>
      </c>
      <c r="C1391" s="1">
        <v>45875</v>
      </c>
      <c r="D1391" t="s">
        <v>11</v>
      </c>
      <c r="E1391" t="s">
        <v>17</v>
      </c>
      <c r="F1391">
        <v>1</v>
      </c>
      <c r="G1391">
        <v>12</v>
      </c>
      <c r="H1391" t="s">
        <v>23</v>
      </c>
      <c r="I1391" t="s">
        <v>25</v>
      </c>
      <c r="J1391">
        <v>12</v>
      </c>
    </row>
    <row r="1392" spans="1:10" x14ac:dyDescent="0.3">
      <c r="A1392">
        <v>785</v>
      </c>
      <c r="B1392" t="s">
        <v>26</v>
      </c>
      <c r="C1392" s="1">
        <v>45863</v>
      </c>
      <c r="D1392" t="s">
        <v>20</v>
      </c>
      <c r="E1392" t="s">
        <v>22</v>
      </c>
      <c r="F1392">
        <v>2</v>
      </c>
      <c r="G1392">
        <v>20</v>
      </c>
      <c r="H1392" t="s">
        <v>21</v>
      </c>
      <c r="I1392" t="s">
        <v>25</v>
      </c>
      <c r="J1392">
        <v>40</v>
      </c>
    </row>
    <row r="1393" spans="1:10" x14ac:dyDescent="0.3">
      <c r="A1393">
        <v>1900</v>
      </c>
      <c r="B1393" t="s">
        <v>26</v>
      </c>
      <c r="C1393" s="1">
        <v>45868</v>
      </c>
      <c r="D1393" t="s">
        <v>33</v>
      </c>
      <c r="E1393" t="s">
        <v>22</v>
      </c>
      <c r="F1393">
        <v>1</v>
      </c>
      <c r="G1393">
        <v>20</v>
      </c>
      <c r="H1393" t="s">
        <v>21</v>
      </c>
      <c r="I1393" t="s">
        <v>18</v>
      </c>
      <c r="J1393">
        <v>20</v>
      </c>
    </row>
    <row r="1394" spans="1:10" x14ac:dyDescent="0.3">
      <c r="A1394">
        <v>1618</v>
      </c>
      <c r="B1394" t="s">
        <v>24</v>
      </c>
      <c r="C1394" s="1">
        <v>45885</v>
      </c>
      <c r="D1394" t="s">
        <v>20</v>
      </c>
      <c r="E1394" t="s">
        <v>22</v>
      </c>
      <c r="F1394">
        <v>1</v>
      </c>
      <c r="G1394">
        <v>20</v>
      </c>
      <c r="H1394" t="s">
        <v>21</v>
      </c>
      <c r="I1394" t="s">
        <v>27</v>
      </c>
      <c r="J1394">
        <v>20</v>
      </c>
    </row>
    <row r="1395" spans="1:10" x14ac:dyDescent="0.3">
      <c r="A1395">
        <v>330</v>
      </c>
      <c r="B1395" t="s">
        <v>19</v>
      </c>
      <c r="C1395" s="1">
        <v>45920</v>
      </c>
      <c r="D1395" t="s">
        <v>20</v>
      </c>
      <c r="E1395" t="s">
        <v>17</v>
      </c>
      <c r="F1395">
        <v>5</v>
      </c>
      <c r="G1395">
        <v>12</v>
      </c>
      <c r="H1395" t="s">
        <v>23</v>
      </c>
      <c r="I1395" t="s">
        <v>14</v>
      </c>
      <c r="J1395">
        <v>60</v>
      </c>
    </row>
    <row r="1396" spans="1:10" x14ac:dyDescent="0.3">
      <c r="A1396">
        <v>688</v>
      </c>
      <c r="B1396" t="s">
        <v>15</v>
      </c>
      <c r="C1396" s="1">
        <v>45872</v>
      </c>
      <c r="D1396" t="s">
        <v>20</v>
      </c>
      <c r="E1396" t="s">
        <v>17</v>
      </c>
      <c r="F1396">
        <v>4</v>
      </c>
      <c r="G1396">
        <v>12</v>
      </c>
      <c r="H1396" t="s">
        <v>23</v>
      </c>
      <c r="I1396" t="s">
        <v>27</v>
      </c>
      <c r="J1396">
        <v>48</v>
      </c>
    </row>
    <row r="1397" spans="1:10" x14ac:dyDescent="0.3">
      <c r="A1397">
        <v>868</v>
      </c>
      <c r="B1397" t="s">
        <v>10</v>
      </c>
      <c r="C1397" s="1">
        <v>45871</v>
      </c>
      <c r="D1397" t="s">
        <v>20</v>
      </c>
      <c r="E1397" t="s">
        <v>30</v>
      </c>
      <c r="F1397">
        <v>3</v>
      </c>
      <c r="G1397">
        <v>8</v>
      </c>
      <c r="H1397" t="s">
        <v>13</v>
      </c>
      <c r="I1397" t="s">
        <v>25</v>
      </c>
      <c r="J1397">
        <v>24</v>
      </c>
    </row>
    <row r="1398" spans="1:10" x14ac:dyDescent="0.3">
      <c r="A1398">
        <v>841</v>
      </c>
      <c r="B1398" t="s">
        <v>28</v>
      </c>
      <c r="C1398" s="1">
        <v>45878</v>
      </c>
      <c r="D1398" t="s">
        <v>33</v>
      </c>
      <c r="E1398" t="s">
        <v>17</v>
      </c>
      <c r="F1398">
        <v>1</v>
      </c>
      <c r="G1398">
        <v>12</v>
      </c>
      <c r="H1398" t="s">
        <v>21</v>
      </c>
      <c r="I1398" t="s">
        <v>18</v>
      </c>
      <c r="J1398">
        <v>12</v>
      </c>
    </row>
    <row r="1399" spans="1:10" x14ac:dyDescent="0.3">
      <c r="A1399">
        <v>1529</v>
      </c>
      <c r="B1399" t="s">
        <v>10</v>
      </c>
      <c r="C1399" s="1">
        <v>45923</v>
      </c>
      <c r="D1399" t="s">
        <v>16</v>
      </c>
      <c r="E1399" t="s">
        <v>29</v>
      </c>
      <c r="F1399">
        <v>4</v>
      </c>
      <c r="G1399">
        <v>30</v>
      </c>
      <c r="H1399" t="s">
        <v>13</v>
      </c>
      <c r="I1399" t="s">
        <v>14</v>
      </c>
      <c r="J1399">
        <v>120</v>
      </c>
    </row>
    <row r="1400" spans="1:10" x14ac:dyDescent="0.3">
      <c r="A1400">
        <v>1785</v>
      </c>
      <c r="B1400" t="s">
        <v>32</v>
      </c>
      <c r="C1400" s="1">
        <v>45876</v>
      </c>
      <c r="D1400" t="s">
        <v>20</v>
      </c>
      <c r="E1400" t="s">
        <v>22</v>
      </c>
      <c r="F1400">
        <v>2</v>
      </c>
      <c r="G1400">
        <v>20</v>
      </c>
      <c r="H1400" t="s">
        <v>21</v>
      </c>
      <c r="I1400" t="s">
        <v>14</v>
      </c>
      <c r="J1400">
        <v>40</v>
      </c>
    </row>
    <row r="1401" spans="1:10" x14ac:dyDescent="0.3">
      <c r="A1401">
        <v>1053</v>
      </c>
      <c r="B1401" t="s">
        <v>32</v>
      </c>
      <c r="C1401" s="1">
        <v>45909</v>
      </c>
      <c r="D1401" t="s">
        <v>16</v>
      </c>
      <c r="E1401" t="s">
        <v>17</v>
      </c>
      <c r="F1401">
        <v>2</v>
      </c>
      <c r="G1401">
        <v>12</v>
      </c>
      <c r="H1401" t="s">
        <v>23</v>
      </c>
      <c r="I1401" t="s">
        <v>27</v>
      </c>
      <c r="J1401">
        <v>24</v>
      </c>
    </row>
    <row r="1402" spans="1:10" x14ac:dyDescent="0.3">
      <c r="A1402">
        <v>1358</v>
      </c>
      <c r="B1402" t="s">
        <v>32</v>
      </c>
      <c r="C1402" s="1">
        <v>45925</v>
      </c>
      <c r="D1402" t="s">
        <v>11</v>
      </c>
      <c r="E1402" t="s">
        <v>17</v>
      </c>
      <c r="F1402">
        <v>1</v>
      </c>
      <c r="G1402">
        <v>12</v>
      </c>
      <c r="H1402" t="s">
        <v>21</v>
      </c>
      <c r="I1402" t="s">
        <v>14</v>
      </c>
      <c r="J1402">
        <v>12</v>
      </c>
    </row>
    <row r="1403" spans="1:10" x14ac:dyDescent="0.3">
      <c r="A1403">
        <v>1206</v>
      </c>
      <c r="B1403" t="s">
        <v>10</v>
      </c>
      <c r="C1403" s="1">
        <v>45885</v>
      </c>
      <c r="D1403" t="s">
        <v>20</v>
      </c>
      <c r="E1403" t="s">
        <v>22</v>
      </c>
      <c r="F1403">
        <v>2</v>
      </c>
      <c r="G1403">
        <v>20</v>
      </c>
      <c r="H1403" t="s">
        <v>13</v>
      </c>
      <c r="I1403" t="s">
        <v>18</v>
      </c>
      <c r="J1403">
        <v>40</v>
      </c>
    </row>
    <row r="1404" spans="1:10" x14ac:dyDescent="0.3">
      <c r="A1404">
        <v>1351</v>
      </c>
      <c r="B1404" t="s">
        <v>31</v>
      </c>
      <c r="C1404" s="1">
        <v>45879</v>
      </c>
      <c r="D1404" t="s">
        <v>16</v>
      </c>
      <c r="E1404" t="s">
        <v>17</v>
      </c>
      <c r="F1404">
        <v>3</v>
      </c>
      <c r="G1404">
        <v>12</v>
      </c>
      <c r="H1404" t="s">
        <v>21</v>
      </c>
      <c r="I1404" t="s">
        <v>25</v>
      </c>
      <c r="J1404">
        <v>36</v>
      </c>
    </row>
    <row r="1405" spans="1:10" x14ac:dyDescent="0.3">
      <c r="A1405">
        <v>1257</v>
      </c>
      <c r="B1405" t="s">
        <v>10</v>
      </c>
      <c r="C1405" s="1">
        <v>45864</v>
      </c>
      <c r="D1405" t="s">
        <v>20</v>
      </c>
      <c r="E1405" t="s">
        <v>30</v>
      </c>
      <c r="F1405">
        <v>5</v>
      </c>
      <c r="G1405">
        <v>8</v>
      </c>
      <c r="H1405" t="s">
        <v>13</v>
      </c>
      <c r="I1405" t="s">
        <v>14</v>
      </c>
      <c r="J1405">
        <v>40</v>
      </c>
    </row>
    <row r="1406" spans="1:10" x14ac:dyDescent="0.3">
      <c r="A1406">
        <v>1328</v>
      </c>
      <c r="B1406" t="s">
        <v>15</v>
      </c>
      <c r="C1406" s="1">
        <v>45863</v>
      </c>
      <c r="D1406" t="s">
        <v>11</v>
      </c>
      <c r="E1406" t="s">
        <v>12</v>
      </c>
      <c r="F1406">
        <v>1</v>
      </c>
      <c r="G1406">
        <v>25</v>
      </c>
      <c r="H1406" t="s">
        <v>23</v>
      </c>
      <c r="I1406" t="s">
        <v>18</v>
      </c>
      <c r="J1406">
        <v>25</v>
      </c>
    </row>
    <row r="1407" spans="1:10" x14ac:dyDescent="0.3">
      <c r="A1407">
        <v>1381</v>
      </c>
      <c r="B1407" t="s">
        <v>10</v>
      </c>
      <c r="C1407" s="1">
        <v>45861</v>
      </c>
      <c r="D1407" t="s">
        <v>33</v>
      </c>
      <c r="E1407" t="s">
        <v>17</v>
      </c>
      <c r="F1407">
        <v>4</v>
      </c>
      <c r="G1407">
        <v>12</v>
      </c>
      <c r="H1407" t="s">
        <v>13</v>
      </c>
      <c r="I1407" t="s">
        <v>18</v>
      </c>
      <c r="J1407">
        <v>48</v>
      </c>
    </row>
    <row r="1408" spans="1:10" x14ac:dyDescent="0.3">
      <c r="A1408">
        <v>1965</v>
      </c>
      <c r="B1408" t="s">
        <v>15</v>
      </c>
      <c r="C1408" s="1">
        <v>45855</v>
      </c>
      <c r="D1408" t="s">
        <v>20</v>
      </c>
      <c r="E1408" t="s">
        <v>17</v>
      </c>
      <c r="F1408">
        <v>2</v>
      </c>
      <c r="G1408">
        <v>12</v>
      </c>
      <c r="H1408" t="s">
        <v>13</v>
      </c>
      <c r="I1408" t="s">
        <v>18</v>
      </c>
      <c r="J1408">
        <v>24</v>
      </c>
    </row>
    <row r="1409" spans="1:10" x14ac:dyDescent="0.3">
      <c r="A1409">
        <v>460</v>
      </c>
      <c r="B1409" t="s">
        <v>32</v>
      </c>
      <c r="C1409" s="1">
        <v>45923</v>
      </c>
      <c r="D1409" t="s">
        <v>20</v>
      </c>
      <c r="E1409" t="s">
        <v>17</v>
      </c>
      <c r="F1409">
        <v>5</v>
      </c>
      <c r="G1409">
        <v>12</v>
      </c>
      <c r="H1409" t="s">
        <v>21</v>
      </c>
      <c r="I1409" t="s">
        <v>18</v>
      </c>
      <c r="J1409">
        <v>60</v>
      </c>
    </row>
    <row r="1410" spans="1:10" x14ac:dyDescent="0.3">
      <c r="A1410">
        <v>1633</v>
      </c>
      <c r="B1410" t="s">
        <v>19</v>
      </c>
      <c r="C1410" s="1">
        <v>45853</v>
      </c>
      <c r="D1410" t="s">
        <v>11</v>
      </c>
      <c r="E1410" t="s">
        <v>17</v>
      </c>
      <c r="F1410">
        <v>3</v>
      </c>
      <c r="G1410">
        <v>12</v>
      </c>
      <c r="H1410" t="s">
        <v>21</v>
      </c>
      <c r="I1410" t="s">
        <v>14</v>
      </c>
      <c r="J1410">
        <v>36</v>
      </c>
    </row>
    <row r="1411" spans="1:10" x14ac:dyDescent="0.3">
      <c r="A1411">
        <v>586</v>
      </c>
      <c r="B1411" t="s">
        <v>28</v>
      </c>
      <c r="C1411" s="1">
        <v>45845</v>
      </c>
      <c r="D1411" t="s">
        <v>20</v>
      </c>
      <c r="E1411" t="s">
        <v>12</v>
      </c>
      <c r="F1411">
        <v>3</v>
      </c>
      <c r="G1411">
        <v>25</v>
      </c>
      <c r="H1411" t="s">
        <v>13</v>
      </c>
      <c r="I1411" t="s">
        <v>27</v>
      </c>
      <c r="J1411">
        <v>75</v>
      </c>
    </row>
    <row r="1412" spans="1:10" x14ac:dyDescent="0.3">
      <c r="A1412">
        <v>447</v>
      </c>
      <c r="B1412" t="s">
        <v>32</v>
      </c>
      <c r="C1412" s="1">
        <v>45907</v>
      </c>
      <c r="D1412" t="s">
        <v>33</v>
      </c>
      <c r="E1412" t="s">
        <v>17</v>
      </c>
      <c r="F1412">
        <v>4</v>
      </c>
      <c r="G1412">
        <v>12</v>
      </c>
      <c r="H1412" t="s">
        <v>23</v>
      </c>
      <c r="I1412" t="s">
        <v>18</v>
      </c>
      <c r="J1412">
        <v>48</v>
      </c>
    </row>
    <row r="1413" spans="1:10" x14ac:dyDescent="0.3">
      <c r="A1413">
        <v>211</v>
      </c>
      <c r="B1413" t="s">
        <v>28</v>
      </c>
      <c r="C1413" s="1">
        <v>45904</v>
      </c>
      <c r="D1413" t="s">
        <v>33</v>
      </c>
      <c r="E1413" t="s">
        <v>30</v>
      </c>
      <c r="F1413">
        <v>1</v>
      </c>
      <c r="G1413">
        <v>8</v>
      </c>
      <c r="H1413" t="s">
        <v>21</v>
      </c>
      <c r="I1413" t="s">
        <v>14</v>
      </c>
      <c r="J1413">
        <v>8</v>
      </c>
    </row>
    <row r="1414" spans="1:10" x14ac:dyDescent="0.3">
      <c r="A1414">
        <v>620</v>
      </c>
      <c r="B1414" t="s">
        <v>32</v>
      </c>
      <c r="C1414" s="1">
        <v>45872</v>
      </c>
      <c r="D1414" t="s">
        <v>11</v>
      </c>
      <c r="E1414" t="s">
        <v>17</v>
      </c>
      <c r="F1414">
        <v>5</v>
      </c>
      <c r="G1414">
        <v>12</v>
      </c>
      <c r="H1414" t="s">
        <v>23</v>
      </c>
      <c r="I1414" t="s">
        <v>27</v>
      </c>
      <c r="J1414">
        <v>60</v>
      </c>
    </row>
    <row r="1415" spans="1:10" x14ac:dyDescent="0.3">
      <c r="A1415">
        <v>176</v>
      </c>
      <c r="B1415" t="s">
        <v>10</v>
      </c>
      <c r="C1415" s="1">
        <v>45886</v>
      </c>
      <c r="D1415" t="s">
        <v>11</v>
      </c>
      <c r="E1415" t="s">
        <v>22</v>
      </c>
      <c r="F1415">
        <v>4</v>
      </c>
      <c r="G1415">
        <v>20</v>
      </c>
      <c r="H1415" t="s">
        <v>13</v>
      </c>
      <c r="I1415" t="s">
        <v>18</v>
      </c>
      <c r="J1415">
        <v>80</v>
      </c>
    </row>
    <row r="1416" spans="1:10" x14ac:dyDescent="0.3">
      <c r="A1416">
        <v>652</v>
      </c>
      <c r="B1416" t="s">
        <v>19</v>
      </c>
      <c r="C1416" s="1">
        <v>45905</v>
      </c>
      <c r="D1416" t="s">
        <v>33</v>
      </c>
      <c r="E1416" t="s">
        <v>17</v>
      </c>
      <c r="F1416">
        <v>5</v>
      </c>
      <c r="G1416">
        <v>12</v>
      </c>
      <c r="H1416" t="s">
        <v>13</v>
      </c>
      <c r="I1416" t="s">
        <v>14</v>
      </c>
      <c r="J1416">
        <v>60</v>
      </c>
    </row>
    <row r="1417" spans="1:10" x14ac:dyDescent="0.3">
      <c r="A1417">
        <v>159</v>
      </c>
      <c r="B1417" t="s">
        <v>24</v>
      </c>
      <c r="C1417" s="1">
        <v>45857</v>
      </c>
      <c r="D1417" t="s">
        <v>20</v>
      </c>
      <c r="E1417" t="s">
        <v>17</v>
      </c>
      <c r="F1417">
        <v>4</v>
      </c>
      <c r="G1417">
        <v>12</v>
      </c>
      <c r="H1417" t="s">
        <v>23</v>
      </c>
      <c r="I1417" t="s">
        <v>14</v>
      </c>
      <c r="J1417">
        <v>48</v>
      </c>
    </row>
    <row r="1418" spans="1:10" x14ac:dyDescent="0.3">
      <c r="A1418">
        <v>638</v>
      </c>
      <c r="B1418" t="s">
        <v>28</v>
      </c>
      <c r="C1418" s="1">
        <v>45921</v>
      </c>
      <c r="D1418" t="s">
        <v>20</v>
      </c>
      <c r="E1418" t="s">
        <v>30</v>
      </c>
      <c r="F1418">
        <v>1</v>
      </c>
      <c r="G1418">
        <v>8</v>
      </c>
      <c r="H1418" t="s">
        <v>23</v>
      </c>
      <c r="I1418" t="s">
        <v>18</v>
      </c>
      <c r="J1418">
        <v>8</v>
      </c>
    </row>
    <row r="1419" spans="1:10" x14ac:dyDescent="0.3">
      <c r="A1419">
        <v>568</v>
      </c>
      <c r="B1419" t="s">
        <v>19</v>
      </c>
      <c r="C1419" s="1">
        <v>45928</v>
      </c>
      <c r="D1419" t="s">
        <v>20</v>
      </c>
      <c r="E1419" t="s">
        <v>17</v>
      </c>
      <c r="F1419">
        <v>4</v>
      </c>
      <c r="G1419">
        <v>12</v>
      </c>
      <c r="H1419" t="s">
        <v>21</v>
      </c>
      <c r="I1419" t="s">
        <v>18</v>
      </c>
      <c r="J1419">
        <v>48</v>
      </c>
    </row>
    <row r="1420" spans="1:10" x14ac:dyDescent="0.3">
      <c r="A1420">
        <v>1625</v>
      </c>
      <c r="B1420" t="s">
        <v>10</v>
      </c>
      <c r="C1420" s="1">
        <v>45905</v>
      </c>
      <c r="D1420" t="s">
        <v>16</v>
      </c>
      <c r="E1420" t="s">
        <v>17</v>
      </c>
      <c r="F1420">
        <v>3</v>
      </c>
      <c r="G1420">
        <v>12</v>
      </c>
      <c r="H1420" t="s">
        <v>23</v>
      </c>
      <c r="I1420" t="s">
        <v>18</v>
      </c>
      <c r="J1420">
        <v>36</v>
      </c>
    </row>
    <row r="1421" spans="1:10" x14ac:dyDescent="0.3">
      <c r="A1421">
        <v>1152</v>
      </c>
      <c r="B1421" t="s">
        <v>15</v>
      </c>
      <c r="C1421" s="1">
        <v>45845</v>
      </c>
      <c r="D1421" t="s">
        <v>20</v>
      </c>
      <c r="E1421" t="s">
        <v>17</v>
      </c>
      <c r="F1421">
        <v>3</v>
      </c>
      <c r="G1421">
        <v>12</v>
      </c>
      <c r="H1421" t="s">
        <v>13</v>
      </c>
      <c r="I1421" t="s">
        <v>18</v>
      </c>
      <c r="J1421">
        <v>36</v>
      </c>
    </row>
    <row r="1422" spans="1:10" x14ac:dyDescent="0.3">
      <c r="A1422">
        <v>520</v>
      </c>
      <c r="B1422" t="s">
        <v>26</v>
      </c>
      <c r="C1422" s="1">
        <v>45904</v>
      </c>
      <c r="D1422" t="s">
        <v>33</v>
      </c>
      <c r="E1422" t="s">
        <v>30</v>
      </c>
      <c r="F1422">
        <v>3</v>
      </c>
      <c r="G1422">
        <v>8</v>
      </c>
      <c r="H1422" t="s">
        <v>13</v>
      </c>
      <c r="I1422" t="s">
        <v>25</v>
      </c>
      <c r="J1422">
        <v>24</v>
      </c>
    </row>
    <row r="1423" spans="1:10" x14ac:dyDescent="0.3">
      <c r="A1423">
        <v>1816</v>
      </c>
      <c r="B1423" t="s">
        <v>32</v>
      </c>
      <c r="C1423" s="1">
        <v>45924</v>
      </c>
      <c r="D1423" t="s">
        <v>16</v>
      </c>
      <c r="E1423" t="s">
        <v>12</v>
      </c>
      <c r="F1423">
        <v>2</v>
      </c>
      <c r="G1423">
        <v>25</v>
      </c>
      <c r="H1423" t="s">
        <v>21</v>
      </c>
      <c r="I1423" t="s">
        <v>14</v>
      </c>
      <c r="J1423">
        <v>50</v>
      </c>
    </row>
    <row r="1424" spans="1:10" x14ac:dyDescent="0.3">
      <c r="A1424">
        <v>1811</v>
      </c>
      <c r="B1424" t="s">
        <v>26</v>
      </c>
      <c r="C1424" s="1">
        <v>45839</v>
      </c>
      <c r="D1424" t="s">
        <v>20</v>
      </c>
      <c r="E1424" t="s">
        <v>30</v>
      </c>
      <c r="F1424">
        <v>5</v>
      </c>
      <c r="G1424">
        <v>8</v>
      </c>
      <c r="H1424" t="s">
        <v>13</v>
      </c>
      <c r="I1424" t="s">
        <v>25</v>
      </c>
      <c r="J1424">
        <v>40</v>
      </c>
    </row>
    <row r="1425" spans="1:10" x14ac:dyDescent="0.3">
      <c r="A1425">
        <v>1815</v>
      </c>
      <c r="B1425" t="s">
        <v>31</v>
      </c>
      <c r="C1425" s="1">
        <v>45876</v>
      </c>
      <c r="D1425" t="s">
        <v>33</v>
      </c>
      <c r="E1425" t="s">
        <v>17</v>
      </c>
      <c r="F1425">
        <v>5</v>
      </c>
      <c r="G1425">
        <v>12</v>
      </c>
      <c r="H1425" t="s">
        <v>23</v>
      </c>
      <c r="I1425" t="s">
        <v>18</v>
      </c>
      <c r="J1425">
        <v>60</v>
      </c>
    </row>
    <row r="1426" spans="1:10" x14ac:dyDescent="0.3">
      <c r="A1426">
        <v>960</v>
      </c>
      <c r="B1426" t="s">
        <v>28</v>
      </c>
      <c r="C1426" s="1">
        <v>45910</v>
      </c>
      <c r="D1426" t="s">
        <v>33</v>
      </c>
      <c r="E1426" t="s">
        <v>22</v>
      </c>
      <c r="F1426">
        <v>3</v>
      </c>
      <c r="G1426">
        <v>20</v>
      </c>
      <c r="H1426" t="s">
        <v>23</v>
      </c>
      <c r="I1426" t="s">
        <v>25</v>
      </c>
      <c r="J1426">
        <v>60</v>
      </c>
    </row>
    <row r="1427" spans="1:10" x14ac:dyDescent="0.3">
      <c r="A1427">
        <v>244</v>
      </c>
      <c r="B1427" t="s">
        <v>24</v>
      </c>
      <c r="C1427" s="1">
        <v>45895</v>
      </c>
      <c r="D1427" t="s">
        <v>20</v>
      </c>
      <c r="E1427" t="s">
        <v>29</v>
      </c>
      <c r="F1427">
        <v>3</v>
      </c>
      <c r="G1427">
        <v>30</v>
      </c>
      <c r="H1427" t="s">
        <v>21</v>
      </c>
      <c r="I1427" t="s">
        <v>18</v>
      </c>
      <c r="J1427">
        <v>90</v>
      </c>
    </row>
    <row r="1428" spans="1:10" x14ac:dyDescent="0.3">
      <c r="A1428">
        <v>890</v>
      </c>
      <c r="B1428" t="s">
        <v>24</v>
      </c>
      <c r="C1428" s="1">
        <v>45925</v>
      </c>
      <c r="D1428" t="s">
        <v>11</v>
      </c>
      <c r="E1428" t="s">
        <v>22</v>
      </c>
      <c r="F1428">
        <v>1</v>
      </c>
      <c r="G1428">
        <v>20</v>
      </c>
      <c r="H1428" t="s">
        <v>21</v>
      </c>
      <c r="I1428" t="s">
        <v>14</v>
      </c>
      <c r="J1428">
        <v>20</v>
      </c>
    </row>
    <row r="1429" spans="1:10" x14ac:dyDescent="0.3">
      <c r="A1429">
        <v>803</v>
      </c>
      <c r="B1429" t="s">
        <v>24</v>
      </c>
      <c r="C1429" s="1">
        <v>45901</v>
      </c>
      <c r="D1429" t="s">
        <v>16</v>
      </c>
      <c r="E1429" t="s">
        <v>29</v>
      </c>
      <c r="F1429">
        <v>5</v>
      </c>
      <c r="G1429">
        <v>30</v>
      </c>
      <c r="H1429" t="s">
        <v>13</v>
      </c>
      <c r="I1429" t="s">
        <v>25</v>
      </c>
      <c r="J1429">
        <v>150</v>
      </c>
    </row>
    <row r="1430" spans="1:10" x14ac:dyDescent="0.3">
      <c r="A1430">
        <v>485</v>
      </c>
      <c r="B1430" t="s">
        <v>15</v>
      </c>
      <c r="C1430" s="1">
        <v>45864</v>
      </c>
      <c r="D1430" t="s">
        <v>11</v>
      </c>
      <c r="E1430" t="s">
        <v>17</v>
      </c>
      <c r="F1430">
        <v>5</v>
      </c>
      <c r="G1430">
        <v>12</v>
      </c>
      <c r="H1430" t="s">
        <v>13</v>
      </c>
      <c r="I1430" t="s">
        <v>18</v>
      </c>
      <c r="J1430">
        <v>60</v>
      </c>
    </row>
    <row r="1431" spans="1:10" x14ac:dyDescent="0.3">
      <c r="A1431">
        <v>293</v>
      </c>
      <c r="B1431" t="s">
        <v>24</v>
      </c>
      <c r="C1431" s="1">
        <v>45894</v>
      </c>
      <c r="D1431" t="s">
        <v>11</v>
      </c>
      <c r="E1431" t="s">
        <v>17</v>
      </c>
      <c r="F1431">
        <v>2</v>
      </c>
      <c r="G1431">
        <v>12</v>
      </c>
      <c r="H1431" t="s">
        <v>21</v>
      </c>
      <c r="I1431" t="s">
        <v>14</v>
      </c>
      <c r="J1431">
        <v>24</v>
      </c>
    </row>
    <row r="1432" spans="1:10" x14ac:dyDescent="0.3">
      <c r="A1432">
        <v>1875</v>
      </c>
      <c r="B1432" t="s">
        <v>26</v>
      </c>
      <c r="C1432" s="1">
        <v>45894</v>
      </c>
      <c r="D1432" t="s">
        <v>16</v>
      </c>
      <c r="E1432" t="s">
        <v>17</v>
      </c>
      <c r="F1432">
        <v>1</v>
      </c>
      <c r="G1432">
        <v>12</v>
      </c>
      <c r="H1432" t="s">
        <v>21</v>
      </c>
      <c r="I1432" t="s">
        <v>25</v>
      </c>
      <c r="J1432">
        <v>12</v>
      </c>
    </row>
    <row r="1433" spans="1:10" x14ac:dyDescent="0.3">
      <c r="A1433">
        <v>1760</v>
      </c>
      <c r="B1433" t="s">
        <v>32</v>
      </c>
      <c r="C1433" s="1">
        <v>45906</v>
      </c>
      <c r="D1433" t="s">
        <v>11</v>
      </c>
      <c r="E1433" t="s">
        <v>22</v>
      </c>
      <c r="F1433">
        <v>3</v>
      </c>
      <c r="G1433">
        <v>20</v>
      </c>
      <c r="H1433" t="s">
        <v>21</v>
      </c>
      <c r="I1433" t="s">
        <v>18</v>
      </c>
      <c r="J1433">
        <v>60</v>
      </c>
    </row>
    <row r="1434" spans="1:10" x14ac:dyDescent="0.3">
      <c r="A1434">
        <v>399</v>
      </c>
      <c r="B1434" t="s">
        <v>19</v>
      </c>
      <c r="C1434" s="1">
        <v>45897</v>
      </c>
      <c r="D1434" t="s">
        <v>11</v>
      </c>
      <c r="E1434" t="s">
        <v>12</v>
      </c>
      <c r="F1434">
        <v>1</v>
      </c>
      <c r="G1434">
        <v>25</v>
      </c>
      <c r="H1434" t="s">
        <v>21</v>
      </c>
      <c r="I1434" t="s">
        <v>25</v>
      </c>
      <c r="J1434">
        <v>25</v>
      </c>
    </row>
    <row r="1435" spans="1:10" x14ac:dyDescent="0.3">
      <c r="A1435">
        <v>566</v>
      </c>
      <c r="B1435" t="s">
        <v>26</v>
      </c>
      <c r="C1435" s="1">
        <v>45928</v>
      </c>
      <c r="D1435" t="s">
        <v>16</v>
      </c>
      <c r="E1435" t="s">
        <v>17</v>
      </c>
      <c r="F1435">
        <v>4</v>
      </c>
      <c r="G1435">
        <v>12</v>
      </c>
      <c r="H1435" t="s">
        <v>21</v>
      </c>
      <c r="I1435" t="s">
        <v>14</v>
      </c>
      <c r="J1435">
        <v>48</v>
      </c>
    </row>
    <row r="1436" spans="1:10" x14ac:dyDescent="0.3">
      <c r="A1436">
        <v>1549</v>
      </c>
      <c r="B1436" t="s">
        <v>15</v>
      </c>
      <c r="C1436" s="1">
        <v>45865</v>
      </c>
      <c r="D1436" t="s">
        <v>33</v>
      </c>
      <c r="E1436" t="s">
        <v>17</v>
      </c>
      <c r="F1436">
        <v>3</v>
      </c>
      <c r="G1436">
        <v>12</v>
      </c>
      <c r="H1436" t="s">
        <v>23</v>
      </c>
      <c r="I1436" t="s">
        <v>27</v>
      </c>
      <c r="J1436">
        <v>36</v>
      </c>
    </row>
    <row r="1437" spans="1:10" x14ac:dyDescent="0.3">
      <c r="A1437">
        <v>909</v>
      </c>
      <c r="B1437" t="s">
        <v>28</v>
      </c>
      <c r="C1437" s="1">
        <v>45874</v>
      </c>
      <c r="D1437" t="s">
        <v>16</v>
      </c>
      <c r="E1437" t="s">
        <v>17</v>
      </c>
      <c r="F1437">
        <v>1</v>
      </c>
      <c r="G1437">
        <v>12</v>
      </c>
      <c r="H1437" t="s">
        <v>13</v>
      </c>
      <c r="I1437" t="s">
        <v>25</v>
      </c>
      <c r="J1437">
        <v>12</v>
      </c>
    </row>
    <row r="1438" spans="1:10" x14ac:dyDescent="0.3">
      <c r="A1438">
        <v>1346</v>
      </c>
      <c r="B1438" t="s">
        <v>32</v>
      </c>
      <c r="C1438" s="1">
        <v>45875</v>
      </c>
      <c r="D1438" t="s">
        <v>20</v>
      </c>
      <c r="E1438" t="s">
        <v>30</v>
      </c>
      <c r="F1438">
        <v>4</v>
      </c>
      <c r="G1438">
        <v>8</v>
      </c>
      <c r="H1438" t="s">
        <v>21</v>
      </c>
      <c r="I1438" t="s">
        <v>27</v>
      </c>
      <c r="J1438">
        <v>32</v>
      </c>
    </row>
    <row r="1439" spans="1:10" x14ac:dyDescent="0.3">
      <c r="A1439">
        <v>1208</v>
      </c>
      <c r="B1439" t="s">
        <v>10</v>
      </c>
      <c r="C1439" s="1">
        <v>45914</v>
      </c>
      <c r="D1439" t="s">
        <v>11</v>
      </c>
      <c r="E1439" t="s">
        <v>30</v>
      </c>
      <c r="F1439">
        <v>1</v>
      </c>
      <c r="G1439">
        <v>8</v>
      </c>
      <c r="H1439" t="s">
        <v>13</v>
      </c>
      <c r="I1439" t="s">
        <v>14</v>
      </c>
      <c r="J1439">
        <v>8</v>
      </c>
    </row>
    <row r="1440" spans="1:10" x14ac:dyDescent="0.3">
      <c r="A1440">
        <v>593</v>
      </c>
      <c r="B1440" t="s">
        <v>15</v>
      </c>
      <c r="C1440" s="1">
        <v>45913</v>
      </c>
      <c r="D1440" t="s">
        <v>11</v>
      </c>
      <c r="E1440" t="s">
        <v>12</v>
      </c>
      <c r="F1440">
        <v>1</v>
      </c>
      <c r="G1440">
        <v>25</v>
      </c>
      <c r="H1440" t="s">
        <v>23</v>
      </c>
      <c r="I1440" t="s">
        <v>25</v>
      </c>
      <c r="J1440">
        <v>25</v>
      </c>
    </row>
    <row r="1441" spans="1:10" x14ac:dyDescent="0.3">
      <c r="A1441">
        <v>1251</v>
      </c>
      <c r="B1441" t="s">
        <v>28</v>
      </c>
      <c r="C1441" s="1">
        <v>45842</v>
      </c>
      <c r="D1441" t="s">
        <v>11</v>
      </c>
      <c r="E1441" t="s">
        <v>12</v>
      </c>
      <c r="F1441">
        <v>5</v>
      </c>
      <c r="G1441">
        <v>25</v>
      </c>
      <c r="H1441" t="s">
        <v>23</v>
      </c>
      <c r="I1441" t="s">
        <v>14</v>
      </c>
      <c r="J1441">
        <v>125</v>
      </c>
    </row>
    <row r="1442" spans="1:10" x14ac:dyDescent="0.3">
      <c r="A1442">
        <v>786</v>
      </c>
      <c r="B1442" t="s">
        <v>24</v>
      </c>
      <c r="C1442" s="1">
        <v>45924</v>
      </c>
      <c r="D1442" t="s">
        <v>16</v>
      </c>
      <c r="E1442" t="s">
        <v>17</v>
      </c>
      <c r="F1442">
        <v>2</v>
      </c>
      <c r="G1442">
        <v>12</v>
      </c>
      <c r="H1442" t="s">
        <v>13</v>
      </c>
      <c r="I1442" t="s">
        <v>14</v>
      </c>
      <c r="J1442">
        <v>24</v>
      </c>
    </row>
    <row r="1443" spans="1:10" x14ac:dyDescent="0.3">
      <c r="A1443">
        <v>1110</v>
      </c>
      <c r="B1443" t="s">
        <v>32</v>
      </c>
      <c r="C1443" s="1">
        <v>45862</v>
      </c>
      <c r="D1443" t="s">
        <v>20</v>
      </c>
      <c r="E1443" t="s">
        <v>12</v>
      </c>
      <c r="F1443">
        <v>1</v>
      </c>
      <c r="G1443">
        <v>25</v>
      </c>
      <c r="H1443" t="s">
        <v>23</v>
      </c>
      <c r="I1443" t="s">
        <v>14</v>
      </c>
      <c r="J1443">
        <v>25</v>
      </c>
    </row>
    <row r="1444" spans="1:10" x14ac:dyDescent="0.3">
      <c r="A1444">
        <v>388</v>
      </c>
      <c r="B1444" t="s">
        <v>28</v>
      </c>
      <c r="C1444" s="1">
        <v>45846</v>
      </c>
      <c r="D1444" t="s">
        <v>16</v>
      </c>
      <c r="E1444" t="s">
        <v>12</v>
      </c>
      <c r="F1444">
        <v>1</v>
      </c>
      <c r="G1444">
        <v>25</v>
      </c>
      <c r="H1444" t="s">
        <v>23</v>
      </c>
      <c r="I1444" t="s">
        <v>14</v>
      </c>
      <c r="J1444">
        <v>25</v>
      </c>
    </row>
    <row r="1445" spans="1:10" x14ac:dyDescent="0.3">
      <c r="A1445">
        <v>1093</v>
      </c>
      <c r="B1445" t="s">
        <v>19</v>
      </c>
      <c r="C1445" s="1">
        <v>45886</v>
      </c>
      <c r="D1445" t="s">
        <v>11</v>
      </c>
      <c r="E1445" t="s">
        <v>17</v>
      </c>
      <c r="F1445">
        <v>2</v>
      </c>
      <c r="G1445">
        <v>12</v>
      </c>
      <c r="H1445" t="s">
        <v>21</v>
      </c>
      <c r="I1445" t="s">
        <v>18</v>
      </c>
      <c r="J1445">
        <v>24</v>
      </c>
    </row>
    <row r="1446" spans="1:10" x14ac:dyDescent="0.3">
      <c r="A1446">
        <v>1022</v>
      </c>
      <c r="B1446" t="s">
        <v>24</v>
      </c>
      <c r="C1446" s="1">
        <v>45864</v>
      </c>
      <c r="D1446" t="s">
        <v>20</v>
      </c>
      <c r="E1446" t="s">
        <v>17</v>
      </c>
      <c r="F1446">
        <v>5</v>
      </c>
      <c r="G1446">
        <v>12</v>
      </c>
      <c r="H1446" t="s">
        <v>13</v>
      </c>
      <c r="I1446" t="s">
        <v>27</v>
      </c>
      <c r="J1446">
        <v>60</v>
      </c>
    </row>
    <row r="1447" spans="1:10" x14ac:dyDescent="0.3">
      <c r="A1447">
        <v>1583</v>
      </c>
      <c r="B1447" t="s">
        <v>15</v>
      </c>
      <c r="C1447" s="1">
        <v>45922</v>
      </c>
      <c r="D1447" t="s">
        <v>16</v>
      </c>
      <c r="E1447" t="s">
        <v>17</v>
      </c>
      <c r="F1447">
        <v>5</v>
      </c>
      <c r="G1447">
        <v>12</v>
      </c>
      <c r="H1447" t="s">
        <v>21</v>
      </c>
      <c r="I1447" t="s">
        <v>14</v>
      </c>
      <c r="J1447">
        <v>60</v>
      </c>
    </row>
    <row r="1448" spans="1:10" x14ac:dyDescent="0.3">
      <c r="A1448">
        <v>1333</v>
      </c>
      <c r="B1448" t="s">
        <v>28</v>
      </c>
      <c r="C1448" s="1">
        <v>45850</v>
      </c>
      <c r="D1448" t="s">
        <v>20</v>
      </c>
      <c r="E1448" t="s">
        <v>17</v>
      </c>
      <c r="F1448">
        <v>2</v>
      </c>
      <c r="G1448">
        <v>12</v>
      </c>
      <c r="H1448" t="s">
        <v>21</v>
      </c>
      <c r="I1448" t="s">
        <v>27</v>
      </c>
      <c r="J1448">
        <v>24</v>
      </c>
    </row>
    <row r="1449" spans="1:10" x14ac:dyDescent="0.3">
      <c r="A1449">
        <v>800</v>
      </c>
      <c r="B1449" t="s">
        <v>32</v>
      </c>
      <c r="C1449" s="1">
        <v>45841</v>
      </c>
      <c r="D1449" t="s">
        <v>33</v>
      </c>
      <c r="E1449" t="s">
        <v>17</v>
      </c>
      <c r="F1449">
        <v>5</v>
      </c>
      <c r="G1449">
        <v>12</v>
      </c>
      <c r="H1449" t="s">
        <v>21</v>
      </c>
      <c r="I1449" t="s">
        <v>27</v>
      </c>
      <c r="J1449">
        <v>60</v>
      </c>
    </row>
    <row r="1450" spans="1:10" x14ac:dyDescent="0.3">
      <c r="A1450">
        <v>864</v>
      </c>
      <c r="B1450" t="s">
        <v>26</v>
      </c>
      <c r="C1450" s="1">
        <v>45901</v>
      </c>
      <c r="D1450" t="s">
        <v>11</v>
      </c>
      <c r="E1450" t="s">
        <v>12</v>
      </c>
      <c r="F1450">
        <v>2</v>
      </c>
      <c r="G1450">
        <v>25</v>
      </c>
      <c r="H1450" t="s">
        <v>13</v>
      </c>
      <c r="I1450" t="s">
        <v>25</v>
      </c>
      <c r="J1450">
        <v>50</v>
      </c>
    </row>
    <row r="1451" spans="1:10" x14ac:dyDescent="0.3">
      <c r="A1451">
        <v>766</v>
      </c>
      <c r="B1451" t="s">
        <v>32</v>
      </c>
      <c r="C1451" s="1">
        <v>45907</v>
      </c>
      <c r="D1451" t="s">
        <v>16</v>
      </c>
      <c r="E1451" t="s">
        <v>29</v>
      </c>
      <c r="F1451">
        <v>1</v>
      </c>
      <c r="G1451">
        <v>30</v>
      </c>
      <c r="H1451" t="s">
        <v>23</v>
      </c>
      <c r="I1451" t="s">
        <v>25</v>
      </c>
      <c r="J1451">
        <v>30</v>
      </c>
    </row>
    <row r="1452" spans="1:10" x14ac:dyDescent="0.3">
      <c r="A1452">
        <v>256</v>
      </c>
      <c r="B1452" t="s">
        <v>32</v>
      </c>
      <c r="C1452" s="1">
        <v>45859</v>
      </c>
      <c r="D1452" t="s">
        <v>16</v>
      </c>
      <c r="E1452" t="s">
        <v>12</v>
      </c>
      <c r="F1452">
        <v>5</v>
      </c>
      <c r="G1452">
        <v>25</v>
      </c>
      <c r="H1452" t="s">
        <v>23</v>
      </c>
      <c r="I1452" t="s">
        <v>14</v>
      </c>
      <c r="J1452">
        <v>125</v>
      </c>
    </row>
    <row r="1453" spans="1:10" x14ac:dyDescent="0.3">
      <c r="A1453">
        <v>605</v>
      </c>
      <c r="B1453" t="s">
        <v>28</v>
      </c>
      <c r="C1453" s="1">
        <v>45857</v>
      </c>
      <c r="D1453" t="s">
        <v>11</v>
      </c>
      <c r="E1453" t="s">
        <v>17</v>
      </c>
      <c r="F1453">
        <v>3</v>
      </c>
      <c r="G1453">
        <v>12</v>
      </c>
      <c r="H1453" t="s">
        <v>21</v>
      </c>
      <c r="I1453" t="s">
        <v>25</v>
      </c>
      <c r="J1453">
        <v>36</v>
      </c>
    </row>
    <row r="1454" spans="1:10" x14ac:dyDescent="0.3">
      <c r="A1454">
        <v>765</v>
      </c>
      <c r="B1454" t="s">
        <v>15</v>
      </c>
      <c r="C1454" s="1">
        <v>45898</v>
      </c>
      <c r="D1454" t="s">
        <v>33</v>
      </c>
      <c r="E1454" t="s">
        <v>17</v>
      </c>
      <c r="F1454">
        <v>4</v>
      </c>
      <c r="G1454">
        <v>12</v>
      </c>
      <c r="H1454" t="s">
        <v>23</v>
      </c>
      <c r="I1454" t="s">
        <v>14</v>
      </c>
      <c r="J1454">
        <v>48</v>
      </c>
    </row>
    <row r="1455" spans="1:10" x14ac:dyDescent="0.3">
      <c r="A1455">
        <v>121</v>
      </c>
      <c r="B1455" t="s">
        <v>19</v>
      </c>
      <c r="C1455" s="1">
        <v>45857</v>
      </c>
      <c r="D1455" t="s">
        <v>16</v>
      </c>
      <c r="E1455" t="s">
        <v>22</v>
      </c>
      <c r="F1455">
        <v>2</v>
      </c>
      <c r="G1455">
        <v>20</v>
      </c>
      <c r="H1455" t="s">
        <v>21</v>
      </c>
      <c r="I1455" t="s">
        <v>25</v>
      </c>
      <c r="J1455">
        <v>40</v>
      </c>
    </row>
    <row r="1456" spans="1:10" x14ac:dyDescent="0.3">
      <c r="A1456">
        <v>583</v>
      </c>
      <c r="B1456" t="s">
        <v>31</v>
      </c>
      <c r="C1456" s="1">
        <v>45921</v>
      </c>
      <c r="D1456" t="s">
        <v>20</v>
      </c>
      <c r="E1456" t="s">
        <v>12</v>
      </c>
      <c r="F1456">
        <v>5</v>
      </c>
      <c r="G1456">
        <v>25</v>
      </c>
      <c r="H1456" t="s">
        <v>13</v>
      </c>
      <c r="I1456" t="s">
        <v>14</v>
      </c>
      <c r="J1456">
        <v>125</v>
      </c>
    </row>
    <row r="1457" spans="1:10" x14ac:dyDescent="0.3">
      <c r="A1457">
        <v>149</v>
      </c>
      <c r="B1457" t="s">
        <v>24</v>
      </c>
      <c r="C1457" s="1">
        <v>45871</v>
      </c>
      <c r="D1457" t="s">
        <v>20</v>
      </c>
      <c r="E1457" t="s">
        <v>17</v>
      </c>
      <c r="F1457">
        <v>5</v>
      </c>
      <c r="G1457">
        <v>12</v>
      </c>
      <c r="H1457" t="s">
        <v>13</v>
      </c>
      <c r="I1457" t="s">
        <v>25</v>
      </c>
      <c r="J1457">
        <v>60</v>
      </c>
    </row>
    <row r="1458" spans="1:10" x14ac:dyDescent="0.3">
      <c r="A1458">
        <v>1758</v>
      </c>
      <c r="B1458" t="s">
        <v>24</v>
      </c>
      <c r="C1458" s="1">
        <v>45876</v>
      </c>
      <c r="D1458" t="s">
        <v>20</v>
      </c>
      <c r="E1458" t="s">
        <v>17</v>
      </c>
      <c r="F1458">
        <v>1</v>
      </c>
      <c r="G1458">
        <v>12</v>
      </c>
      <c r="H1458" t="s">
        <v>23</v>
      </c>
      <c r="I1458" t="s">
        <v>27</v>
      </c>
      <c r="J1458">
        <v>12</v>
      </c>
    </row>
    <row r="1459" spans="1:10" x14ac:dyDescent="0.3">
      <c r="A1459">
        <v>719</v>
      </c>
      <c r="B1459" t="s">
        <v>19</v>
      </c>
      <c r="C1459" s="1">
        <v>45846</v>
      </c>
      <c r="D1459" t="s">
        <v>11</v>
      </c>
      <c r="E1459" t="s">
        <v>22</v>
      </c>
      <c r="F1459">
        <v>5</v>
      </c>
      <c r="G1459">
        <v>20</v>
      </c>
      <c r="H1459" t="s">
        <v>21</v>
      </c>
      <c r="I1459" t="s">
        <v>25</v>
      </c>
      <c r="J1459">
        <v>100</v>
      </c>
    </row>
    <row r="1460" spans="1:10" x14ac:dyDescent="0.3">
      <c r="A1460">
        <v>1604</v>
      </c>
      <c r="B1460" t="s">
        <v>24</v>
      </c>
      <c r="C1460" s="1">
        <v>45899</v>
      </c>
      <c r="D1460" t="s">
        <v>16</v>
      </c>
      <c r="E1460" t="s">
        <v>17</v>
      </c>
      <c r="F1460">
        <v>5</v>
      </c>
      <c r="G1460">
        <v>12</v>
      </c>
      <c r="H1460" t="s">
        <v>13</v>
      </c>
      <c r="I1460" t="s">
        <v>27</v>
      </c>
      <c r="J1460">
        <v>60</v>
      </c>
    </row>
    <row r="1461" spans="1:10" x14ac:dyDescent="0.3">
      <c r="A1461">
        <v>390</v>
      </c>
      <c r="B1461" t="s">
        <v>24</v>
      </c>
      <c r="C1461" s="1">
        <v>45875</v>
      </c>
      <c r="D1461" t="s">
        <v>20</v>
      </c>
      <c r="E1461" t="s">
        <v>30</v>
      </c>
      <c r="F1461">
        <v>3</v>
      </c>
      <c r="G1461">
        <v>8</v>
      </c>
      <c r="H1461" t="s">
        <v>21</v>
      </c>
      <c r="I1461" t="s">
        <v>27</v>
      </c>
      <c r="J1461">
        <v>24</v>
      </c>
    </row>
    <row r="1462" spans="1:10" x14ac:dyDescent="0.3">
      <c r="A1462">
        <v>1831</v>
      </c>
      <c r="B1462" t="s">
        <v>26</v>
      </c>
      <c r="C1462" s="1">
        <v>45839</v>
      </c>
      <c r="D1462" t="s">
        <v>16</v>
      </c>
      <c r="E1462" t="s">
        <v>17</v>
      </c>
      <c r="F1462">
        <v>3</v>
      </c>
      <c r="G1462">
        <v>12</v>
      </c>
      <c r="H1462" t="s">
        <v>23</v>
      </c>
      <c r="I1462" t="s">
        <v>18</v>
      </c>
      <c r="J1462">
        <v>36</v>
      </c>
    </row>
    <row r="1463" spans="1:10" x14ac:dyDescent="0.3">
      <c r="A1463">
        <v>1721</v>
      </c>
      <c r="B1463" t="s">
        <v>10</v>
      </c>
      <c r="C1463" s="1">
        <v>45847</v>
      </c>
      <c r="D1463" t="s">
        <v>11</v>
      </c>
      <c r="E1463" t="s">
        <v>17</v>
      </c>
      <c r="F1463">
        <v>1</v>
      </c>
      <c r="G1463">
        <v>12</v>
      </c>
      <c r="H1463" t="s">
        <v>21</v>
      </c>
      <c r="I1463" t="s">
        <v>18</v>
      </c>
      <c r="J1463">
        <v>12</v>
      </c>
    </row>
    <row r="1464" spans="1:10" x14ac:dyDescent="0.3">
      <c r="A1464">
        <v>1275</v>
      </c>
      <c r="B1464" t="s">
        <v>28</v>
      </c>
      <c r="C1464" s="1">
        <v>45915</v>
      </c>
      <c r="D1464" t="s">
        <v>16</v>
      </c>
      <c r="E1464" t="s">
        <v>22</v>
      </c>
      <c r="F1464">
        <v>2</v>
      </c>
      <c r="G1464">
        <v>20</v>
      </c>
      <c r="H1464" t="s">
        <v>21</v>
      </c>
      <c r="I1464" t="s">
        <v>27</v>
      </c>
      <c r="J1464">
        <v>40</v>
      </c>
    </row>
    <row r="1465" spans="1:10" x14ac:dyDescent="0.3">
      <c r="A1465">
        <v>59</v>
      </c>
      <c r="B1465" t="s">
        <v>32</v>
      </c>
      <c r="C1465" s="1">
        <v>45886</v>
      </c>
      <c r="D1465" t="s">
        <v>20</v>
      </c>
      <c r="E1465" t="s">
        <v>30</v>
      </c>
      <c r="F1465">
        <v>2</v>
      </c>
      <c r="G1465">
        <v>8</v>
      </c>
      <c r="H1465" t="s">
        <v>23</v>
      </c>
      <c r="I1465" t="s">
        <v>14</v>
      </c>
      <c r="J1465">
        <v>16</v>
      </c>
    </row>
    <row r="1466" spans="1:10" x14ac:dyDescent="0.3">
      <c r="A1466">
        <v>1786</v>
      </c>
      <c r="B1466" t="s">
        <v>19</v>
      </c>
      <c r="C1466" s="1">
        <v>45862</v>
      </c>
      <c r="D1466" t="s">
        <v>20</v>
      </c>
      <c r="E1466" t="s">
        <v>17</v>
      </c>
      <c r="F1466">
        <v>2</v>
      </c>
      <c r="G1466">
        <v>12</v>
      </c>
      <c r="H1466" t="s">
        <v>21</v>
      </c>
      <c r="I1466" t="s">
        <v>27</v>
      </c>
      <c r="J1466">
        <v>24</v>
      </c>
    </row>
    <row r="1467" spans="1:10" x14ac:dyDescent="0.3">
      <c r="A1467">
        <v>537</v>
      </c>
      <c r="B1467" t="s">
        <v>19</v>
      </c>
      <c r="C1467" s="1">
        <v>45842</v>
      </c>
      <c r="D1467" t="s">
        <v>11</v>
      </c>
      <c r="E1467" t="s">
        <v>30</v>
      </c>
      <c r="F1467">
        <v>2</v>
      </c>
      <c r="G1467">
        <v>8</v>
      </c>
      <c r="H1467" t="s">
        <v>13</v>
      </c>
      <c r="I1467" t="s">
        <v>18</v>
      </c>
      <c r="J1467">
        <v>16</v>
      </c>
    </row>
    <row r="1468" spans="1:10" x14ac:dyDescent="0.3">
      <c r="A1468">
        <v>739</v>
      </c>
      <c r="B1468" t="s">
        <v>15</v>
      </c>
      <c r="C1468" s="1">
        <v>45925</v>
      </c>
      <c r="D1468" t="s">
        <v>16</v>
      </c>
      <c r="E1468" t="s">
        <v>29</v>
      </c>
      <c r="F1468">
        <v>3</v>
      </c>
      <c r="G1468">
        <v>30</v>
      </c>
      <c r="H1468" t="s">
        <v>21</v>
      </c>
      <c r="I1468" t="s">
        <v>18</v>
      </c>
      <c r="J1468">
        <v>90</v>
      </c>
    </row>
    <row r="1469" spans="1:10" x14ac:dyDescent="0.3">
      <c r="A1469">
        <v>271</v>
      </c>
      <c r="B1469" t="s">
        <v>10</v>
      </c>
      <c r="C1469" s="1">
        <v>45865</v>
      </c>
      <c r="D1469" t="s">
        <v>33</v>
      </c>
      <c r="E1469" t="s">
        <v>17</v>
      </c>
      <c r="F1469">
        <v>4</v>
      </c>
      <c r="G1469">
        <v>12</v>
      </c>
      <c r="H1469" t="s">
        <v>21</v>
      </c>
      <c r="I1469" t="s">
        <v>14</v>
      </c>
      <c r="J1469">
        <v>48</v>
      </c>
    </row>
    <row r="1470" spans="1:10" x14ac:dyDescent="0.3">
      <c r="A1470">
        <v>547</v>
      </c>
      <c r="B1470" t="s">
        <v>15</v>
      </c>
      <c r="C1470" s="1">
        <v>45903</v>
      </c>
      <c r="D1470" t="s">
        <v>16</v>
      </c>
      <c r="E1470" t="s">
        <v>17</v>
      </c>
      <c r="F1470">
        <v>5</v>
      </c>
      <c r="G1470">
        <v>12</v>
      </c>
      <c r="H1470" t="s">
        <v>13</v>
      </c>
      <c r="I1470" t="s">
        <v>27</v>
      </c>
      <c r="J1470">
        <v>60</v>
      </c>
    </row>
    <row r="1471" spans="1:10" x14ac:dyDescent="0.3">
      <c r="A1471">
        <v>365</v>
      </c>
      <c r="B1471" t="s">
        <v>28</v>
      </c>
      <c r="C1471" s="1">
        <v>45913</v>
      </c>
      <c r="D1471" t="s">
        <v>16</v>
      </c>
      <c r="E1471" t="s">
        <v>12</v>
      </c>
      <c r="F1471">
        <v>1</v>
      </c>
      <c r="G1471">
        <v>25</v>
      </c>
      <c r="H1471" t="s">
        <v>13</v>
      </c>
      <c r="I1471" t="s">
        <v>18</v>
      </c>
      <c r="J1471">
        <v>25</v>
      </c>
    </row>
    <row r="1472" spans="1:10" x14ac:dyDescent="0.3">
      <c r="A1472">
        <v>1489</v>
      </c>
      <c r="B1472" t="s">
        <v>24</v>
      </c>
      <c r="C1472" s="1">
        <v>45920</v>
      </c>
      <c r="D1472" t="s">
        <v>20</v>
      </c>
      <c r="E1472" t="s">
        <v>17</v>
      </c>
      <c r="F1472">
        <v>5</v>
      </c>
      <c r="G1472">
        <v>12</v>
      </c>
      <c r="H1472" t="s">
        <v>13</v>
      </c>
      <c r="I1472" t="s">
        <v>27</v>
      </c>
      <c r="J1472">
        <v>60</v>
      </c>
    </row>
    <row r="1473" spans="1:10" x14ac:dyDescent="0.3">
      <c r="A1473">
        <v>546</v>
      </c>
      <c r="B1473" t="s">
        <v>19</v>
      </c>
      <c r="C1473" s="1">
        <v>45843</v>
      </c>
      <c r="D1473" t="s">
        <v>33</v>
      </c>
      <c r="E1473" t="s">
        <v>17</v>
      </c>
      <c r="F1473">
        <v>2</v>
      </c>
      <c r="G1473">
        <v>12</v>
      </c>
      <c r="H1473" t="s">
        <v>23</v>
      </c>
      <c r="I1473" t="s">
        <v>27</v>
      </c>
      <c r="J1473">
        <v>24</v>
      </c>
    </row>
    <row r="1474" spans="1:10" x14ac:dyDescent="0.3">
      <c r="A1474">
        <v>509</v>
      </c>
      <c r="B1474" t="s">
        <v>19</v>
      </c>
      <c r="C1474" s="1">
        <v>45883</v>
      </c>
      <c r="D1474" t="s">
        <v>16</v>
      </c>
      <c r="E1474" t="s">
        <v>22</v>
      </c>
      <c r="F1474">
        <v>4</v>
      </c>
      <c r="G1474">
        <v>20</v>
      </c>
      <c r="H1474" t="s">
        <v>13</v>
      </c>
      <c r="I1474" t="s">
        <v>27</v>
      </c>
      <c r="J1474">
        <v>80</v>
      </c>
    </row>
    <row r="1475" spans="1:10" x14ac:dyDescent="0.3">
      <c r="A1475">
        <v>570</v>
      </c>
      <c r="B1475" t="s">
        <v>28</v>
      </c>
      <c r="C1475" s="1">
        <v>45900</v>
      </c>
      <c r="D1475" t="s">
        <v>33</v>
      </c>
      <c r="E1475" t="s">
        <v>29</v>
      </c>
      <c r="F1475">
        <v>3</v>
      </c>
      <c r="G1475">
        <v>30</v>
      </c>
      <c r="H1475" t="s">
        <v>21</v>
      </c>
      <c r="I1475" t="s">
        <v>25</v>
      </c>
      <c r="J1475">
        <v>90</v>
      </c>
    </row>
    <row r="1476" spans="1:10" x14ac:dyDescent="0.3">
      <c r="A1476">
        <v>1341</v>
      </c>
      <c r="B1476" t="s">
        <v>28</v>
      </c>
      <c r="C1476" s="1">
        <v>45850</v>
      </c>
      <c r="D1476" t="s">
        <v>11</v>
      </c>
      <c r="E1476" t="s">
        <v>22</v>
      </c>
      <c r="F1476">
        <v>5</v>
      </c>
      <c r="G1476">
        <v>20</v>
      </c>
      <c r="H1476" t="s">
        <v>23</v>
      </c>
      <c r="I1476" t="s">
        <v>27</v>
      </c>
      <c r="J1476">
        <v>100</v>
      </c>
    </row>
    <row r="1477" spans="1:10" x14ac:dyDescent="0.3">
      <c r="A1477">
        <v>298</v>
      </c>
      <c r="B1477" t="s">
        <v>28</v>
      </c>
      <c r="C1477" s="1">
        <v>45890</v>
      </c>
      <c r="D1477" t="s">
        <v>11</v>
      </c>
      <c r="E1477" t="s">
        <v>17</v>
      </c>
      <c r="F1477">
        <v>5</v>
      </c>
      <c r="G1477">
        <v>12</v>
      </c>
      <c r="H1477" t="s">
        <v>21</v>
      </c>
      <c r="I1477" t="s">
        <v>18</v>
      </c>
      <c r="J1477">
        <v>60</v>
      </c>
    </row>
    <row r="1478" spans="1:10" x14ac:dyDescent="0.3">
      <c r="A1478">
        <v>268</v>
      </c>
      <c r="B1478" t="s">
        <v>19</v>
      </c>
      <c r="C1478" s="1">
        <v>45904</v>
      </c>
      <c r="D1478" t="s">
        <v>16</v>
      </c>
      <c r="E1478" t="s">
        <v>30</v>
      </c>
      <c r="F1478">
        <v>4</v>
      </c>
      <c r="G1478">
        <v>8</v>
      </c>
      <c r="H1478" t="s">
        <v>23</v>
      </c>
      <c r="I1478" t="s">
        <v>27</v>
      </c>
      <c r="J1478">
        <v>32</v>
      </c>
    </row>
    <row r="1479" spans="1:10" x14ac:dyDescent="0.3">
      <c r="A1479">
        <v>751</v>
      </c>
      <c r="B1479" t="s">
        <v>19</v>
      </c>
      <c r="C1479" s="1">
        <v>45895</v>
      </c>
      <c r="D1479" t="s">
        <v>16</v>
      </c>
      <c r="E1479" t="s">
        <v>17</v>
      </c>
      <c r="F1479">
        <v>4</v>
      </c>
      <c r="G1479">
        <v>12</v>
      </c>
      <c r="H1479" t="s">
        <v>21</v>
      </c>
      <c r="I1479" t="s">
        <v>14</v>
      </c>
      <c r="J1479">
        <v>48</v>
      </c>
    </row>
    <row r="1480" spans="1:10" x14ac:dyDescent="0.3">
      <c r="A1480">
        <v>1586</v>
      </c>
      <c r="B1480" t="s">
        <v>26</v>
      </c>
      <c r="C1480" s="1">
        <v>45907</v>
      </c>
      <c r="D1480" t="s">
        <v>11</v>
      </c>
      <c r="E1480" t="s">
        <v>17</v>
      </c>
      <c r="F1480">
        <v>4</v>
      </c>
      <c r="G1480">
        <v>12</v>
      </c>
      <c r="H1480" t="s">
        <v>13</v>
      </c>
      <c r="I1480" t="s">
        <v>27</v>
      </c>
      <c r="J1480">
        <v>48</v>
      </c>
    </row>
    <row r="1481" spans="1:10" x14ac:dyDescent="0.3">
      <c r="A1481">
        <v>723</v>
      </c>
      <c r="B1481" t="s">
        <v>31</v>
      </c>
      <c r="C1481" s="1">
        <v>45921</v>
      </c>
      <c r="D1481" t="s">
        <v>16</v>
      </c>
      <c r="E1481" t="s">
        <v>30</v>
      </c>
      <c r="F1481">
        <v>5</v>
      </c>
      <c r="G1481">
        <v>8</v>
      </c>
      <c r="H1481" t="s">
        <v>23</v>
      </c>
      <c r="I1481" t="s">
        <v>25</v>
      </c>
      <c r="J1481">
        <v>40</v>
      </c>
    </row>
    <row r="1482" spans="1:10" x14ac:dyDescent="0.3">
      <c r="A1482">
        <v>1136</v>
      </c>
      <c r="B1482" t="s">
        <v>32</v>
      </c>
      <c r="C1482" s="1">
        <v>45876</v>
      </c>
      <c r="D1482" t="s">
        <v>11</v>
      </c>
      <c r="E1482" t="s">
        <v>12</v>
      </c>
      <c r="F1482">
        <v>2</v>
      </c>
      <c r="G1482">
        <v>25</v>
      </c>
      <c r="H1482" t="s">
        <v>21</v>
      </c>
      <c r="I1482" t="s">
        <v>14</v>
      </c>
      <c r="J1482">
        <v>50</v>
      </c>
    </row>
    <row r="1483" spans="1:10" x14ac:dyDescent="0.3">
      <c r="A1483">
        <v>1544</v>
      </c>
      <c r="B1483" t="s">
        <v>15</v>
      </c>
      <c r="C1483" s="1">
        <v>45925</v>
      </c>
      <c r="D1483" t="s">
        <v>20</v>
      </c>
      <c r="E1483" t="s">
        <v>17</v>
      </c>
      <c r="F1483">
        <v>3</v>
      </c>
      <c r="G1483">
        <v>12</v>
      </c>
      <c r="H1483" t="s">
        <v>13</v>
      </c>
      <c r="I1483" t="s">
        <v>14</v>
      </c>
      <c r="J1483">
        <v>36</v>
      </c>
    </row>
    <row r="1484" spans="1:10" x14ac:dyDescent="0.3">
      <c r="A1484">
        <v>1819</v>
      </c>
      <c r="B1484" t="s">
        <v>26</v>
      </c>
      <c r="C1484" s="1">
        <v>45888</v>
      </c>
      <c r="D1484" t="s">
        <v>11</v>
      </c>
      <c r="E1484" t="s">
        <v>22</v>
      </c>
      <c r="F1484">
        <v>1</v>
      </c>
      <c r="G1484">
        <v>20</v>
      </c>
      <c r="H1484" t="s">
        <v>21</v>
      </c>
      <c r="I1484" t="s">
        <v>25</v>
      </c>
      <c r="J1484">
        <v>20</v>
      </c>
    </row>
    <row r="1485" spans="1:10" x14ac:dyDescent="0.3">
      <c r="A1485">
        <v>401</v>
      </c>
      <c r="B1485" t="s">
        <v>19</v>
      </c>
      <c r="C1485" s="1">
        <v>45923</v>
      </c>
      <c r="D1485" t="s">
        <v>33</v>
      </c>
      <c r="E1485" t="s">
        <v>17</v>
      </c>
      <c r="F1485">
        <v>2</v>
      </c>
      <c r="G1485">
        <v>12</v>
      </c>
      <c r="H1485" t="s">
        <v>13</v>
      </c>
      <c r="I1485" t="s">
        <v>25</v>
      </c>
      <c r="J1485">
        <v>24</v>
      </c>
    </row>
    <row r="1486" spans="1:10" x14ac:dyDescent="0.3">
      <c r="A1486">
        <v>1739</v>
      </c>
      <c r="B1486" t="s">
        <v>28</v>
      </c>
      <c r="C1486" s="1">
        <v>45887</v>
      </c>
      <c r="D1486" t="s">
        <v>11</v>
      </c>
      <c r="E1486" t="s">
        <v>30</v>
      </c>
      <c r="F1486">
        <v>3</v>
      </c>
      <c r="G1486">
        <v>8</v>
      </c>
      <c r="H1486" t="s">
        <v>13</v>
      </c>
      <c r="I1486" t="s">
        <v>25</v>
      </c>
      <c r="J1486">
        <v>24</v>
      </c>
    </row>
    <row r="1487" spans="1:10" x14ac:dyDescent="0.3">
      <c r="A1487">
        <v>1276</v>
      </c>
      <c r="B1487" t="s">
        <v>19</v>
      </c>
      <c r="C1487" s="1">
        <v>45889</v>
      </c>
      <c r="D1487" t="s">
        <v>20</v>
      </c>
      <c r="E1487" t="s">
        <v>22</v>
      </c>
      <c r="F1487">
        <v>1</v>
      </c>
      <c r="G1487">
        <v>20</v>
      </c>
      <c r="H1487" t="s">
        <v>13</v>
      </c>
      <c r="I1487" t="s">
        <v>18</v>
      </c>
      <c r="J1487">
        <v>20</v>
      </c>
    </row>
    <row r="1488" spans="1:10" x14ac:dyDescent="0.3">
      <c r="A1488">
        <v>1979</v>
      </c>
      <c r="B1488" t="s">
        <v>32</v>
      </c>
      <c r="C1488" s="1">
        <v>45913</v>
      </c>
      <c r="D1488" t="s">
        <v>33</v>
      </c>
      <c r="E1488" t="s">
        <v>17</v>
      </c>
      <c r="F1488">
        <v>4</v>
      </c>
      <c r="G1488">
        <v>12</v>
      </c>
      <c r="H1488" t="s">
        <v>13</v>
      </c>
      <c r="I1488" t="s">
        <v>25</v>
      </c>
      <c r="J1488">
        <v>48</v>
      </c>
    </row>
    <row r="1489" spans="1:10" x14ac:dyDescent="0.3">
      <c r="A1489">
        <v>1104</v>
      </c>
      <c r="B1489" t="s">
        <v>24</v>
      </c>
      <c r="C1489" s="1">
        <v>45885</v>
      </c>
      <c r="D1489" t="s">
        <v>20</v>
      </c>
      <c r="E1489" t="s">
        <v>17</v>
      </c>
      <c r="F1489">
        <v>5</v>
      </c>
      <c r="G1489">
        <v>12</v>
      </c>
      <c r="H1489" t="s">
        <v>23</v>
      </c>
      <c r="I1489" t="s">
        <v>14</v>
      </c>
      <c r="J1489">
        <v>60</v>
      </c>
    </row>
    <row r="1490" spans="1:10" x14ac:dyDescent="0.3">
      <c r="A1490">
        <v>775</v>
      </c>
      <c r="B1490" t="s">
        <v>26</v>
      </c>
      <c r="C1490" s="1">
        <v>45864</v>
      </c>
      <c r="D1490" t="s">
        <v>16</v>
      </c>
      <c r="E1490" t="s">
        <v>12</v>
      </c>
      <c r="F1490">
        <v>3</v>
      </c>
      <c r="G1490">
        <v>25</v>
      </c>
      <c r="H1490" t="s">
        <v>21</v>
      </c>
      <c r="I1490" t="s">
        <v>14</v>
      </c>
      <c r="J1490">
        <v>75</v>
      </c>
    </row>
    <row r="1491" spans="1:10" x14ac:dyDescent="0.3">
      <c r="A1491">
        <v>724</v>
      </c>
      <c r="B1491" t="s">
        <v>24</v>
      </c>
      <c r="C1491" s="1">
        <v>45851</v>
      </c>
      <c r="D1491" t="s">
        <v>11</v>
      </c>
      <c r="E1491" t="s">
        <v>17</v>
      </c>
      <c r="F1491">
        <v>2</v>
      </c>
      <c r="G1491">
        <v>12</v>
      </c>
      <c r="H1491" t="s">
        <v>13</v>
      </c>
      <c r="I1491" t="s">
        <v>18</v>
      </c>
      <c r="J1491">
        <v>24</v>
      </c>
    </row>
    <row r="1492" spans="1:10" x14ac:dyDescent="0.3">
      <c r="A1492">
        <v>1591</v>
      </c>
      <c r="B1492" t="s">
        <v>31</v>
      </c>
      <c r="C1492" s="1">
        <v>45918</v>
      </c>
      <c r="D1492" t="s">
        <v>33</v>
      </c>
      <c r="E1492" t="s">
        <v>29</v>
      </c>
      <c r="F1492">
        <v>4</v>
      </c>
      <c r="G1492">
        <v>30</v>
      </c>
      <c r="H1492" t="s">
        <v>21</v>
      </c>
      <c r="I1492" t="s">
        <v>14</v>
      </c>
      <c r="J1492">
        <v>120</v>
      </c>
    </row>
    <row r="1493" spans="1:10" x14ac:dyDescent="0.3">
      <c r="A1493">
        <v>1568</v>
      </c>
      <c r="B1493" t="s">
        <v>31</v>
      </c>
      <c r="C1493" s="1">
        <v>45910</v>
      </c>
      <c r="D1493" t="s">
        <v>11</v>
      </c>
      <c r="E1493" t="s">
        <v>30</v>
      </c>
      <c r="F1493">
        <v>4</v>
      </c>
      <c r="G1493">
        <v>8</v>
      </c>
      <c r="H1493" t="s">
        <v>23</v>
      </c>
      <c r="I1493" t="s">
        <v>14</v>
      </c>
      <c r="J1493">
        <v>32</v>
      </c>
    </row>
    <row r="1494" spans="1:10" x14ac:dyDescent="0.3">
      <c r="A1494">
        <v>217</v>
      </c>
      <c r="B1494" t="s">
        <v>31</v>
      </c>
      <c r="C1494" s="1">
        <v>45843</v>
      </c>
      <c r="D1494" t="s">
        <v>20</v>
      </c>
      <c r="E1494" t="s">
        <v>22</v>
      </c>
      <c r="F1494">
        <v>2</v>
      </c>
      <c r="G1494">
        <v>20</v>
      </c>
      <c r="H1494" t="s">
        <v>23</v>
      </c>
      <c r="I1494" t="s">
        <v>25</v>
      </c>
      <c r="J1494">
        <v>40</v>
      </c>
    </row>
    <row r="1495" spans="1:10" x14ac:dyDescent="0.3">
      <c r="A1495">
        <v>1697</v>
      </c>
      <c r="B1495" t="s">
        <v>24</v>
      </c>
      <c r="C1495" s="1">
        <v>45898</v>
      </c>
      <c r="D1495" t="s">
        <v>20</v>
      </c>
      <c r="E1495" t="s">
        <v>29</v>
      </c>
      <c r="F1495">
        <v>3</v>
      </c>
      <c r="G1495">
        <v>30</v>
      </c>
      <c r="H1495" t="s">
        <v>23</v>
      </c>
      <c r="I1495" t="s">
        <v>18</v>
      </c>
      <c r="J1495">
        <v>90</v>
      </c>
    </row>
    <row r="1496" spans="1:10" x14ac:dyDescent="0.3">
      <c r="A1496">
        <v>1472</v>
      </c>
      <c r="B1496" t="s">
        <v>26</v>
      </c>
      <c r="C1496" s="1">
        <v>45915</v>
      </c>
      <c r="D1496" t="s">
        <v>11</v>
      </c>
      <c r="E1496" t="s">
        <v>30</v>
      </c>
      <c r="F1496">
        <v>4</v>
      </c>
      <c r="G1496">
        <v>8</v>
      </c>
      <c r="H1496" t="s">
        <v>23</v>
      </c>
      <c r="I1496" t="s">
        <v>27</v>
      </c>
      <c r="J1496">
        <v>32</v>
      </c>
    </row>
    <row r="1497" spans="1:10" x14ac:dyDescent="0.3">
      <c r="A1497">
        <v>1977</v>
      </c>
      <c r="B1497" t="s">
        <v>28</v>
      </c>
      <c r="C1497" s="1">
        <v>45871</v>
      </c>
      <c r="D1497" t="s">
        <v>33</v>
      </c>
      <c r="E1497" t="s">
        <v>17</v>
      </c>
      <c r="F1497">
        <v>3</v>
      </c>
      <c r="G1497">
        <v>12</v>
      </c>
      <c r="H1497" t="s">
        <v>23</v>
      </c>
      <c r="I1497" t="s">
        <v>14</v>
      </c>
      <c r="J1497">
        <v>36</v>
      </c>
    </row>
    <row r="1498" spans="1:10" x14ac:dyDescent="0.3">
      <c r="A1498">
        <v>1370</v>
      </c>
      <c r="B1498" t="s">
        <v>26</v>
      </c>
      <c r="C1498" s="1">
        <v>45891</v>
      </c>
      <c r="D1498" t="s">
        <v>33</v>
      </c>
      <c r="E1498" t="s">
        <v>30</v>
      </c>
      <c r="F1498">
        <v>2</v>
      </c>
      <c r="G1498">
        <v>8</v>
      </c>
      <c r="H1498" t="s">
        <v>21</v>
      </c>
      <c r="I1498" t="s">
        <v>18</v>
      </c>
      <c r="J1498">
        <v>16</v>
      </c>
    </row>
    <row r="1499" spans="1:10" x14ac:dyDescent="0.3">
      <c r="A1499">
        <v>741</v>
      </c>
      <c r="B1499" t="s">
        <v>28</v>
      </c>
      <c r="C1499" s="1">
        <v>45912</v>
      </c>
      <c r="D1499" t="s">
        <v>20</v>
      </c>
      <c r="E1499" t="s">
        <v>17</v>
      </c>
      <c r="F1499">
        <v>1</v>
      </c>
      <c r="G1499">
        <v>12</v>
      </c>
      <c r="H1499" t="s">
        <v>13</v>
      </c>
      <c r="I1499" t="s">
        <v>14</v>
      </c>
      <c r="J1499">
        <v>12</v>
      </c>
    </row>
    <row r="1500" spans="1:10" x14ac:dyDescent="0.3">
      <c r="A1500">
        <v>202</v>
      </c>
      <c r="B1500" t="s">
        <v>19</v>
      </c>
      <c r="C1500" s="1">
        <v>45914</v>
      </c>
      <c r="D1500" t="s">
        <v>20</v>
      </c>
      <c r="E1500" t="s">
        <v>17</v>
      </c>
      <c r="F1500">
        <v>1</v>
      </c>
      <c r="G1500">
        <v>12</v>
      </c>
      <c r="H1500" t="s">
        <v>23</v>
      </c>
      <c r="I1500" t="s">
        <v>25</v>
      </c>
      <c r="J1500">
        <v>12</v>
      </c>
    </row>
    <row r="1501" spans="1:10" x14ac:dyDescent="0.3">
      <c r="A1501">
        <v>1189</v>
      </c>
      <c r="B1501" t="s">
        <v>32</v>
      </c>
      <c r="C1501" s="1">
        <v>45881</v>
      </c>
      <c r="D1501" t="s">
        <v>20</v>
      </c>
      <c r="E1501" t="s">
        <v>22</v>
      </c>
      <c r="F1501">
        <v>4</v>
      </c>
      <c r="G1501">
        <v>20</v>
      </c>
      <c r="H1501" t="s">
        <v>13</v>
      </c>
      <c r="I1501" t="s">
        <v>25</v>
      </c>
      <c r="J1501">
        <v>80</v>
      </c>
    </row>
    <row r="1502" spans="1:10" x14ac:dyDescent="0.3">
      <c r="A1502">
        <v>18</v>
      </c>
      <c r="B1502" t="s">
        <v>19</v>
      </c>
      <c r="C1502" s="1">
        <v>45878</v>
      </c>
      <c r="D1502" t="s">
        <v>20</v>
      </c>
      <c r="E1502" t="s">
        <v>22</v>
      </c>
      <c r="F1502">
        <v>3</v>
      </c>
      <c r="G1502">
        <v>20</v>
      </c>
      <c r="H1502" t="s">
        <v>21</v>
      </c>
      <c r="I1502" t="s">
        <v>25</v>
      </c>
      <c r="J1502">
        <v>60</v>
      </c>
    </row>
    <row r="1503" spans="1:10" x14ac:dyDescent="0.3">
      <c r="A1503">
        <v>1736</v>
      </c>
      <c r="B1503" t="s">
        <v>19</v>
      </c>
      <c r="C1503" s="1">
        <v>45859</v>
      </c>
      <c r="D1503" t="s">
        <v>20</v>
      </c>
      <c r="E1503" t="s">
        <v>17</v>
      </c>
      <c r="F1503">
        <v>5</v>
      </c>
      <c r="G1503">
        <v>12</v>
      </c>
      <c r="H1503" t="s">
        <v>23</v>
      </c>
      <c r="I1503" t="s">
        <v>27</v>
      </c>
      <c r="J1503">
        <v>60</v>
      </c>
    </row>
    <row r="1504" spans="1:10" x14ac:dyDescent="0.3">
      <c r="A1504">
        <v>1792</v>
      </c>
      <c r="B1504" t="s">
        <v>10</v>
      </c>
      <c r="C1504" s="1">
        <v>45914</v>
      </c>
      <c r="D1504" t="s">
        <v>20</v>
      </c>
      <c r="E1504" t="s">
        <v>17</v>
      </c>
      <c r="F1504">
        <v>1</v>
      </c>
      <c r="G1504">
        <v>12</v>
      </c>
      <c r="H1504" t="s">
        <v>21</v>
      </c>
      <c r="I1504" t="s">
        <v>27</v>
      </c>
      <c r="J1504">
        <v>12</v>
      </c>
    </row>
    <row r="1505" spans="1:10" x14ac:dyDescent="0.3">
      <c r="A1505">
        <v>480</v>
      </c>
      <c r="B1505" t="s">
        <v>31</v>
      </c>
      <c r="C1505" s="1">
        <v>45878</v>
      </c>
      <c r="D1505" t="s">
        <v>33</v>
      </c>
      <c r="E1505" t="s">
        <v>30</v>
      </c>
      <c r="F1505">
        <v>3</v>
      </c>
      <c r="G1505">
        <v>8</v>
      </c>
      <c r="H1505" t="s">
        <v>13</v>
      </c>
      <c r="I1505" t="s">
        <v>25</v>
      </c>
      <c r="J1505">
        <v>24</v>
      </c>
    </row>
    <row r="1506" spans="1:10" x14ac:dyDescent="0.3">
      <c r="A1506">
        <v>80</v>
      </c>
      <c r="B1506" t="s">
        <v>31</v>
      </c>
      <c r="C1506" s="1">
        <v>45885</v>
      </c>
      <c r="D1506" t="s">
        <v>16</v>
      </c>
      <c r="E1506" t="s">
        <v>30</v>
      </c>
      <c r="F1506">
        <v>2</v>
      </c>
      <c r="G1506">
        <v>8</v>
      </c>
      <c r="H1506" t="s">
        <v>23</v>
      </c>
      <c r="I1506" t="s">
        <v>14</v>
      </c>
      <c r="J1506">
        <v>16</v>
      </c>
    </row>
    <row r="1507" spans="1:10" x14ac:dyDescent="0.3">
      <c r="A1507">
        <v>1240</v>
      </c>
      <c r="B1507" t="s">
        <v>32</v>
      </c>
      <c r="C1507" s="1">
        <v>45843</v>
      </c>
      <c r="D1507" t="s">
        <v>11</v>
      </c>
      <c r="E1507" t="s">
        <v>12</v>
      </c>
      <c r="F1507">
        <v>2</v>
      </c>
      <c r="G1507">
        <v>25</v>
      </c>
      <c r="H1507" t="s">
        <v>23</v>
      </c>
      <c r="I1507" t="s">
        <v>25</v>
      </c>
      <c r="J1507">
        <v>50</v>
      </c>
    </row>
    <row r="1508" spans="1:10" x14ac:dyDescent="0.3">
      <c r="A1508">
        <v>1440</v>
      </c>
      <c r="B1508" t="s">
        <v>32</v>
      </c>
      <c r="C1508" s="1">
        <v>45859</v>
      </c>
      <c r="D1508" t="s">
        <v>33</v>
      </c>
      <c r="E1508" t="s">
        <v>29</v>
      </c>
      <c r="F1508">
        <v>5</v>
      </c>
      <c r="G1508">
        <v>30</v>
      </c>
      <c r="H1508" t="s">
        <v>23</v>
      </c>
      <c r="I1508" t="s">
        <v>18</v>
      </c>
      <c r="J1508">
        <v>150</v>
      </c>
    </row>
    <row r="1509" spans="1:10" x14ac:dyDescent="0.3">
      <c r="A1509">
        <v>717</v>
      </c>
      <c r="B1509" t="s">
        <v>32</v>
      </c>
      <c r="C1509" s="1">
        <v>45886</v>
      </c>
      <c r="D1509" t="s">
        <v>20</v>
      </c>
      <c r="E1509" t="s">
        <v>12</v>
      </c>
      <c r="F1509">
        <v>3</v>
      </c>
      <c r="G1509">
        <v>25</v>
      </c>
      <c r="H1509" t="s">
        <v>13</v>
      </c>
      <c r="I1509" t="s">
        <v>18</v>
      </c>
      <c r="J1509">
        <v>75</v>
      </c>
    </row>
    <row r="1510" spans="1:10" x14ac:dyDescent="0.3">
      <c r="A1510">
        <v>728</v>
      </c>
      <c r="B1510" t="s">
        <v>32</v>
      </c>
      <c r="C1510" s="1">
        <v>45851</v>
      </c>
      <c r="D1510" t="s">
        <v>33</v>
      </c>
      <c r="E1510" t="s">
        <v>17</v>
      </c>
      <c r="F1510">
        <v>4</v>
      </c>
      <c r="G1510">
        <v>12</v>
      </c>
      <c r="H1510" t="s">
        <v>23</v>
      </c>
      <c r="I1510" t="s">
        <v>25</v>
      </c>
      <c r="J1510">
        <v>48</v>
      </c>
    </row>
    <row r="1511" spans="1:10" x14ac:dyDescent="0.3">
      <c r="A1511">
        <v>712</v>
      </c>
      <c r="B1511" t="s">
        <v>26</v>
      </c>
      <c r="C1511" s="1">
        <v>45858</v>
      </c>
      <c r="D1511" t="s">
        <v>11</v>
      </c>
      <c r="E1511" t="s">
        <v>12</v>
      </c>
      <c r="F1511">
        <v>2</v>
      </c>
      <c r="G1511">
        <v>25</v>
      </c>
      <c r="H1511" t="s">
        <v>21</v>
      </c>
      <c r="I1511" t="s">
        <v>18</v>
      </c>
      <c r="J1511">
        <v>50</v>
      </c>
    </row>
    <row r="1512" spans="1:10" x14ac:dyDescent="0.3">
      <c r="A1512">
        <v>1933</v>
      </c>
      <c r="B1512" t="s">
        <v>24</v>
      </c>
      <c r="C1512" s="1">
        <v>45911</v>
      </c>
      <c r="D1512" t="s">
        <v>33</v>
      </c>
      <c r="E1512" t="s">
        <v>12</v>
      </c>
      <c r="F1512">
        <v>3</v>
      </c>
      <c r="G1512">
        <v>25</v>
      </c>
      <c r="H1512" t="s">
        <v>13</v>
      </c>
      <c r="I1512" t="s">
        <v>25</v>
      </c>
      <c r="J1512">
        <v>75</v>
      </c>
    </row>
    <row r="1513" spans="1:10" x14ac:dyDescent="0.3">
      <c r="A1513">
        <v>886</v>
      </c>
      <c r="B1513" t="s">
        <v>15</v>
      </c>
      <c r="C1513" s="1">
        <v>45888</v>
      </c>
      <c r="D1513" t="s">
        <v>33</v>
      </c>
      <c r="E1513" t="s">
        <v>29</v>
      </c>
      <c r="F1513">
        <v>2</v>
      </c>
      <c r="G1513">
        <v>30</v>
      </c>
      <c r="H1513" t="s">
        <v>13</v>
      </c>
      <c r="I1513" t="s">
        <v>25</v>
      </c>
      <c r="J1513">
        <v>60</v>
      </c>
    </row>
    <row r="1514" spans="1:10" x14ac:dyDescent="0.3">
      <c r="A1514">
        <v>753</v>
      </c>
      <c r="B1514" t="s">
        <v>26</v>
      </c>
      <c r="C1514" s="1">
        <v>45910</v>
      </c>
      <c r="D1514" t="s">
        <v>11</v>
      </c>
      <c r="E1514" t="s">
        <v>17</v>
      </c>
      <c r="F1514">
        <v>3</v>
      </c>
      <c r="G1514">
        <v>12</v>
      </c>
      <c r="H1514" t="s">
        <v>13</v>
      </c>
      <c r="I1514" t="s">
        <v>14</v>
      </c>
      <c r="J1514">
        <v>36</v>
      </c>
    </row>
    <row r="1515" spans="1:10" x14ac:dyDescent="0.3">
      <c r="A1515">
        <v>1234</v>
      </c>
      <c r="B1515" t="s">
        <v>24</v>
      </c>
      <c r="C1515" s="1">
        <v>45844</v>
      </c>
      <c r="D1515" t="s">
        <v>16</v>
      </c>
      <c r="E1515" t="s">
        <v>17</v>
      </c>
      <c r="F1515">
        <v>3</v>
      </c>
      <c r="G1515">
        <v>12</v>
      </c>
      <c r="H1515" t="s">
        <v>23</v>
      </c>
      <c r="I1515" t="s">
        <v>25</v>
      </c>
      <c r="J1515">
        <v>36</v>
      </c>
    </row>
    <row r="1516" spans="1:10" x14ac:dyDescent="0.3">
      <c r="A1516">
        <v>1330</v>
      </c>
      <c r="B1516" t="s">
        <v>15</v>
      </c>
      <c r="C1516" s="1">
        <v>45924</v>
      </c>
      <c r="D1516" t="s">
        <v>16</v>
      </c>
      <c r="E1516" t="s">
        <v>30</v>
      </c>
      <c r="F1516">
        <v>5</v>
      </c>
      <c r="G1516">
        <v>8</v>
      </c>
      <c r="H1516" t="s">
        <v>13</v>
      </c>
      <c r="I1516" t="s">
        <v>25</v>
      </c>
      <c r="J1516">
        <v>40</v>
      </c>
    </row>
    <row r="1517" spans="1:10" x14ac:dyDescent="0.3">
      <c r="A1517">
        <v>1297</v>
      </c>
      <c r="B1517" t="s">
        <v>32</v>
      </c>
      <c r="C1517" s="1">
        <v>45912</v>
      </c>
      <c r="D1517" t="s">
        <v>20</v>
      </c>
      <c r="E1517" t="s">
        <v>12</v>
      </c>
      <c r="F1517">
        <v>4</v>
      </c>
      <c r="G1517">
        <v>25</v>
      </c>
      <c r="H1517" t="s">
        <v>13</v>
      </c>
      <c r="I1517" t="s">
        <v>14</v>
      </c>
      <c r="J1517">
        <v>100</v>
      </c>
    </row>
    <row r="1518" spans="1:10" x14ac:dyDescent="0.3">
      <c r="A1518">
        <v>1769</v>
      </c>
      <c r="B1518" t="s">
        <v>28</v>
      </c>
      <c r="C1518" s="1">
        <v>45840</v>
      </c>
      <c r="D1518" t="s">
        <v>11</v>
      </c>
      <c r="E1518" t="s">
        <v>17</v>
      </c>
      <c r="F1518">
        <v>2</v>
      </c>
      <c r="G1518">
        <v>12</v>
      </c>
      <c r="H1518" t="s">
        <v>21</v>
      </c>
      <c r="I1518" t="s">
        <v>25</v>
      </c>
      <c r="J1518">
        <v>24</v>
      </c>
    </row>
    <row r="1519" spans="1:10" x14ac:dyDescent="0.3">
      <c r="A1519">
        <v>1340</v>
      </c>
      <c r="B1519" t="s">
        <v>10</v>
      </c>
      <c r="C1519" s="1">
        <v>45844</v>
      </c>
      <c r="D1519" t="s">
        <v>33</v>
      </c>
      <c r="E1519" t="s">
        <v>30</v>
      </c>
      <c r="F1519">
        <v>5</v>
      </c>
      <c r="G1519">
        <v>8</v>
      </c>
      <c r="H1519" t="s">
        <v>23</v>
      </c>
      <c r="I1519" t="s">
        <v>18</v>
      </c>
      <c r="J1519">
        <v>40</v>
      </c>
    </row>
    <row r="1520" spans="1:10" x14ac:dyDescent="0.3">
      <c r="A1520">
        <v>10</v>
      </c>
      <c r="B1520" t="s">
        <v>26</v>
      </c>
      <c r="C1520" s="1">
        <v>45848</v>
      </c>
      <c r="D1520" t="s">
        <v>33</v>
      </c>
      <c r="E1520" t="s">
        <v>17</v>
      </c>
      <c r="F1520">
        <v>2</v>
      </c>
      <c r="G1520">
        <v>12</v>
      </c>
      <c r="H1520" t="s">
        <v>21</v>
      </c>
      <c r="I1520" t="s">
        <v>14</v>
      </c>
      <c r="J1520">
        <v>24</v>
      </c>
    </row>
    <row r="1521" spans="1:10" x14ac:dyDescent="0.3">
      <c r="A1521">
        <v>1540</v>
      </c>
      <c r="B1521" t="s">
        <v>15</v>
      </c>
      <c r="C1521" s="1">
        <v>45864</v>
      </c>
      <c r="D1521" t="s">
        <v>33</v>
      </c>
      <c r="E1521" t="s">
        <v>17</v>
      </c>
      <c r="F1521">
        <v>2</v>
      </c>
      <c r="G1521">
        <v>12</v>
      </c>
      <c r="H1521" t="s">
        <v>21</v>
      </c>
      <c r="I1521" t="s">
        <v>18</v>
      </c>
      <c r="J1521">
        <v>24</v>
      </c>
    </row>
    <row r="1522" spans="1:10" x14ac:dyDescent="0.3">
      <c r="A1522">
        <v>122</v>
      </c>
      <c r="B1522" t="s">
        <v>15</v>
      </c>
      <c r="C1522" s="1">
        <v>45918</v>
      </c>
      <c r="D1522" t="s">
        <v>16</v>
      </c>
      <c r="E1522" t="s">
        <v>12</v>
      </c>
      <c r="F1522">
        <v>2</v>
      </c>
      <c r="G1522">
        <v>25</v>
      </c>
      <c r="H1522" t="s">
        <v>21</v>
      </c>
      <c r="I1522" t="s">
        <v>18</v>
      </c>
      <c r="J1522">
        <v>50</v>
      </c>
    </row>
    <row r="1523" spans="1:10" x14ac:dyDescent="0.3">
      <c r="A1523">
        <v>1277</v>
      </c>
      <c r="B1523" t="s">
        <v>24</v>
      </c>
      <c r="C1523" s="1">
        <v>45867</v>
      </c>
      <c r="D1523" t="s">
        <v>33</v>
      </c>
      <c r="E1523" t="s">
        <v>22</v>
      </c>
      <c r="F1523">
        <v>2</v>
      </c>
      <c r="G1523">
        <v>20</v>
      </c>
      <c r="H1523" t="s">
        <v>23</v>
      </c>
      <c r="I1523" t="s">
        <v>14</v>
      </c>
      <c r="J1523">
        <v>40</v>
      </c>
    </row>
    <row r="1524" spans="1:10" x14ac:dyDescent="0.3">
      <c r="A1524">
        <v>1688</v>
      </c>
      <c r="B1524" t="s">
        <v>24</v>
      </c>
      <c r="C1524" s="1">
        <v>45885</v>
      </c>
      <c r="D1524" t="s">
        <v>20</v>
      </c>
      <c r="E1524" t="s">
        <v>17</v>
      </c>
      <c r="F1524">
        <v>1</v>
      </c>
      <c r="G1524">
        <v>12</v>
      </c>
      <c r="H1524" t="s">
        <v>21</v>
      </c>
      <c r="I1524" t="s">
        <v>14</v>
      </c>
      <c r="J1524">
        <v>12</v>
      </c>
    </row>
    <row r="1525" spans="1:10" x14ac:dyDescent="0.3">
      <c r="A1525">
        <v>632</v>
      </c>
      <c r="B1525" t="s">
        <v>31</v>
      </c>
      <c r="C1525" s="1">
        <v>45874</v>
      </c>
      <c r="D1525" t="s">
        <v>11</v>
      </c>
      <c r="E1525" t="s">
        <v>30</v>
      </c>
      <c r="F1525">
        <v>2</v>
      </c>
      <c r="G1525">
        <v>8</v>
      </c>
      <c r="H1525" t="s">
        <v>23</v>
      </c>
      <c r="I1525" t="s">
        <v>18</v>
      </c>
      <c r="J1525">
        <v>16</v>
      </c>
    </row>
    <row r="1526" spans="1:10" x14ac:dyDescent="0.3">
      <c r="A1526">
        <v>1441</v>
      </c>
      <c r="B1526" t="s">
        <v>24</v>
      </c>
      <c r="C1526" s="1">
        <v>45873</v>
      </c>
      <c r="D1526" t="s">
        <v>11</v>
      </c>
      <c r="E1526" t="s">
        <v>17</v>
      </c>
      <c r="F1526">
        <v>2</v>
      </c>
      <c r="G1526">
        <v>12</v>
      </c>
      <c r="H1526" t="s">
        <v>23</v>
      </c>
      <c r="I1526" t="s">
        <v>27</v>
      </c>
      <c r="J1526">
        <v>24</v>
      </c>
    </row>
    <row r="1527" spans="1:10" x14ac:dyDescent="0.3">
      <c r="A1527">
        <v>1292</v>
      </c>
      <c r="B1527" t="s">
        <v>15</v>
      </c>
      <c r="C1527" s="1">
        <v>45913</v>
      </c>
      <c r="D1527" t="s">
        <v>16</v>
      </c>
      <c r="E1527" t="s">
        <v>22</v>
      </c>
      <c r="F1527">
        <v>4</v>
      </c>
      <c r="G1527">
        <v>20</v>
      </c>
      <c r="H1527" t="s">
        <v>21</v>
      </c>
      <c r="I1527" t="s">
        <v>18</v>
      </c>
      <c r="J1527">
        <v>80</v>
      </c>
    </row>
    <row r="1528" spans="1:10" x14ac:dyDescent="0.3">
      <c r="A1528">
        <v>824</v>
      </c>
      <c r="B1528" t="s">
        <v>28</v>
      </c>
      <c r="C1528" s="1">
        <v>45900</v>
      </c>
      <c r="D1528" t="s">
        <v>16</v>
      </c>
      <c r="E1528" t="s">
        <v>17</v>
      </c>
      <c r="F1528">
        <v>2</v>
      </c>
      <c r="G1528">
        <v>12</v>
      </c>
      <c r="H1528" t="s">
        <v>21</v>
      </c>
      <c r="I1528" t="s">
        <v>18</v>
      </c>
      <c r="J1528">
        <v>24</v>
      </c>
    </row>
    <row r="1529" spans="1:10" x14ac:dyDescent="0.3">
      <c r="A1529">
        <v>1847</v>
      </c>
      <c r="B1529" t="s">
        <v>19</v>
      </c>
      <c r="C1529" s="1">
        <v>45870</v>
      </c>
      <c r="D1529" t="s">
        <v>16</v>
      </c>
      <c r="E1529" t="s">
        <v>29</v>
      </c>
      <c r="F1529">
        <v>1</v>
      </c>
      <c r="G1529">
        <v>30</v>
      </c>
      <c r="H1529" t="s">
        <v>23</v>
      </c>
      <c r="I1529" t="s">
        <v>27</v>
      </c>
      <c r="J1529">
        <v>30</v>
      </c>
    </row>
    <row r="1530" spans="1:10" x14ac:dyDescent="0.3">
      <c r="A1530">
        <v>1876</v>
      </c>
      <c r="B1530" t="s">
        <v>19</v>
      </c>
      <c r="C1530" s="1">
        <v>45927</v>
      </c>
      <c r="D1530" t="s">
        <v>11</v>
      </c>
      <c r="E1530" t="s">
        <v>17</v>
      </c>
      <c r="F1530">
        <v>1</v>
      </c>
      <c r="G1530">
        <v>12</v>
      </c>
      <c r="H1530" t="s">
        <v>21</v>
      </c>
      <c r="I1530" t="s">
        <v>18</v>
      </c>
      <c r="J1530">
        <v>12</v>
      </c>
    </row>
    <row r="1531" spans="1:10" x14ac:dyDescent="0.3">
      <c r="A1531">
        <v>1107</v>
      </c>
      <c r="B1531" t="s">
        <v>15</v>
      </c>
      <c r="C1531" s="1">
        <v>45866</v>
      </c>
      <c r="D1531" t="s">
        <v>20</v>
      </c>
      <c r="E1531" t="s">
        <v>30</v>
      </c>
      <c r="F1531">
        <v>1</v>
      </c>
      <c r="G1531">
        <v>8</v>
      </c>
      <c r="H1531" t="s">
        <v>23</v>
      </c>
      <c r="I1531" t="s">
        <v>18</v>
      </c>
      <c r="J1531">
        <v>8</v>
      </c>
    </row>
    <row r="1532" spans="1:10" x14ac:dyDescent="0.3">
      <c r="A1532">
        <v>1975</v>
      </c>
      <c r="B1532" t="s">
        <v>26</v>
      </c>
      <c r="C1532" s="1">
        <v>45907</v>
      </c>
      <c r="D1532" t="s">
        <v>20</v>
      </c>
      <c r="E1532" t="s">
        <v>17</v>
      </c>
      <c r="F1532">
        <v>3</v>
      </c>
      <c r="G1532">
        <v>12</v>
      </c>
      <c r="H1532" t="s">
        <v>21</v>
      </c>
      <c r="I1532" t="s">
        <v>25</v>
      </c>
      <c r="J1532">
        <v>36</v>
      </c>
    </row>
    <row r="1533" spans="1:10" x14ac:dyDescent="0.3">
      <c r="A1533">
        <v>249</v>
      </c>
      <c r="B1533" t="s">
        <v>24</v>
      </c>
      <c r="C1533" s="1">
        <v>45850</v>
      </c>
      <c r="D1533" t="s">
        <v>16</v>
      </c>
      <c r="E1533" t="s">
        <v>12</v>
      </c>
      <c r="F1533">
        <v>5</v>
      </c>
      <c r="G1533">
        <v>25</v>
      </c>
      <c r="H1533" t="s">
        <v>23</v>
      </c>
      <c r="I1533" t="s">
        <v>25</v>
      </c>
      <c r="J1533">
        <v>125</v>
      </c>
    </row>
    <row r="1534" spans="1:10" x14ac:dyDescent="0.3">
      <c r="A1534">
        <v>472</v>
      </c>
      <c r="B1534" t="s">
        <v>19</v>
      </c>
      <c r="C1534" s="1">
        <v>45914</v>
      </c>
      <c r="D1534" t="s">
        <v>20</v>
      </c>
      <c r="E1534" t="s">
        <v>29</v>
      </c>
      <c r="F1534">
        <v>2</v>
      </c>
      <c r="G1534">
        <v>30</v>
      </c>
      <c r="H1534" t="s">
        <v>21</v>
      </c>
      <c r="I1534" t="s">
        <v>14</v>
      </c>
      <c r="J1534">
        <v>60</v>
      </c>
    </row>
    <row r="1535" spans="1:10" x14ac:dyDescent="0.3">
      <c r="A1535">
        <v>341</v>
      </c>
      <c r="B1535" t="s">
        <v>32</v>
      </c>
      <c r="C1535" s="1">
        <v>45892</v>
      </c>
      <c r="D1535" t="s">
        <v>20</v>
      </c>
      <c r="E1535" t="s">
        <v>30</v>
      </c>
      <c r="F1535">
        <v>2</v>
      </c>
      <c r="G1535">
        <v>8</v>
      </c>
      <c r="H1535" t="s">
        <v>13</v>
      </c>
      <c r="I1535" t="s">
        <v>27</v>
      </c>
      <c r="J1535">
        <v>16</v>
      </c>
    </row>
    <row r="1536" spans="1:10" x14ac:dyDescent="0.3">
      <c r="A1536">
        <v>491</v>
      </c>
      <c r="B1536" t="s">
        <v>19</v>
      </c>
      <c r="C1536" s="1">
        <v>45902</v>
      </c>
      <c r="D1536" t="s">
        <v>11</v>
      </c>
      <c r="E1536" t="s">
        <v>17</v>
      </c>
      <c r="F1536">
        <v>4</v>
      </c>
      <c r="G1536">
        <v>12</v>
      </c>
      <c r="H1536" t="s">
        <v>21</v>
      </c>
      <c r="I1536" t="s">
        <v>25</v>
      </c>
      <c r="J1536">
        <v>48</v>
      </c>
    </row>
    <row r="1537" spans="1:10" x14ac:dyDescent="0.3">
      <c r="A1537">
        <v>563</v>
      </c>
      <c r="B1537" t="s">
        <v>28</v>
      </c>
      <c r="C1537" s="1">
        <v>45882</v>
      </c>
      <c r="D1537" t="s">
        <v>16</v>
      </c>
      <c r="E1537" t="s">
        <v>17</v>
      </c>
      <c r="F1537">
        <v>3</v>
      </c>
      <c r="G1537">
        <v>12</v>
      </c>
      <c r="H1537" t="s">
        <v>23</v>
      </c>
      <c r="I1537" t="s">
        <v>18</v>
      </c>
      <c r="J1537">
        <v>36</v>
      </c>
    </row>
    <row r="1538" spans="1:10" x14ac:dyDescent="0.3">
      <c r="A1538">
        <v>1032</v>
      </c>
      <c r="B1538" t="s">
        <v>19</v>
      </c>
      <c r="C1538" s="1">
        <v>45877</v>
      </c>
      <c r="D1538" t="s">
        <v>16</v>
      </c>
      <c r="E1538" t="s">
        <v>17</v>
      </c>
      <c r="F1538">
        <v>1</v>
      </c>
      <c r="G1538">
        <v>12</v>
      </c>
      <c r="H1538" t="s">
        <v>21</v>
      </c>
      <c r="I1538" t="s">
        <v>14</v>
      </c>
      <c r="J1538">
        <v>12</v>
      </c>
    </row>
    <row r="1539" spans="1:10" x14ac:dyDescent="0.3">
      <c r="A1539">
        <v>1959</v>
      </c>
      <c r="B1539" t="s">
        <v>15</v>
      </c>
      <c r="C1539" s="1">
        <v>45906</v>
      </c>
      <c r="D1539" t="s">
        <v>33</v>
      </c>
      <c r="E1539" t="s">
        <v>17</v>
      </c>
      <c r="F1539">
        <v>4</v>
      </c>
      <c r="G1539">
        <v>12</v>
      </c>
      <c r="H1539" t="s">
        <v>23</v>
      </c>
      <c r="I1539" t="s">
        <v>14</v>
      </c>
      <c r="J1539">
        <v>48</v>
      </c>
    </row>
    <row r="1540" spans="1:10" x14ac:dyDescent="0.3">
      <c r="A1540">
        <v>953</v>
      </c>
      <c r="B1540" t="s">
        <v>15</v>
      </c>
      <c r="C1540" s="1">
        <v>45917</v>
      </c>
      <c r="D1540" t="s">
        <v>20</v>
      </c>
      <c r="E1540" t="s">
        <v>30</v>
      </c>
      <c r="F1540">
        <v>4</v>
      </c>
      <c r="G1540">
        <v>8</v>
      </c>
      <c r="H1540" t="s">
        <v>23</v>
      </c>
      <c r="I1540" t="s">
        <v>18</v>
      </c>
      <c r="J1540">
        <v>32</v>
      </c>
    </row>
    <row r="1541" spans="1:10" x14ac:dyDescent="0.3">
      <c r="A1541">
        <v>892</v>
      </c>
      <c r="B1541" t="s">
        <v>28</v>
      </c>
      <c r="C1541" s="1">
        <v>45873</v>
      </c>
      <c r="D1541" t="s">
        <v>11</v>
      </c>
      <c r="E1541" t="s">
        <v>30</v>
      </c>
      <c r="F1541">
        <v>5</v>
      </c>
      <c r="G1541">
        <v>8</v>
      </c>
      <c r="H1541" t="s">
        <v>13</v>
      </c>
      <c r="I1541" t="s">
        <v>14</v>
      </c>
      <c r="J1541">
        <v>40</v>
      </c>
    </row>
    <row r="1542" spans="1:10" x14ac:dyDescent="0.3">
      <c r="A1542">
        <v>823</v>
      </c>
      <c r="B1542" t="s">
        <v>10</v>
      </c>
      <c r="C1542" s="1">
        <v>45864</v>
      </c>
      <c r="D1542" t="s">
        <v>33</v>
      </c>
      <c r="E1542" t="s">
        <v>12</v>
      </c>
      <c r="F1542">
        <v>3</v>
      </c>
      <c r="G1542">
        <v>25</v>
      </c>
      <c r="H1542" t="s">
        <v>13</v>
      </c>
      <c r="I1542" t="s">
        <v>27</v>
      </c>
      <c r="J1542">
        <v>75</v>
      </c>
    </row>
    <row r="1543" spans="1:10" x14ac:dyDescent="0.3">
      <c r="A1543">
        <v>915</v>
      </c>
      <c r="B1543" t="s">
        <v>31</v>
      </c>
      <c r="C1543" s="1">
        <v>45917</v>
      </c>
      <c r="D1543" t="s">
        <v>33</v>
      </c>
      <c r="E1543" t="s">
        <v>17</v>
      </c>
      <c r="F1543">
        <v>4</v>
      </c>
      <c r="G1543">
        <v>12</v>
      </c>
      <c r="H1543" t="s">
        <v>21</v>
      </c>
      <c r="I1543" t="s">
        <v>25</v>
      </c>
      <c r="J1543">
        <v>48</v>
      </c>
    </row>
    <row r="1544" spans="1:10" x14ac:dyDescent="0.3">
      <c r="A1544">
        <v>360</v>
      </c>
      <c r="B1544" t="s">
        <v>32</v>
      </c>
      <c r="C1544" s="1">
        <v>45914</v>
      </c>
      <c r="D1544" t="s">
        <v>33</v>
      </c>
      <c r="E1544" t="s">
        <v>17</v>
      </c>
      <c r="F1544">
        <v>3</v>
      </c>
      <c r="G1544">
        <v>12</v>
      </c>
      <c r="H1544" t="s">
        <v>23</v>
      </c>
      <c r="I1544" t="s">
        <v>27</v>
      </c>
      <c r="J1544">
        <v>36</v>
      </c>
    </row>
    <row r="1545" spans="1:10" x14ac:dyDescent="0.3">
      <c r="A1545">
        <v>282</v>
      </c>
      <c r="B1545" t="s">
        <v>31</v>
      </c>
      <c r="C1545" s="1">
        <v>45865</v>
      </c>
      <c r="D1545" t="s">
        <v>11</v>
      </c>
      <c r="E1545" t="s">
        <v>17</v>
      </c>
      <c r="F1545">
        <v>2</v>
      </c>
      <c r="G1545">
        <v>12</v>
      </c>
      <c r="H1545" t="s">
        <v>13</v>
      </c>
      <c r="I1545" t="s">
        <v>27</v>
      </c>
      <c r="J1545">
        <v>24</v>
      </c>
    </row>
    <row r="1546" spans="1:10" x14ac:dyDescent="0.3">
      <c r="A1546">
        <v>580</v>
      </c>
      <c r="B1546" t="s">
        <v>26</v>
      </c>
      <c r="C1546" s="1">
        <v>45853</v>
      </c>
      <c r="D1546" t="s">
        <v>20</v>
      </c>
      <c r="E1546" t="s">
        <v>12</v>
      </c>
      <c r="F1546">
        <v>3</v>
      </c>
      <c r="G1546">
        <v>25</v>
      </c>
      <c r="H1546" t="s">
        <v>13</v>
      </c>
      <c r="I1546" t="s">
        <v>25</v>
      </c>
      <c r="J1546">
        <v>75</v>
      </c>
    </row>
    <row r="1547" spans="1:10" x14ac:dyDescent="0.3">
      <c r="A1547">
        <v>833</v>
      </c>
      <c r="B1547" t="s">
        <v>32</v>
      </c>
      <c r="C1547" s="1">
        <v>45854</v>
      </c>
      <c r="D1547" t="s">
        <v>33</v>
      </c>
      <c r="E1547" t="s">
        <v>17</v>
      </c>
      <c r="F1547">
        <v>3</v>
      </c>
      <c r="G1547">
        <v>12</v>
      </c>
      <c r="H1547" t="s">
        <v>23</v>
      </c>
      <c r="I1547" t="s">
        <v>18</v>
      </c>
      <c r="J1547">
        <v>36</v>
      </c>
    </row>
    <row r="1548" spans="1:10" x14ac:dyDescent="0.3">
      <c r="A1548">
        <v>1600</v>
      </c>
      <c r="B1548" t="s">
        <v>15</v>
      </c>
      <c r="C1548" s="1">
        <v>45890</v>
      </c>
      <c r="D1548" t="s">
        <v>33</v>
      </c>
      <c r="E1548" t="s">
        <v>30</v>
      </c>
      <c r="F1548">
        <v>2</v>
      </c>
      <c r="G1548">
        <v>8</v>
      </c>
      <c r="H1548" t="s">
        <v>13</v>
      </c>
      <c r="I1548" t="s">
        <v>27</v>
      </c>
      <c r="J1548">
        <v>16</v>
      </c>
    </row>
    <row r="1549" spans="1:10" x14ac:dyDescent="0.3">
      <c r="A1549">
        <v>1974</v>
      </c>
      <c r="B1549" t="s">
        <v>19</v>
      </c>
      <c r="C1549" s="1">
        <v>45873</v>
      </c>
      <c r="D1549" t="s">
        <v>11</v>
      </c>
      <c r="E1549" t="s">
        <v>30</v>
      </c>
      <c r="F1549">
        <v>2</v>
      </c>
      <c r="G1549">
        <v>8</v>
      </c>
      <c r="H1549" t="s">
        <v>13</v>
      </c>
      <c r="I1549" t="s">
        <v>25</v>
      </c>
      <c r="J1549">
        <v>16</v>
      </c>
    </row>
    <row r="1550" spans="1:10" x14ac:dyDescent="0.3">
      <c r="A1550">
        <v>1342</v>
      </c>
      <c r="B1550" t="s">
        <v>19</v>
      </c>
      <c r="C1550" s="1">
        <v>45844</v>
      </c>
      <c r="D1550" t="s">
        <v>20</v>
      </c>
      <c r="E1550" t="s">
        <v>12</v>
      </c>
      <c r="F1550">
        <v>1</v>
      </c>
      <c r="G1550">
        <v>25</v>
      </c>
      <c r="H1550" t="s">
        <v>21</v>
      </c>
      <c r="I1550" t="s">
        <v>25</v>
      </c>
      <c r="J1550">
        <v>25</v>
      </c>
    </row>
    <row r="1551" spans="1:10" x14ac:dyDescent="0.3">
      <c r="A1551">
        <v>1915</v>
      </c>
      <c r="B1551" t="s">
        <v>19</v>
      </c>
      <c r="C1551" s="1">
        <v>45864</v>
      </c>
      <c r="D1551" t="s">
        <v>33</v>
      </c>
      <c r="E1551" t="s">
        <v>29</v>
      </c>
      <c r="F1551">
        <v>2</v>
      </c>
      <c r="G1551">
        <v>30</v>
      </c>
      <c r="H1551" t="s">
        <v>13</v>
      </c>
      <c r="I1551" t="s">
        <v>27</v>
      </c>
      <c r="J1551">
        <v>60</v>
      </c>
    </row>
    <row r="1552" spans="1:10" x14ac:dyDescent="0.3">
      <c r="A1552">
        <v>863</v>
      </c>
      <c r="B1552" t="s">
        <v>26</v>
      </c>
      <c r="C1552" s="1">
        <v>45856</v>
      </c>
      <c r="D1552" t="s">
        <v>11</v>
      </c>
      <c r="E1552" t="s">
        <v>29</v>
      </c>
      <c r="F1552">
        <v>2</v>
      </c>
      <c r="G1552">
        <v>30</v>
      </c>
      <c r="H1552" t="s">
        <v>13</v>
      </c>
      <c r="I1552" t="s">
        <v>27</v>
      </c>
      <c r="J1552">
        <v>60</v>
      </c>
    </row>
    <row r="1553" spans="1:10" x14ac:dyDescent="0.3">
      <c r="A1553">
        <v>695</v>
      </c>
      <c r="B1553" t="s">
        <v>26</v>
      </c>
      <c r="C1553" s="1">
        <v>45925</v>
      </c>
      <c r="D1553" t="s">
        <v>16</v>
      </c>
      <c r="E1553" t="s">
        <v>29</v>
      </c>
      <c r="F1553">
        <v>1</v>
      </c>
      <c r="G1553">
        <v>30</v>
      </c>
      <c r="H1553" t="s">
        <v>21</v>
      </c>
      <c r="I1553" t="s">
        <v>18</v>
      </c>
      <c r="J1553">
        <v>30</v>
      </c>
    </row>
    <row r="1554" spans="1:10" x14ac:dyDescent="0.3">
      <c r="A1554">
        <v>54</v>
      </c>
      <c r="B1554" t="s">
        <v>31</v>
      </c>
      <c r="C1554" s="1">
        <v>45902</v>
      </c>
      <c r="D1554" t="s">
        <v>16</v>
      </c>
      <c r="E1554" t="s">
        <v>29</v>
      </c>
      <c r="F1554">
        <v>3</v>
      </c>
      <c r="G1554">
        <v>30</v>
      </c>
      <c r="H1554" t="s">
        <v>21</v>
      </c>
      <c r="I1554" t="s">
        <v>27</v>
      </c>
      <c r="J1554">
        <v>90</v>
      </c>
    </row>
    <row r="1555" spans="1:10" x14ac:dyDescent="0.3">
      <c r="A1555">
        <v>1246</v>
      </c>
      <c r="B1555" t="s">
        <v>19</v>
      </c>
      <c r="C1555" s="1">
        <v>45893</v>
      </c>
      <c r="D1555" t="s">
        <v>20</v>
      </c>
      <c r="E1555" t="s">
        <v>17</v>
      </c>
      <c r="F1555">
        <v>3</v>
      </c>
      <c r="G1555">
        <v>12</v>
      </c>
      <c r="H1555" t="s">
        <v>23</v>
      </c>
      <c r="I1555" t="s">
        <v>14</v>
      </c>
      <c r="J1555">
        <v>36</v>
      </c>
    </row>
    <row r="1556" spans="1:10" x14ac:dyDescent="0.3">
      <c r="A1556">
        <v>1715</v>
      </c>
      <c r="B1556" t="s">
        <v>10</v>
      </c>
      <c r="C1556" s="1">
        <v>45865</v>
      </c>
      <c r="D1556" t="s">
        <v>33</v>
      </c>
      <c r="E1556" t="s">
        <v>29</v>
      </c>
      <c r="F1556">
        <v>4</v>
      </c>
      <c r="G1556">
        <v>30</v>
      </c>
      <c r="H1556" t="s">
        <v>13</v>
      </c>
      <c r="I1556" t="s">
        <v>25</v>
      </c>
      <c r="J1556">
        <v>120</v>
      </c>
    </row>
    <row r="1557" spans="1:10" x14ac:dyDescent="0.3">
      <c r="A1557">
        <v>1321</v>
      </c>
      <c r="B1557" t="s">
        <v>19</v>
      </c>
      <c r="C1557" s="1">
        <v>45885</v>
      </c>
      <c r="D1557" t="s">
        <v>16</v>
      </c>
      <c r="E1557" t="s">
        <v>12</v>
      </c>
      <c r="F1557">
        <v>2</v>
      </c>
      <c r="G1557">
        <v>25</v>
      </c>
      <c r="H1557" t="s">
        <v>13</v>
      </c>
      <c r="I1557" t="s">
        <v>25</v>
      </c>
      <c r="J1557">
        <v>50</v>
      </c>
    </row>
    <row r="1558" spans="1:10" x14ac:dyDescent="0.3">
      <c r="A1558">
        <v>881</v>
      </c>
      <c r="B1558" t="s">
        <v>15</v>
      </c>
      <c r="C1558" s="1">
        <v>45877</v>
      </c>
      <c r="D1558" t="s">
        <v>20</v>
      </c>
      <c r="E1558" t="s">
        <v>17</v>
      </c>
      <c r="F1558">
        <v>2</v>
      </c>
      <c r="G1558">
        <v>12</v>
      </c>
      <c r="H1558" t="s">
        <v>23</v>
      </c>
      <c r="I1558" t="s">
        <v>25</v>
      </c>
      <c r="J1558">
        <v>24</v>
      </c>
    </row>
    <row r="1559" spans="1:10" x14ac:dyDescent="0.3">
      <c r="A1559">
        <v>1680</v>
      </c>
      <c r="B1559" t="s">
        <v>26</v>
      </c>
      <c r="C1559" s="1">
        <v>45879</v>
      </c>
      <c r="D1559" t="s">
        <v>33</v>
      </c>
      <c r="E1559" t="s">
        <v>17</v>
      </c>
      <c r="F1559">
        <v>2</v>
      </c>
      <c r="G1559">
        <v>12</v>
      </c>
      <c r="H1559" t="s">
        <v>21</v>
      </c>
      <c r="I1559" t="s">
        <v>14</v>
      </c>
      <c r="J1559">
        <v>24</v>
      </c>
    </row>
    <row r="1560" spans="1:10" x14ac:dyDescent="0.3">
      <c r="A1560">
        <v>1497</v>
      </c>
      <c r="B1560" t="s">
        <v>19</v>
      </c>
      <c r="C1560" s="1">
        <v>45929</v>
      </c>
      <c r="D1560" t="s">
        <v>20</v>
      </c>
      <c r="E1560" t="s">
        <v>22</v>
      </c>
      <c r="F1560">
        <v>5</v>
      </c>
      <c r="G1560">
        <v>20</v>
      </c>
      <c r="H1560" t="s">
        <v>23</v>
      </c>
      <c r="I1560" t="s">
        <v>27</v>
      </c>
      <c r="J1560">
        <v>100</v>
      </c>
    </row>
    <row r="1561" spans="1:10" x14ac:dyDescent="0.3">
      <c r="A1561">
        <v>1250</v>
      </c>
      <c r="B1561" t="s">
        <v>31</v>
      </c>
      <c r="C1561" s="1">
        <v>45878</v>
      </c>
      <c r="D1561" t="s">
        <v>33</v>
      </c>
      <c r="E1561" t="s">
        <v>12</v>
      </c>
      <c r="F1561">
        <v>3</v>
      </c>
      <c r="G1561">
        <v>25</v>
      </c>
      <c r="H1561" t="s">
        <v>21</v>
      </c>
      <c r="I1561" t="s">
        <v>25</v>
      </c>
      <c r="J1561">
        <v>75</v>
      </c>
    </row>
    <row r="1562" spans="1:10" x14ac:dyDescent="0.3">
      <c r="A1562">
        <v>1635</v>
      </c>
      <c r="B1562" t="s">
        <v>15</v>
      </c>
      <c r="C1562" s="1">
        <v>45850</v>
      </c>
      <c r="D1562" t="s">
        <v>16</v>
      </c>
      <c r="E1562" t="s">
        <v>17</v>
      </c>
      <c r="F1562">
        <v>4</v>
      </c>
      <c r="G1562">
        <v>12</v>
      </c>
      <c r="H1562" t="s">
        <v>23</v>
      </c>
      <c r="I1562" t="s">
        <v>27</v>
      </c>
      <c r="J1562">
        <v>48</v>
      </c>
    </row>
    <row r="1563" spans="1:10" x14ac:dyDescent="0.3">
      <c r="A1563">
        <v>181</v>
      </c>
      <c r="B1563" t="s">
        <v>15</v>
      </c>
      <c r="C1563" s="1">
        <v>45914</v>
      </c>
      <c r="D1563" t="s">
        <v>16</v>
      </c>
      <c r="E1563" t="s">
        <v>17</v>
      </c>
      <c r="F1563">
        <v>1</v>
      </c>
      <c r="G1563">
        <v>12</v>
      </c>
      <c r="H1563" t="s">
        <v>23</v>
      </c>
      <c r="I1563" t="s">
        <v>25</v>
      </c>
      <c r="J1563">
        <v>12</v>
      </c>
    </row>
    <row r="1564" spans="1:10" x14ac:dyDescent="0.3">
      <c r="A1564">
        <v>1083</v>
      </c>
      <c r="B1564" t="s">
        <v>15</v>
      </c>
      <c r="C1564" s="1">
        <v>45864</v>
      </c>
      <c r="D1564" t="s">
        <v>16</v>
      </c>
      <c r="E1564" t="s">
        <v>17</v>
      </c>
      <c r="F1564">
        <v>2</v>
      </c>
      <c r="G1564">
        <v>12</v>
      </c>
      <c r="H1564" t="s">
        <v>13</v>
      </c>
      <c r="I1564" t="s">
        <v>14</v>
      </c>
      <c r="J1564">
        <v>24</v>
      </c>
    </row>
    <row r="1565" spans="1:10" x14ac:dyDescent="0.3">
      <c r="A1565">
        <v>784</v>
      </c>
      <c r="B1565" t="s">
        <v>31</v>
      </c>
      <c r="C1565" s="1">
        <v>45867</v>
      </c>
      <c r="D1565" t="s">
        <v>20</v>
      </c>
      <c r="E1565" t="s">
        <v>30</v>
      </c>
      <c r="F1565">
        <v>3</v>
      </c>
      <c r="G1565">
        <v>8</v>
      </c>
      <c r="H1565" t="s">
        <v>21</v>
      </c>
      <c r="I1565" t="s">
        <v>27</v>
      </c>
      <c r="J1565">
        <v>24</v>
      </c>
    </row>
    <row r="1566" spans="1:10" x14ac:dyDescent="0.3">
      <c r="A1566">
        <v>1390</v>
      </c>
      <c r="B1566" t="s">
        <v>24</v>
      </c>
      <c r="C1566" s="1">
        <v>45874</v>
      </c>
      <c r="D1566" t="s">
        <v>20</v>
      </c>
      <c r="E1566" t="s">
        <v>30</v>
      </c>
      <c r="F1566">
        <v>1</v>
      </c>
      <c r="G1566">
        <v>8</v>
      </c>
      <c r="H1566" t="s">
        <v>21</v>
      </c>
      <c r="I1566" t="s">
        <v>27</v>
      </c>
      <c r="J1566">
        <v>8</v>
      </c>
    </row>
    <row r="1567" spans="1:10" x14ac:dyDescent="0.3">
      <c r="A1567">
        <v>171</v>
      </c>
      <c r="B1567" t="s">
        <v>19</v>
      </c>
      <c r="C1567" s="1">
        <v>45928</v>
      </c>
      <c r="D1567" t="s">
        <v>11</v>
      </c>
      <c r="E1567" t="s">
        <v>30</v>
      </c>
      <c r="F1567">
        <v>3</v>
      </c>
      <c r="G1567">
        <v>8</v>
      </c>
      <c r="H1567" t="s">
        <v>13</v>
      </c>
      <c r="I1567" t="s">
        <v>14</v>
      </c>
      <c r="J1567">
        <v>24</v>
      </c>
    </row>
    <row r="1568" spans="1:10" x14ac:dyDescent="0.3">
      <c r="A1568">
        <v>582</v>
      </c>
      <c r="B1568" t="s">
        <v>24</v>
      </c>
      <c r="C1568" s="1">
        <v>45850</v>
      </c>
      <c r="D1568" t="s">
        <v>11</v>
      </c>
      <c r="E1568" t="s">
        <v>22</v>
      </c>
      <c r="F1568">
        <v>3</v>
      </c>
      <c r="G1568">
        <v>20</v>
      </c>
      <c r="H1568" t="s">
        <v>23</v>
      </c>
      <c r="I1568" t="s">
        <v>14</v>
      </c>
      <c r="J1568">
        <v>60</v>
      </c>
    </row>
    <row r="1569" spans="1:10" x14ac:dyDescent="0.3">
      <c r="A1569">
        <v>1058</v>
      </c>
      <c r="B1569" t="s">
        <v>28</v>
      </c>
      <c r="C1569" s="1">
        <v>45843</v>
      </c>
      <c r="D1569" t="s">
        <v>16</v>
      </c>
      <c r="E1569" t="s">
        <v>17</v>
      </c>
      <c r="F1569">
        <v>3</v>
      </c>
      <c r="G1569">
        <v>12</v>
      </c>
      <c r="H1569" t="s">
        <v>23</v>
      </c>
      <c r="I1569" t="s">
        <v>27</v>
      </c>
      <c r="J1569">
        <v>36</v>
      </c>
    </row>
    <row r="1570" spans="1:10" x14ac:dyDescent="0.3">
      <c r="A1570">
        <v>1123</v>
      </c>
      <c r="B1570" t="s">
        <v>32</v>
      </c>
      <c r="C1570" s="1">
        <v>45899</v>
      </c>
      <c r="D1570" t="s">
        <v>20</v>
      </c>
      <c r="E1570" t="s">
        <v>17</v>
      </c>
      <c r="F1570">
        <v>3</v>
      </c>
      <c r="G1570">
        <v>12</v>
      </c>
      <c r="H1570" t="s">
        <v>23</v>
      </c>
      <c r="I1570" t="s">
        <v>27</v>
      </c>
      <c r="J1570">
        <v>36</v>
      </c>
    </row>
    <row r="1571" spans="1:10" x14ac:dyDescent="0.3">
      <c r="A1571">
        <v>692</v>
      </c>
      <c r="B1571" t="s">
        <v>10</v>
      </c>
      <c r="C1571" s="1">
        <v>45906</v>
      </c>
      <c r="D1571" t="s">
        <v>33</v>
      </c>
      <c r="E1571" t="s">
        <v>12</v>
      </c>
      <c r="F1571">
        <v>5</v>
      </c>
      <c r="G1571">
        <v>25</v>
      </c>
      <c r="H1571" t="s">
        <v>23</v>
      </c>
      <c r="I1571" t="s">
        <v>14</v>
      </c>
      <c r="J1571">
        <v>125</v>
      </c>
    </row>
    <row r="1572" spans="1:10" x14ac:dyDescent="0.3">
      <c r="A1572">
        <v>691</v>
      </c>
      <c r="B1572" t="s">
        <v>26</v>
      </c>
      <c r="C1572" s="1">
        <v>45906</v>
      </c>
      <c r="D1572" t="s">
        <v>16</v>
      </c>
      <c r="E1572" t="s">
        <v>12</v>
      </c>
      <c r="F1572">
        <v>4</v>
      </c>
      <c r="G1572">
        <v>25</v>
      </c>
      <c r="H1572" t="s">
        <v>21</v>
      </c>
      <c r="I1572" t="s">
        <v>14</v>
      </c>
      <c r="J1572">
        <v>100</v>
      </c>
    </row>
    <row r="1573" spans="1:10" x14ac:dyDescent="0.3">
      <c r="A1573">
        <v>1400</v>
      </c>
      <c r="B1573" t="s">
        <v>15</v>
      </c>
      <c r="C1573" s="1">
        <v>45889</v>
      </c>
      <c r="D1573" t="s">
        <v>16</v>
      </c>
      <c r="E1573" t="s">
        <v>12</v>
      </c>
      <c r="F1573">
        <v>4</v>
      </c>
      <c r="G1573">
        <v>25</v>
      </c>
      <c r="H1573" t="s">
        <v>13</v>
      </c>
      <c r="I1573" t="s">
        <v>14</v>
      </c>
      <c r="J1573">
        <v>100</v>
      </c>
    </row>
    <row r="1574" spans="1:10" x14ac:dyDescent="0.3">
      <c r="A1574">
        <v>1616</v>
      </c>
      <c r="B1574" t="s">
        <v>32</v>
      </c>
      <c r="C1574" s="1">
        <v>45863</v>
      </c>
      <c r="D1574" t="s">
        <v>11</v>
      </c>
      <c r="E1574" t="s">
        <v>17</v>
      </c>
      <c r="F1574">
        <v>5</v>
      </c>
      <c r="G1574">
        <v>12</v>
      </c>
      <c r="H1574" t="s">
        <v>21</v>
      </c>
      <c r="I1574" t="s">
        <v>18</v>
      </c>
      <c r="J1574">
        <v>60</v>
      </c>
    </row>
    <row r="1575" spans="1:10" x14ac:dyDescent="0.3">
      <c r="A1575">
        <v>872</v>
      </c>
      <c r="B1575" t="s">
        <v>19</v>
      </c>
      <c r="C1575" s="1">
        <v>45893</v>
      </c>
      <c r="D1575" t="s">
        <v>20</v>
      </c>
      <c r="E1575" t="s">
        <v>29</v>
      </c>
      <c r="F1575">
        <v>1</v>
      </c>
      <c r="G1575">
        <v>30</v>
      </c>
      <c r="H1575" t="s">
        <v>21</v>
      </c>
      <c r="I1575" t="s">
        <v>27</v>
      </c>
      <c r="J1575">
        <v>30</v>
      </c>
    </row>
    <row r="1576" spans="1:10" x14ac:dyDescent="0.3">
      <c r="A1576">
        <v>132</v>
      </c>
      <c r="B1576" t="s">
        <v>15</v>
      </c>
      <c r="C1576" s="1">
        <v>45871</v>
      </c>
      <c r="D1576" t="s">
        <v>33</v>
      </c>
      <c r="E1576" t="s">
        <v>17</v>
      </c>
      <c r="F1576">
        <v>2</v>
      </c>
      <c r="G1576">
        <v>12</v>
      </c>
      <c r="H1576" t="s">
        <v>23</v>
      </c>
      <c r="I1576" t="s">
        <v>18</v>
      </c>
      <c r="J1576">
        <v>24</v>
      </c>
    </row>
    <row r="1577" spans="1:10" x14ac:dyDescent="0.3">
      <c r="A1577">
        <v>1021</v>
      </c>
      <c r="B1577" t="s">
        <v>28</v>
      </c>
      <c r="C1577" s="1">
        <v>45906</v>
      </c>
      <c r="D1577" t="s">
        <v>20</v>
      </c>
      <c r="E1577" t="s">
        <v>17</v>
      </c>
      <c r="F1577">
        <v>2</v>
      </c>
      <c r="G1577">
        <v>12</v>
      </c>
      <c r="H1577" t="s">
        <v>21</v>
      </c>
      <c r="I1577" t="s">
        <v>25</v>
      </c>
      <c r="J1577">
        <v>24</v>
      </c>
    </row>
    <row r="1578" spans="1:10" x14ac:dyDescent="0.3">
      <c r="A1578">
        <v>819</v>
      </c>
      <c r="B1578" t="s">
        <v>31</v>
      </c>
      <c r="C1578" s="1">
        <v>45886</v>
      </c>
      <c r="D1578" t="s">
        <v>11</v>
      </c>
      <c r="E1578" t="s">
        <v>17</v>
      </c>
      <c r="F1578">
        <v>3</v>
      </c>
      <c r="G1578">
        <v>12</v>
      </c>
      <c r="H1578" t="s">
        <v>13</v>
      </c>
      <c r="I1578" t="s">
        <v>27</v>
      </c>
      <c r="J1578">
        <v>36</v>
      </c>
    </row>
    <row r="1579" spans="1:10" x14ac:dyDescent="0.3">
      <c r="A1579">
        <v>187</v>
      </c>
      <c r="B1579" t="s">
        <v>26</v>
      </c>
      <c r="C1579" s="1">
        <v>45914</v>
      </c>
      <c r="D1579" t="s">
        <v>33</v>
      </c>
      <c r="E1579" t="s">
        <v>22</v>
      </c>
      <c r="F1579">
        <v>3</v>
      </c>
      <c r="G1579">
        <v>20</v>
      </c>
      <c r="H1579" t="s">
        <v>23</v>
      </c>
      <c r="I1579" t="s">
        <v>25</v>
      </c>
      <c r="J1579">
        <v>60</v>
      </c>
    </row>
    <row r="1580" spans="1:10" x14ac:dyDescent="0.3">
      <c r="A1580">
        <v>1113</v>
      </c>
      <c r="B1580" t="s">
        <v>19</v>
      </c>
      <c r="C1580" s="1">
        <v>45843</v>
      </c>
      <c r="D1580" t="s">
        <v>20</v>
      </c>
      <c r="E1580" t="s">
        <v>30</v>
      </c>
      <c r="F1580">
        <v>2</v>
      </c>
      <c r="G1580">
        <v>8</v>
      </c>
      <c r="H1580" t="s">
        <v>13</v>
      </c>
      <c r="I1580" t="s">
        <v>14</v>
      </c>
      <c r="J1580">
        <v>16</v>
      </c>
    </row>
    <row r="1581" spans="1:10" x14ac:dyDescent="0.3">
      <c r="A1581">
        <v>1391</v>
      </c>
      <c r="B1581" t="s">
        <v>26</v>
      </c>
      <c r="C1581" s="1">
        <v>45852</v>
      </c>
      <c r="D1581" t="s">
        <v>16</v>
      </c>
      <c r="E1581" t="s">
        <v>17</v>
      </c>
      <c r="F1581">
        <v>4</v>
      </c>
      <c r="G1581">
        <v>12</v>
      </c>
      <c r="H1581" t="s">
        <v>13</v>
      </c>
      <c r="I1581" t="s">
        <v>25</v>
      </c>
      <c r="J1581">
        <v>48</v>
      </c>
    </row>
    <row r="1582" spans="1:10" x14ac:dyDescent="0.3">
      <c r="A1582">
        <v>831</v>
      </c>
      <c r="B1582" t="s">
        <v>15</v>
      </c>
      <c r="C1582" s="1">
        <v>45839</v>
      </c>
      <c r="D1582" t="s">
        <v>16</v>
      </c>
      <c r="E1582" t="s">
        <v>17</v>
      </c>
      <c r="F1582">
        <v>3</v>
      </c>
      <c r="G1582">
        <v>12</v>
      </c>
      <c r="H1582" t="s">
        <v>23</v>
      </c>
      <c r="I1582" t="s">
        <v>27</v>
      </c>
      <c r="J1582">
        <v>36</v>
      </c>
    </row>
    <row r="1583" spans="1:10" x14ac:dyDescent="0.3">
      <c r="A1583">
        <v>1211</v>
      </c>
      <c r="B1583" t="s">
        <v>24</v>
      </c>
      <c r="C1583" s="1">
        <v>45840</v>
      </c>
      <c r="D1583" t="s">
        <v>33</v>
      </c>
      <c r="E1583" t="s">
        <v>17</v>
      </c>
      <c r="F1583">
        <v>4</v>
      </c>
      <c r="G1583">
        <v>12</v>
      </c>
      <c r="H1583" t="s">
        <v>21</v>
      </c>
      <c r="I1583" t="s">
        <v>27</v>
      </c>
      <c r="J1583">
        <v>48</v>
      </c>
    </row>
    <row r="1584" spans="1:10" x14ac:dyDescent="0.3">
      <c r="A1584">
        <v>1812</v>
      </c>
      <c r="B1584" t="s">
        <v>24</v>
      </c>
      <c r="C1584" s="1">
        <v>45927</v>
      </c>
      <c r="D1584" t="s">
        <v>33</v>
      </c>
      <c r="E1584" t="s">
        <v>17</v>
      </c>
      <c r="F1584">
        <v>4</v>
      </c>
      <c r="G1584">
        <v>12</v>
      </c>
      <c r="H1584" t="s">
        <v>23</v>
      </c>
      <c r="I1584" t="s">
        <v>14</v>
      </c>
      <c r="J1584">
        <v>48</v>
      </c>
    </row>
    <row r="1585" spans="1:10" x14ac:dyDescent="0.3">
      <c r="A1585">
        <v>191</v>
      </c>
      <c r="B1585" t="s">
        <v>28</v>
      </c>
      <c r="C1585" s="1">
        <v>45841</v>
      </c>
      <c r="D1585" t="s">
        <v>20</v>
      </c>
      <c r="E1585" t="s">
        <v>17</v>
      </c>
      <c r="F1585">
        <v>1</v>
      </c>
      <c r="G1585">
        <v>12</v>
      </c>
      <c r="H1585" t="s">
        <v>23</v>
      </c>
      <c r="I1585" t="s">
        <v>14</v>
      </c>
      <c r="J1585">
        <v>12</v>
      </c>
    </row>
    <row r="1586" spans="1:10" x14ac:dyDescent="0.3">
      <c r="A1586">
        <v>454</v>
      </c>
      <c r="B1586" t="s">
        <v>10</v>
      </c>
      <c r="C1586" s="1">
        <v>45893</v>
      </c>
      <c r="D1586" t="s">
        <v>11</v>
      </c>
      <c r="E1586" t="s">
        <v>17</v>
      </c>
      <c r="F1586">
        <v>4</v>
      </c>
      <c r="G1586">
        <v>12</v>
      </c>
      <c r="H1586" t="s">
        <v>23</v>
      </c>
      <c r="I1586" t="s">
        <v>18</v>
      </c>
      <c r="J1586">
        <v>48</v>
      </c>
    </row>
    <row r="1587" spans="1:10" x14ac:dyDescent="0.3">
      <c r="A1587">
        <v>1402</v>
      </c>
      <c r="B1587" t="s">
        <v>32</v>
      </c>
      <c r="C1587" s="1">
        <v>45900</v>
      </c>
      <c r="D1587" t="s">
        <v>16</v>
      </c>
      <c r="E1587" t="s">
        <v>17</v>
      </c>
      <c r="F1587">
        <v>5</v>
      </c>
      <c r="G1587">
        <v>12</v>
      </c>
      <c r="H1587" t="s">
        <v>13</v>
      </c>
      <c r="I1587" t="s">
        <v>27</v>
      </c>
      <c r="J1587">
        <v>60</v>
      </c>
    </row>
    <row r="1588" spans="1:10" x14ac:dyDescent="0.3">
      <c r="A1588">
        <v>901</v>
      </c>
      <c r="B1588" t="s">
        <v>15</v>
      </c>
      <c r="C1588" s="1">
        <v>45900</v>
      </c>
      <c r="D1588" t="s">
        <v>20</v>
      </c>
      <c r="E1588" t="s">
        <v>17</v>
      </c>
      <c r="F1588">
        <v>1</v>
      </c>
      <c r="G1588">
        <v>12</v>
      </c>
      <c r="H1588" t="s">
        <v>13</v>
      </c>
      <c r="I1588" t="s">
        <v>25</v>
      </c>
      <c r="J1588">
        <v>12</v>
      </c>
    </row>
    <row r="1589" spans="1:10" x14ac:dyDescent="0.3">
      <c r="A1589">
        <v>1137</v>
      </c>
      <c r="B1589" t="s">
        <v>28</v>
      </c>
      <c r="C1589" s="1">
        <v>45925</v>
      </c>
      <c r="D1589" t="s">
        <v>16</v>
      </c>
      <c r="E1589" t="s">
        <v>30</v>
      </c>
      <c r="F1589">
        <v>1</v>
      </c>
      <c r="G1589">
        <v>8</v>
      </c>
      <c r="H1589" t="s">
        <v>21</v>
      </c>
      <c r="I1589" t="s">
        <v>27</v>
      </c>
      <c r="J1589">
        <v>8</v>
      </c>
    </row>
    <row r="1590" spans="1:10" x14ac:dyDescent="0.3">
      <c r="A1590">
        <v>318</v>
      </c>
      <c r="B1590" t="s">
        <v>24</v>
      </c>
      <c r="C1590" s="1">
        <v>45844</v>
      </c>
      <c r="D1590" t="s">
        <v>33</v>
      </c>
      <c r="E1590" t="s">
        <v>17</v>
      </c>
      <c r="F1590">
        <v>2</v>
      </c>
      <c r="G1590">
        <v>12</v>
      </c>
      <c r="H1590" t="s">
        <v>21</v>
      </c>
      <c r="I1590" t="s">
        <v>27</v>
      </c>
      <c r="J1590">
        <v>24</v>
      </c>
    </row>
    <row r="1591" spans="1:10" x14ac:dyDescent="0.3">
      <c r="A1591">
        <v>646</v>
      </c>
      <c r="B1591" t="s">
        <v>15</v>
      </c>
      <c r="C1591" s="1">
        <v>45921</v>
      </c>
      <c r="D1591" t="s">
        <v>11</v>
      </c>
      <c r="E1591" t="s">
        <v>17</v>
      </c>
      <c r="F1591">
        <v>1</v>
      </c>
      <c r="G1591">
        <v>12</v>
      </c>
      <c r="H1591" t="s">
        <v>13</v>
      </c>
      <c r="I1591" t="s">
        <v>18</v>
      </c>
      <c r="J1591">
        <v>12</v>
      </c>
    </row>
    <row r="1592" spans="1:10" x14ac:dyDescent="0.3">
      <c r="A1592">
        <v>1929</v>
      </c>
      <c r="B1592" t="s">
        <v>19</v>
      </c>
      <c r="C1592" s="1">
        <v>45924</v>
      </c>
      <c r="D1592" t="s">
        <v>33</v>
      </c>
      <c r="E1592" t="s">
        <v>30</v>
      </c>
      <c r="F1592">
        <v>4</v>
      </c>
      <c r="G1592">
        <v>8</v>
      </c>
      <c r="H1592" t="s">
        <v>13</v>
      </c>
      <c r="I1592" t="s">
        <v>18</v>
      </c>
      <c r="J1592">
        <v>32</v>
      </c>
    </row>
    <row r="1593" spans="1:10" x14ac:dyDescent="0.3">
      <c r="A1593">
        <v>307</v>
      </c>
      <c r="B1593" t="s">
        <v>31</v>
      </c>
      <c r="C1593" s="1">
        <v>45846</v>
      </c>
      <c r="D1593" t="s">
        <v>20</v>
      </c>
      <c r="E1593" t="s">
        <v>17</v>
      </c>
      <c r="F1593">
        <v>3</v>
      </c>
      <c r="G1593">
        <v>12</v>
      </c>
      <c r="H1593" t="s">
        <v>13</v>
      </c>
      <c r="I1593" t="s">
        <v>18</v>
      </c>
      <c r="J1593">
        <v>36</v>
      </c>
    </row>
    <row r="1594" spans="1:10" x14ac:dyDescent="0.3">
      <c r="A1594">
        <v>1002</v>
      </c>
      <c r="B1594" t="s">
        <v>28</v>
      </c>
      <c r="C1594" s="1">
        <v>45842</v>
      </c>
      <c r="D1594" t="s">
        <v>20</v>
      </c>
      <c r="E1594" t="s">
        <v>30</v>
      </c>
      <c r="F1594">
        <v>1</v>
      </c>
      <c r="G1594">
        <v>8</v>
      </c>
      <c r="H1594" t="s">
        <v>21</v>
      </c>
      <c r="I1594" t="s">
        <v>27</v>
      </c>
      <c r="J1594">
        <v>8</v>
      </c>
    </row>
    <row r="1595" spans="1:10" x14ac:dyDescent="0.3">
      <c r="A1595">
        <v>1232</v>
      </c>
      <c r="B1595" t="s">
        <v>19</v>
      </c>
      <c r="C1595" s="1">
        <v>45865</v>
      </c>
      <c r="D1595" t="s">
        <v>20</v>
      </c>
      <c r="E1595" t="s">
        <v>12</v>
      </c>
      <c r="F1595">
        <v>2</v>
      </c>
      <c r="G1595">
        <v>25</v>
      </c>
      <c r="H1595" t="s">
        <v>13</v>
      </c>
      <c r="I1595" t="s">
        <v>14</v>
      </c>
      <c r="J1595">
        <v>50</v>
      </c>
    </row>
    <row r="1596" spans="1:10" x14ac:dyDescent="0.3">
      <c r="A1596">
        <v>138</v>
      </c>
      <c r="B1596" t="s">
        <v>24</v>
      </c>
      <c r="C1596" s="1">
        <v>45906</v>
      </c>
      <c r="D1596" t="s">
        <v>16</v>
      </c>
      <c r="E1596" t="s">
        <v>30</v>
      </c>
      <c r="F1596">
        <v>4</v>
      </c>
      <c r="G1596">
        <v>8</v>
      </c>
      <c r="H1596" t="s">
        <v>13</v>
      </c>
      <c r="I1596" t="s">
        <v>18</v>
      </c>
      <c r="J1596">
        <v>32</v>
      </c>
    </row>
    <row r="1597" spans="1:10" x14ac:dyDescent="0.3">
      <c r="A1597">
        <v>1435</v>
      </c>
      <c r="B1597" t="s">
        <v>31</v>
      </c>
      <c r="C1597" s="1">
        <v>45865</v>
      </c>
      <c r="D1597" t="s">
        <v>16</v>
      </c>
      <c r="E1597" t="s">
        <v>30</v>
      </c>
      <c r="F1597">
        <v>3</v>
      </c>
      <c r="G1597">
        <v>8</v>
      </c>
      <c r="H1597" t="s">
        <v>21</v>
      </c>
      <c r="I1597" t="s">
        <v>25</v>
      </c>
      <c r="J1597">
        <v>24</v>
      </c>
    </row>
    <row r="1598" spans="1:10" x14ac:dyDescent="0.3">
      <c r="A1598">
        <v>93</v>
      </c>
      <c r="B1598" t="s">
        <v>26</v>
      </c>
      <c r="C1598" s="1">
        <v>45867</v>
      </c>
      <c r="D1598" t="s">
        <v>20</v>
      </c>
      <c r="E1598" t="s">
        <v>17</v>
      </c>
      <c r="F1598">
        <v>4</v>
      </c>
      <c r="G1598">
        <v>12</v>
      </c>
      <c r="H1598" t="s">
        <v>23</v>
      </c>
      <c r="I1598" t="s">
        <v>25</v>
      </c>
      <c r="J1598">
        <v>48</v>
      </c>
    </row>
    <row r="1599" spans="1:10" x14ac:dyDescent="0.3">
      <c r="A1599">
        <v>265</v>
      </c>
      <c r="B1599" t="s">
        <v>32</v>
      </c>
      <c r="C1599" s="1">
        <v>45841</v>
      </c>
      <c r="D1599" t="s">
        <v>20</v>
      </c>
      <c r="E1599" t="s">
        <v>12</v>
      </c>
      <c r="F1599">
        <v>5</v>
      </c>
      <c r="G1599">
        <v>25</v>
      </c>
      <c r="H1599" t="s">
        <v>21</v>
      </c>
      <c r="I1599" t="s">
        <v>27</v>
      </c>
      <c r="J1599">
        <v>125</v>
      </c>
    </row>
    <row r="1600" spans="1:10" x14ac:dyDescent="0.3">
      <c r="A1600">
        <v>253</v>
      </c>
      <c r="B1600" t="s">
        <v>31</v>
      </c>
      <c r="C1600" s="1">
        <v>45848</v>
      </c>
      <c r="D1600" t="s">
        <v>11</v>
      </c>
      <c r="E1600" t="s">
        <v>30</v>
      </c>
      <c r="F1600">
        <v>4</v>
      </c>
      <c r="G1600">
        <v>8</v>
      </c>
      <c r="H1600" t="s">
        <v>21</v>
      </c>
      <c r="I1600" t="s">
        <v>27</v>
      </c>
      <c r="J1600">
        <v>32</v>
      </c>
    </row>
    <row r="1601" spans="1:10" x14ac:dyDescent="0.3">
      <c r="A1601">
        <v>443</v>
      </c>
      <c r="B1601" t="s">
        <v>24</v>
      </c>
      <c r="C1601" s="1">
        <v>45871</v>
      </c>
      <c r="D1601" t="s">
        <v>16</v>
      </c>
      <c r="E1601" t="s">
        <v>30</v>
      </c>
      <c r="F1601">
        <v>1</v>
      </c>
      <c r="G1601">
        <v>8</v>
      </c>
      <c r="H1601" t="s">
        <v>23</v>
      </c>
      <c r="I1601" t="s">
        <v>18</v>
      </c>
      <c r="J1601">
        <v>8</v>
      </c>
    </row>
    <row r="1602" spans="1:10" x14ac:dyDescent="0.3">
      <c r="A1602">
        <v>1722</v>
      </c>
      <c r="B1602" t="s">
        <v>32</v>
      </c>
      <c r="C1602" s="1">
        <v>45920</v>
      </c>
      <c r="D1602" t="s">
        <v>11</v>
      </c>
      <c r="E1602" t="s">
        <v>22</v>
      </c>
      <c r="F1602">
        <v>4</v>
      </c>
      <c r="G1602">
        <v>20</v>
      </c>
      <c r="H1602" t="s">
        <v>21</v>
      </c>
      <c r="I1602" t="s">
        <v>27</v>
      </c>
      <c r="J1602">
        <v>80</v>
      </c>
    </row>
    <row r="1603" spans="1:10" x14ac:dyDescent="0.3">
      <c r="A1603">
        <v>342</v>
      </c>
      <c r="B1603" t="s">
        <v>31</v>
      </c>
      <c r="C1603" s="1">
        <v>45890</v>
      </c>
      <c r="D1603" t="s">
        <v>11</v>
      </c>
      <c r="E1603" t="s">
        <v>17</v>
      </c>
      <c r="F1603">
        <v>1</v>
      </c>
      <c r="G1603">
        <v>12</v>
      </c>
      <c r="H1603" t="s">
        <v>13</v>
      </c>
      <c r="I1603" t="s">
        <v>27</v>
      </c>
      <c r="J1603">
        <v>12</v>
      </c>
    </row>
    <row r="1604" spans="1:10" x14ac:dyDescent="0.3">
      <c r="A1604">
        <v>1024</v>
      </c>
      <c r="B1604" t="s">
        <v>26</v>
      </c>
      <c r="C1604" s="1">
        <v>45851</v>
      </c>
      <c r="D1604" t="s">
        <v>16</v>
      </c>
      <c r="E1604" t="s">
        <v>17</v>
      </c>
      <c r="F1604">
        <v>3</v>
      </c>
      <c r="G1604">
        <v>12</v>
      </c>
      <c r="H1604" t="s">
        <v>21</v>
      </c>
      <c r="I1604" t="s">
        <v>14</v>
      </c>
      <c r="J1604">
        <v>36</v>
      </c>
    </row>
    <row r="1605" spans="1:10" x14ac:dyDescent="0.3">
      <c r="A1605">
        <v>1928</v>
      </c>
      <c r="B1605" t="s">
        <v>32</v>
      </c>
      <c r="C1605" s="1">
        <v>45916</v>
      </c>
      <c r="D1605" t="s">
        <v>11</v>
      </c>
      <c r="E1605" t="s">
        <v>30</v>
      </c>
      <c r="F1605">
        <v>2</v>
      </c>
      <c r="G1605">
        <v>8</v>
      </c>
      <c r="H1605" t="s">
        <v>13</v>
      </c>
      <c r="I1605" t="s">
        <v>25</v>
      </c>
      <c r="J1605">
        <v>16</v>
      </c>
    </row>
    <row r="1606" spans="1:10" x14ac:dyDescent="0.3">
      <c r="A1606">
        <v>446</v>
      </c>
      <c r="B1606" t="s">
        <v>32</v>
      </c>
      <c r="C1606" s="1">
        <v>45889</v>
      </c>
      <c r="D1606" t="s">
        <v>33</v>
      </c>
      <c r="E1606" t="s">
        <v>17</v>
      </c>
      <c r="F1606">
        <v>2</v>
      </c>
      <c r="G1606">
        <v>12</v>
      </c>
      <c r="H1606" t="s">
        <v>21</v>
      </c>
      <c r="I1606" t="s">
        <v>18</v>
      </c>
      <c r="J1606">
        <v>24</v>
      </c>
    </row>
    <row r="1607" spans="1:10" x14ac:dyDescent="0.3">
      <c r="A1607">
        <v>1541</v>
      </c>
      <c r="B1607" t="s">
        <v>28</v>
      </c>
      <c r="C1607" s="1">
        <v>45876</v>
      </c>
      <c r="D1607" t="s">
        <v>20</v>
      </c>
      <c r="E1607" t="s">
        <v>17</v>
      </c>
      <c r="F1607">
        <v>1</v>
      </c>
      <c r="G1607">
        <v>12</v>
      </c>
      <c r="H1607" t="s">
        <v>13</v>
      </c>
      <c r="I1607" t="s">
        <v>18</v>
      </c>
      <c r="J1607">
        <v>12</v>
      </c>
    </row>
    <row r="1608" spans="1:10" x14ac:dyDescent="0.3">
      <c r="A1608">
        <v>486</v>
      </c>
      <c r="B1608" t="s">
        <v>10</v>
      </c>
      <c r="C1608" s="1">
        <v>45874</v>
      </c>
      <c r="D1608" t="s">
        <v>11</v>
      </c>
      <c r="E1608" t="s">
        <v>29</v>
      </c>
      <c r="F1608">
        <v>3</v>
      </c>
      <c r="G1608">
        <v>30</v>
      </c>
      <c r="H1608" t="s">
        <v>21</v>
      </c>
      <c r="I1608" t="s">
        <v>14</v>
      </c>
      <c r="J1608">
        <v>90</v>
      </c>
    </row>
    <row r="1609" spans="1:10" x14ac:dyDescent="0.3">
      <c r="A1609">
        <v>258</v>
      </c>
      <c r="B1609" t="s">
        <v>10</v>
      </c>
      <c r="C1609" s="1">
        <v>45896</v>
      </c>
      <c r="D1609" t="s">
        <v>20</v>
      </c>
      <c r="E1609" t="s">
        <v>17</v>
      </c>
      <c r="F1609">
        <v>3</v>
      </c>
      <c r="G1609">
        <v>12</v>
      </c>
      <c r="H1609" t="s">
        <v>21</v>
      </c>
      <c r="I1609" t="s">
        <v>27</v>
      </c>
      <c r="J1609">
        <v>36</v>
      </c>
    </row>
    <row r="1610" spans="1:10" x14ac:dyDescent="0.3">
      <c r="A1610">
        <v>204</v>
      </c>
      <c r="B1610" t="s">
        <v>24</v>
      </c>
      <c r="C1610" s="1">
        <v>45850</v>
      </c>
      <c r="D1610" t="s">
        <v>11</v>
      </c>
      <c r="E1610" t="s">
        <v>17</v>
      </c>
      <c r="F1610">
        <v>1</v>
      </c>
      <c r="G1610">
        <v>12</v>
      </c>
      <c r="H1610" t="s">
        <v>13</v>
      </c>
      <c r="I1610" t="s">
        <v>14</v>
      </c>
      <c r="J1610">
        <v>12</v>
      </c>
    </row>
    <row r="1611" spans="1:10" x14ac:dyDescent="0.3">
      <c r="A1611">
        <v>393</v>
      </c>
      <c r="B1611" t="s">
        <v>19</v>
      </c>
      <c r="C1611" s="1">
        <v>45857</v>
      </c>
      <c r="D1611" t="s">
        <v>16</v>
      </c>
      <c r="E1611" t="s">
        <v>17</v>
      </c>
      <c r="F1611">
        <v>4</v>
      </c>
      <c r="G1611">
        <v>12</v>
      </c>
      <c r="H1611" t="s">
        <v>21</v>
      </c>
      <c r="I1611" t="s">
        <v>18</v>
      </c>
      <c r="J1611">
        <v>48</v>
      </c>
    </row>
    <row r="1612" spans="1:10" x14ac:dyDescent="0.3">
      <c r="A1612">
        <v>1703</v>
      </c>
      <c r="B1612" t="s">
        <v>28</v>
      </c>
      <c r="C1612" s="1">
        <v>45856</v>
      </c>
      <c r="D1612" t="s">
        <v>16</v>
      </c>
      <c r="E1612" t="s">
        <v>17</v>
      </c>
      <c r="F1612">
        <v>5</v>
      </c>
      <c r="G1612">
        <v>12</v>
      </c>
      <c r="H1612" t="s">
        <v>13</v>
      </c>
      <c r="I1612" t="s">
        <v>14</v>
      </c>
      <c r="J1612">
        <v>60</v>
      </c>
    </row>
    <row r="1613" spans="1:10" x14ac:dyDescent="0.3">
      <c r="A1613">
        <v>1331</v>
      </c>
      <c r="B1613" t="s">
        <v>10</v>
      </c>
      <c r="C1613" s="1">
        <v>45906</v>
      </c>
      <c r="D1613" t="s">
        <v>33</v>
      </c>
      <c r="E1613" t="s">
        <v>12</v>
      </c>
      <c r="F1613">
        <v>4</v>
      </c>
      <c r="G1613">
        <v>25</v>
      </c>
      <c r="H1613" t="s">
        <v>21</v>
      </c>
      <c r="I1613" t="s">
        <v>27</v>
      </c>
      <c r="J1613">
        <v>100</v>
      </c>
    </row>
    <row r="1614" spans="1:10" x14ac:dyDescent="0.3">
      <c r="A1614">
        <v>1085</v>
      </c>
      <c r="B1614" t="s">
        <v>10</v>
      </c>
      <c r="C1614" s="1">
        <v>45864</v>
      </c>
      <c r="D1614" t="s">
        <v>20</v>
      </c>
      <c r="E1614" t="s">
        <v>30</v>
      </c>
      <c r="F1614">
        <v>4</v>
      </c>
      <c r="G1614">
        <v>8</v>
      </c>
      <c r="H1614" t="s">
        <v>13</v>
      </c>
      <c r="I1614" t="s">
        <v>27</v>
      </c>
      <c r="J1614">
        <v>32</v>
      </c>
    </row>
    <row r="1615" spans="1:10" x14ac:dyDescent="0.3">
      <c r="A1615">
        <v>889</v>
      </c>
      <c r="B1615" t="s">
        <v>31</v>
      </c>
      <c r="C1615" s="1">
        <v>45845</v>
      </c>
      <c r="D1615" t="s">
        <v>33</v>
      </c>
      <c r="E1615" t="s">
        <v>22</v>
      </c>
      <c r="F1615">
        <v>2</v>
      </c>
      <c r="G1615">
        <v>20</v>
      </c>
      <c r="H1615" t="s">
        <v>21</v>
      </c>
      <c r="I1615" t="s">
        <v>25</v>
      </c>
      <c r="J1615">
        <v>40</v>
      </c>
    </row>
    <row r="1616" spans="1:10" x14ac:dyDescent="0.3">
      <c r="A1616">
        <v>730</v>
      </c>
      <c r="B1616" t="s">
        <v>31</v>
      </c>
      <c r="C1616" s="1">
        <v>45843</v>
      </c>
      <c r="D1616" t="s">
        <v>33</v>
      </c>
      <c r="E1616" t="s">
        <v>17</v>
      </c>
      <c r="F1616">
        <v>2</v>
      </c>
      <c r="G1616">
        <v>12</v>
      </c>
      <c r="H1616" t="s">
        <v>23</v>
      </c>
      <c r="I1616" t="s">
        <v>14</v>
      </c>
      <c r="J1616">
        <v>24</v>
      </c>
    </row>
    <row r="1617" spans="1:10" x14ac:dyDescent="0.3">
      <c r="A1617">
        <v>635</v>
      </c>
      <c r="B1617" t="s">
        <v>26</v>
      </c>
      <c r="C1617" s="1">
        <v>45851</v>
      </c>
      <c r="D1617" t="s">
        <v>20</v>
      </c>
      <c r="E1617" t="s">
        <v>30</v>
      </c>
      <c r="F1617">
        <v>2</v>
      </c>
      <c r="G1617">
        <v>8</v>
      </c>
      <c r="H1617" t="s">
        <v>23</v>
      </c>
      <c r="I1617" t="s">
        <v>27</v>
      </c>
      <c r="J1617">
        <v>16</v>
      </c>
    </row>
    <row r="1618" spans="1:10" x14ac:dyDescent="0.3">
      <c r="A1618">
        <v>1976</v>
      </c>
      <c r="B1618" t="s">
        <v>24</v>
      </c>
      <c r="C1618" s="1">
        <v>45923</v>
      </c>
      <c r="D1618" t="s">
        <v>11</v>
      </c>
      <c r="E1618" t="s">
        <v>29</v>
      </c>
      <c r="F1618">
        <v>1</v>
      </c>
      <c r="G1618">
        <v>30</v>
      </c>
      <c r="H1618" t="s">
        <v>13</v>
      </c>
      <c r="I1618" t="s">
        <v>27</v>
      </c>
      <c r="J1618">
        <v>30</v>
      </c>
    </row>
    <row r="1619" spans="1:10" x14ac:dyDescent="0.3">
      <c r="A1619">
        <v>1438</v>
      </c>
      <c r="B1619" t="s">
        <v>15</v>
      </c>
      <c r="C1619" s="1">
        <v>45894</v>
      </c>
      <c r="D1619" t="s">
        <v>11</v>
      </c>
      <c r="E1619" t="s">
        <v>12</v>
      </c>
      <c r="F1619">
        <v>5</v>
      </c>
      <c r="G1619">
        <v>25</v>
      </c>
      <c r="H1619" t="s">
        <v>21</v>
      </c>
      <c r="I1619" t="s">
        <v>14</v>
      </c>
      <c r="J1619">
        <v>125</v>
      </c>
    </row>
    <row r="1620" spans="1:10" x14ac:dyDescent="0.3">
      <c r="A1620">
        <v>992</v>
      </c>
      <c r="B1620" t="s">
        <v>31</v>
      </c>
      <c r="C1620" s="1">
        <v>45876</v>
      </c>
      <c r="D1620" t="s">
        <v>20</v>
      </c>
      <c r="E1620" t="s">
        <v>22</v>
      </c>
      <c r="F1620">
        <v>3</v>
      </c>
      <c r="G1620">
        <v>20</v>
      </c>
      <c r="H1620" t="s">
        <v>21</v>
      </c>
      <c r="I1620" t="s">
        <v>25</v>
      </c>
      <c r="J1620">
        <v>60</v>
      </c>
    </row>
    <row r="1621" spans="1:10" x14ac:dyDescent="0.3">
      <c r="A1621">
        <v>324</v>
      </c>
      <c r="B1621" t="s">
        <v>26</v>
      </c>
      <c r="C1621" s="1">
        <v>45864</v>
      </c>
      <c r="D1621" t="s">
        <v>16</v>
      </c>
      <c r="E1621" t="s">
        <v>17</v>
      </c>
      <c r="F1621">
        <v>3</v>
      </c>
      <c r="G1621">
        <v>12</v>
      </c>
      <c r="H1621" t="s">
        <v>23</v>
      </c>
      <c r="I1621" t="s">
        <v>18</v>
      </c>
      <c r="J1621">
        <v>36</v>
      </c>
    </row>
    <row r="1622" spans="1:10" x14ac:dyDescent="0.3">
      <c r="A1622">
        <v>105</v>
      </c>
      <c r="B1622" t="s">
        <v>26</v>
      </c>
      <c r="C1622" s="1">
        <v>45879</v>
      </c>
      <c r="D1622" t="s">
        <v>16</v>
      </c>
      <c r="E1622" t="s">
        <v>30</v>
      </c>
      <c r="F1622">
        <v>5</v>
      </c>
      <c r="G1622">
        <v>8</v>
      </c>
      <c r="H1622" t="s">
        <v>13</v>
      </c>
      <c r="I1622" t="s">
        <v>14</v>
      </c>
      <c r="J1622">
        <v>40</v>
      </c>
    </row>
    <row r="1623" spans="1:10" x14ac:dyDescent="0.3">
      <c r="A1623">
        <v>1063</v>
      </c>
      <c r="B1623" t="s">
        <v>28</v>
      </c>
      <c r="C1623" s="1">
        <v>45878</v>
      </c>
      <c r="D1623" t="s">
        <v>16</v>
      </c>
      <c r="E1623" t="s">
        <v>12</v>
      </c>
      <c r="F1623">
        <v>1</v>
      </c>
      <c r="G1623">
        <v>25</v>
      </c>
      <c r="H1623" t="s">
        <v>23</v>
      </c>
      <c r="I1623" t="s">
        <v>25</v>
      </c>
      <c r="J1623">
        <v>25</v>
      </c>
    </row>
    <row r="1624" spans="1:10" x14ac:dyDescent="0.3">
      <c r="A1624">
        <v>651</v>
      </c>
      <c r="B1624" t="s">
        <v>28</v>
      </c>
      <c r="C1624" s="1">
        <v>45887</v>
      </c>
      <c r="D1624" t="s">
        <v>16</v>
      </c>
      <c r="E1624" t="s">
        <v>17</v>
      </c>
      <c r="F1624">
        <v>5</v>
      </c>
      <c r="G1624">
        <v>12</v>
      </c>
      <c r="H1624" t="s">
        <v>21</v>
      </c>
      <c r="I1624" t="s">
        <v>14</v>
      </c>
      <c r="J1624">
        <v>60</v>
      </c>
    </row>
    <row r="1625" spans="1:10" x14ac:dyDescent="0.3">
      <c r="A1625">
        <v>597</v>
      </c>
      <c r="B1625" t="s">
        <v>15</v>
      </c>
      <c r="C1625" s="1">
        <v>45884</v>
      </c>
      <c r="D1625" t="s">
        <v>11</v>
      </c>
      <c r="E1625" t="s">
        <v>17</v>
      </c>
      <c r="F1625">
        <v>3</v>
      </c>
      <c r="G1625">
        <v>12</v>
      </c>
      <c r="H1625" t="s">
        <v>23</v>
      </c>
      <c r="I1625" t="s">
        <v>14</v>
      </c>
      <c r="J1625">
        <v>36</v>
      </c>
    </row>
    <row r="1626" spans="1:10" x14ac:dyDescent="0.3">
      <c r="A1626">
        <v>1397</v>
      </c>
      <c r="B1626" t="s">
        <v>32</v>
      </c>
      <c r="C1626" s="1">
        <v>45902</v>
      </c>
      <c r="D1626" t="s">
        <v>16</v>
      </c>
      <c r="E1626" t="s">
        <v>22</v>
      </c>
      <c r="F1626">
        <v>2</v>
      </c>
      <c r="G1626">
        <v>20</v>
      </c>
      <c r="H1626" t="s">
        <v>13</v>
      </c>
      <c r="I1626" t="s">
        <v>25</v>
      </c>
      <c r="J1626">
        <v>40</v>
      </c>
    </row>
    <row r="1627" spans="1:10" x14ac:dyDescent="0.3">
      <c r="A1627">
        <v>1431</v>
      </c>
      <c r="B1627" t="s">
        <v>24</v>
      </c>
      <c r="C1627" s="1">
        <v>45841</v>
      </c>
      <c r="D1627" t="s">
        <v>11</v>
      </c>
      <c r="E1627" t="s">
        <v>12</v>
      </c>
      <c r="F1627">
        <v>1</v>
      </c>
      <c r="G1627">
        <v>25</v>
      </c>
      <c r="H1627" t="s">
        <v>13</v>
      </c>
      <c r="I1627" t="s">
        <v>27</v>
      </c>
      <c r="J1627">
        <v>25</v>
      </c>
    </row>
    <row r="1628" spans="1:10" x14ac:dyDescent="0.3">
      <c r="A1628">
        <v>1298</v>
      </c>
      <c r="B1628" t="s">
        <v>24</v>
      </c>
      <c r="C1628" s="1">
        <v>45916</v>
      </c>
      <c r="D1628" t="s">
        <v>16</v>
      </c>
      <c r="E1628" t="s">
        <v>17</v>
      </c>
      <c r="F1628">
        <v>1</v>
      </c>
      <c r="G1628">
        <v>12</v>
      </c>
      <c r="H1628" t="s">
        <v>21</v>
      </c>
      <c r="I1628" t="s">
        <v>25</v>
      </c>
      <c r="J1628">
        <v>12</v>
      </c>
    </row>
    <row r="1629" spans="1:10" x14ac:dyDescent="0.3">
      <c r="A1629">
        <v>112</v>
      </c>
      <c r="B1629" t="s">
        <v>28</v>
      </c>
      <c r="C1629" s="1">
        <v>45885</v>
      </c>
      <c r="D1629" t="s">
        <v>33</v>
      </c>
      <c r="E1629" t="s">
        <v>17</v>
      </c>
      <c r="F1629">
        <v>2</v>
      </c>
      <c r="G1629">
        <v>12</v>
      </c>
      <c r="H1629" t="s">
        <v>23</v>
      </c>
      <c r="I1629" t="s">
        <v>14</v>
      </c>
      <c r="J1629">
        <v>24</v>
      </c>
    </row>
    <row r="1630" spans="1:10" x14ac:dyDescent="0.3">
      <c r="A1630">
        <v>409</v>
      </c>
      <c r="B1630" t="s">
        <v>31</v>
      </c>
      <c r="C1630" s="1">
        <v>45878</v>
      </c>
      <c r="D1630" t="s">
        <v>11</v>
      </c>
      <c r="E1630" t="s">
        <v>29</v>
      </c>
      <c r="F1630">
        <v>1</v>
      </c>
      <c r="G1630">
        <v>30</v>
      </c>
      <c r="H1630" t="s">
        <v>13</v>
      </c>
      <c r="I1630" t="s">
        <v>27</v>
      </c>
      <c r="J1630">
        <v>30</v>
      </c>
    </row>
    <row r="1631" spans="1:10" x14ac:dyDescent="0.3">
      <c r="A1631">
        <v>403</v>
      </c>
      <c r="B1631" t="s">
        <v>32</v>
      </c>
      <c r="C1631" s="1">
        <v>45853</v>
      </c>
      <c r="D1631" t="s">
        <v>11</v>
      </c>
      <c r="E1631" t="s">
        <v>17</v>
      </c>
      <c r="F1631">
        <v>5</v>
      </c>
      <c r="G1631">
        <v>12</v>
      </c>
      <c r="H1631" t="s">
        <v>13</v>
      </c>
      <c r="I1631" t="s">
        <v>14</v>
      </c>
      <c r="J1631">
        <v>60</v>
      </c>
    </row>
    <row r="1632" spans="1:10" x14ac:dyDescent="0.3">
      <c r="A1632">
        <v>1946</v>
      </c>
      <c r="B1632" t="s">
        <v>19</v>
      </c>
      <c r="C1632" s="1">
        <v>45904</v>
      </c>
      <c r="D1632" t="s">
        <v>20</v>
      </c>
      <c r="E1632" t="s">
        <v>17</v>
      </c>
      <c r="F1632">
        <v>5</v>
      </c>
      <c r="G1632">
        <v>12</v>
      </c>
      <c r="H1632" t="s">
        <v>13</v>
      </c>
      <c r="I1632" t="s">
        <v>27</v>
      </c>
      <c r="J1632">
        <v>60</v>
      </c>
    </row>
    <row r="1633" spans="1:10" x14ac:dyDescent="0.3">
      <c r="A1633">
        <v>1609</v>
      </c>
      <c r="B1633" t="s">
        <v>10</v>
      </c>
      <c r="C1633" s="1">
        <v>45844</v>
      </c>
      <c r="D1633" t="s">
        <v>11</v>
      </c>
      <c r="E1633" t="s">
        <v>29</v>
      </c>
      <c r="F1633">
        <v>4</v>
      </c>
      <c r="G1633">
        <v>30</v>
      </c>
      <c r="H1633" t="s">
        <v>13</v>
      </c>
      <c r="I1633" t="s">
        <v>14</v>
      </c>
      <c r="J1633">
        <v>120</v>
      </c>
    </row>
    <row r="1634" spans="1:10" x14ac:dyDescent="0.3">
      <c r="A1634">
        <v>167</v>
      </c>
      <c r="B1634" t="s">
        <v>19</v>
      </c>
      <c r="C1634" s="1">
        <v>45885</v>
      </c>
      <c r="D1634" t="s">
        <v>16</v>
      </c>
      <c r="E1634" t="s">
        <v>12</v>
      </c>
      <c r="F1634">
        <v>2</v>
      </c>
      <c r="G1634">
        <v>25</v>
      </c>
      <c r="H1634" t="s">
        <v>21</v>
      </c>
      <c r="I1634" t="s">
        <v>18</v>
      </c>
      <c r="J1634">
        <v>50</v>
      </c>
    </row>
    <row r="1635" spans="1:10" x14ac:dyDescent="0.3">
      <c r="A1635">
        <v>66</v>
      </c>
      <c r="B1635" t="s">
        <v>26</v>
      </c>
      <c r="C1635" s="1">
        <v>45893</v>
      </c>
      <c r="D1635" t="s">
        <v>16</v>
      </c>
      <c r="E1635" t="s">
        <v>30</v>
      </c>
      <c r="F1635">
        <v>1</v>
      </c>
      <c r="G1635">
        <v>8</v>
      </c>
      <c r="H1635" t="s">
        <v>23</v>
      </c>
      <c r="I1635" t="s">
        <v>18</v>
      </c>
      <c r="J1635">
        <v>8</v>
      </c>
    </row>
    <row r="1636" spans="1:10" x14ac:dyDescent="0.3">
      <c r="A1636">
        <v>19</v>
      </c>
      <c r="B1636" t="s">
        <v>19</v>
      </c>
      <c r="C1636" s="1">
        <v>45899</v>
      </c>
      <c r="D1636" t="s">
        <v>33</v>
      </c>
      <c r="E1636" t="s">
        <v>17</v>
      </c>
      <c r="F1636">
        <v>5</v>
      </c>
      <c r="G1636">
        <v>12</v>
      </c>
      <c r="H1636" t="s">
        <v>23</v>
      </c>
      <c r="I1636" t="s">
        <v>18</v>
      </c>
      <c r="J1636">
        <v>60</v>
      </c>
    </row>
    <row r="1637" spans="1:10" x14ac:dyDescent="0.3">
      <c r="A1637">
        <v>1654</v>
      </c>
      <c r="B1637" t="s">
        <v>28</v>
      </c>
      <c r="C1637" s="1">
        <v>45914</v>
      </c>
      <c r="D1637" t="s">
        <v>11</v>
      </c>
      <c r="E1637" t="s">
        <v>17</v>
      </c>
      <c r="F1637">
        <v>3</v>
      </c>
      <c r="G1637">
        <v>12</v>
      </c>
      <c r="H1637" t="s">
        <v>13</v>
      </c>
      <c r="I1637" t="s">
        <v>27</v>
      </c>
      <c r="J1637">
        <v>36</v>
      </c>
    </row>
    <row r="1638" spans="1:10" x14ac:dyDescent="0.3">
      <c r="A1638">
        <v>278</v>
      </c>
      <c r="B1638" t="s">
        <v>10</v>
      </c>
      <c r="C1638" s="1">
        <v>45849</v>
      </c>
      <c r="D1638" t="s">
        <v>20</v>
      </c>
      <c r="E1638" t="s">
        <v>12</v>
      </c>
      <c r="F1638">
        <v>3</v>
      </c>
      <c r="G1638">
        <v>25</v>
      </c>
      <c r="H1638" t="s">
        <v>13</v>
      </c>
      <c r="I1638" t="s">
        <v>18</v>
      </c>
      <c r="J1638">
        <v>75</v>
      </c>
    </row>
    <row r="1639" spans="1:10" x14ac:dyDescent="0.3">
      <c r="A1639">
        <v>465</v>
      </c>
      <c r="B1639" t="s">
        <v>31</v>
      </c>
      <c r="C1639" s="1">
        <v>45864</v>
      </c>
      <c r="D1639" t="s">
        <v>33</v>
      </c>
      <c r="E1639" t="s">
        <v>12</v>
      </c>
      <c r="F1639">
        <v>2</v>
      </c>
      <c r="G1639">
        <v>25</v>
      </c>
      <c r="H1639" t="s">
        <v>13</v>
      </c>
      <c r="I1639" t="s">
        <v>25</v>
      </c>
      <c r="J1639">
        <v>50</v>
      </c>
    </row>
    <row r="1640" spans="1:10" x14ac:dyDescent="0.3">
      <c r="A1640">
        <v>1957</v>
      </c>
      <c r="B1640" t="s">
        <v>10</v>
      </c>
      <c r="C1640" s="1">
        <v>45844</v>
      </c>
      <c r="D1640" t="s">
        <v>11</v>
      </c>
      <c r="E1640" t="s">
        <v>29</v>
      </c>
      <c r="F1640">
        <v>2</v>
      </c>
      <c r="G1640">
        <v>30</v>
      </c>
      <c r="H1640" t="s">
        <v>21</v>
      </c>
      <c r="I1640" t="s">
        <v>25</v>
      </c>
      <c r="J1640">
        <v>60</v>
      </c>
    </row>
    <row r="1641" spans="1:10" x14ac:dyDescent="0.3">
      <c r="A1641">
        <v>427</v>
      </c>
      <c r="B1641" t="s">
        <v>24</v>
      </c>
      <c r="C1641" s="1">
        <v>45851</v>
      </c>
      <c r="D1641" t="s">
        <v>11</v>
      </c>
      <c r="E1641" t="s">
        <v>17</v>
      </c>
      <c r="F1641">
        <v>2</v>
      </c>
      <c r="G1641">
        <v>12</v>
      </c>
      <c r="H1641" t="s">
        <v>13</v>
      </c>
      <c r="I1641" t="s">
        <v>14</v>
      </c>
      <c r="J1641">
        <v>24</v>
      </c>
    </row>
    <row r="1642" spans="1:10" x14ac:dyDescent="0.3">
      <c r="A1642">
        <v>950</v>
      </c>
      <c r="B1642" t="s">
        <v>15</v>
      </c>
      <c r="C1642" s="1">
        <v>45923</v>
      </c>
      <c r="D1642" t="s">
        <v>16</v>
      </c>
      <c r="E1642" t="s">
        <v>29</v>
      </c>
      <c r="F1642">
        <v>1</v>
      </c>
      <c r="G1642">
        <v>30</v>
      </c>
      <c r="H1642" t="s">
        <v>13</v>
      </c>
      <c r="I1642" t="s">
        <v>14</v>
      </c>
      <c r="J1642">
        <v>30</v>
      </c>
    </row>
    <row r="1643" spans="1:10" x14ac:dyDescent="0.3">
      <c r="A1643">
        <v>1707</v>
      </c>
      <c r="B1643" t="s">
        <v>32</v>
      </c>
      <c r="C1643" s="1">
        <v>45882</v>
      </c>
      <c r="D1643" t="s">
        <v>33</v>
      </c>
      <c r="E1643" t="s">
        <v>30</v>
      </c>
      <c r="F1643">
        <v>1</v>
      </c>
      <c r="G1643">
        <v>8</v>
      </c>
      <c r="H1643" t="s">
        <v>21</v>
      </c>
      <c r="I1643" t="s">
        <v>18</v>
      </c>
      <c r="J1643">
        <v>8</v>
      </c>
    </row>
    <row r="1644" spans="1:10" x14ac:dyDescent="0.3">
      <c r="A1644">
        <v>1686</v>
      </c>
      <c r="B1644" t="s">
        <v>24</v>
      </c>
      <c r="C1644" s="1">
        <v>45929</v>
      </c>
      <c r="D1644" t="s">
        <v>20</v>
      </c>
      <c r="E1644" t="s">
        <v>12</v>
      </c>
      <c r="F1644">
        <v>4</v>
      </c>
      <c r="G1644">
        <v>25</v>
      </c>
      <c r="H1644" t="s">
        <v>13</v>
      </c>
      <c r="I1644" t="s">
        <v>18</v>
      </c>
      <c r="J1644">
        <v>100</v>
      </c>
    </row>
    <row r="1645" spans="1:10" x14ac:dyDescent="0.3">
      <c r="A1645">
        <v>1550</v>
      </c>
      <c r="B1645" t="s">
        <v>19</v>
      </c>
      <c r="C1645" s="1">
        <v>45889</v>
      </c>
      <c r="D1645" t="s">
        <v>16</v>
      </c>
      <c r="E1645" t="s">
        <v>12</v>
      </c>
      <c r="F1645">
        <v>3</v>
      </c>
      <c r="G1645">
        <v>25</v>
      </c>
      <c r="H1645" t="s">
        <v>23</v>
      </c>
      <c r="I1645" t="s">
        <v>25</v>
      </c>
      <c r="J1645">
        <v>75</v>
      </c>
    </row>
    <row r="1646" spans="1:10" x14ac:dyDescent="0.3">
      <c r="A1646">
        <v>818</v>
      </c>
      <c r="B1646" t="s">
        <v>32</v>
      </c>
      <c r="C1646" s="1">
        <v>45921</v>
      </c>
      <c r="D1646" t="s">
        <v>11</v>
      </c>
      <c r="E1646" t="s">
        <v>17</v>
      </c>
      <c r="F1646">
        <v>1</v>
      </c>
      <c r="G1646">
        <v>12</v>
      </c>
      <c r="H1646" t="s">
        <v>13</v>
      </c>
      <c r="I1646" t="s">
        <v>18</v>
      </c>
      <c r="J1646">
        <v>12</v>
      </c>
    </row>
    <row r="1647" spans="1:10" x14ac:dyDescent="0.3">
      <c r="A1647">
        <v>1269</v>
      </c>
      <c r="B1647" t="s">
        <v>15</v>
      </c>
      <c r="C1647" s="1">
        <v>45866</v>
      </c>
      <c r="D1647" t="s">
        <v>16</v>
      </c>
      <c r="E1647" t="s">
        <v>12</v>
      </c>
      <c r="F1647">
        <v>2</v>
      </c>
      <c r="G1647">
        <v>25</v>
      </c>
      <c r="H1647" t="s">
        <v>21</v>
      </c>
      <c r="I1647" t="s">
        <v>14</v>
      </c>
      <c r="J1647">
        <v>50</v>
      </c>
    </row>
    <row r="1648" spans="1:10" x14ac:dyDescent="0.3">
      <c r="A1648">
        <v>858</v>
      </c>
      <c r="B1648" t="s">
        <v>32</v>
      </c>
      <c r="C1648" s="1">
        <v>45853</v>
      </c>
      <c r="D1648" t="s">
        <v>33</v>
      </c>
      <c r="E1648" t="s">
        <v>17</v>
      </c>
      <c r="F1648">
        <v>1</v>
      </c>
      <c r="G1648">
        <v>12</v>
      </c>
      <c r="H1648" t="s">
        <v>21</v>
      </c>
      <c r="I1648" t="s">
        <v>18</v>
      </c>
      <c r="J1648">
        <v>12</v>
      </c>
    </row>
    <row r="1649" spans="1:10" x14ac:dyDescent="0.3">
      <c r="A1649">
        <v>834</v>
      </c>
      <c r="B1649" t="s">
        <v>31</v>
      </c>
      <c r="C1649" s="1">
        <v>45849</v>
      </c>
      <c r="D1649" t="s">
        <v>33</v>
      </c>
      <c r="E1649" t="s">
        <v>17</v>
      </c>
      <c r="F1649">
        <v>5</v>
      </c>
      <c r="G1649">
        <v>12</v>
      </c>
      <c r="H1649" t="s">
        <v>21</v>
      </c>
      <c r="I1649" t="s">
        <v>14</v>
      </c>
      <c r="J1649">
        <v>60</v>
      </c>
    </row>
    <row r="1650" spans="1:10" x14ac:dyDescent="0.3">
      <c r="A1650">
        <v>228</v>
      </c>
      <c r="B1650" t="s">
        <v>10</v>
      </c>
      <c r="C1650" s="1">
        <v>45929</v>
      </c>
      <c r="D1650" t="s">
        <v>33</v>
      </c>
      <c r="E1650" t="s">
        <v>12</v>
      </c>
      <c r="F1650">
        <v>4</v>
      </c>
      <c r="G1650">
        <v>25</v>
      </c>
      <c r="H1650" t="s">
        <v>23</v>
      </c>
      <c r="I1650" t="s">
        <v>27</v>
      </c>
      <c r="J1650">
        <v>100</v>
      </c>
    </row>
    <row r="1651" spans="1:10" x14ac:dyDescent="0.3">
      <c r="A1651">
        <v>1018</v>
      </c>
      <c r="B1651" t="s">
        <v>32</v>
      </c>
      <c r="C1651" s="1">
        <v>45916</v>
      </c>
      <c r="D1651" t="s">
        <v>11</v>
      </c>
      <c r="E1651" t="s">
        <v>17</v>
      </c>
      <c r="F1651">
        <v>4</v>
      </c>
      <c r="G1651">
        <v>12</v>
      </c>
      <c r="H1651" t="s">
        <v>13</v>
      </c>
      <c r="I1651" t="s">
        <v>14</v>
      </c>
      <c r="J1651">
        <v>48</v>
      </c>
    </row>
    <row r="1652" spans="1:10" x14ac:dyDescent="0.3">
      <c r="A1652">
        <v>313</v>
      </c>
      <c r="B1652" t="s">
        <v>31</v>
      </c>
      <c r="C1652" s="1">
        <v>45891</v>
      </c>
      <c r="D1652" t="s">
        <v>11</v>
      </c>
      <c r="E1652" t="s">
        <v>17</v>
      </c>
      <c r="F1652">
        <v>5</v>
      </c>
      <c r="G1652">
        <v>12</v>
      </c>
      <c r="H1652" t="s">
        <v>21</v>
      </c>
      <c r="I1652" t="s">
        <v>25</v>
      </c>
      <c r="J1652">
        <v>60</v>
      </c>
    </row>
    <row r="1653" spans="1:10" x14ac:dyDescent="0.3">
      <c r="A1653">
        <v>1998</v>
      </c>
      <c r="B1653" t="s">
        <v>24</v>
      </c>
      <c r="C1653" s="1">
        <v>45854</v>
      </c>
      <c r="D1653" t="s">
        <v>20</v>
      </c>
      <c r="E1653" t="s">
        <v>17</v>
      </c>
      <c r="F1653">
        <v>2</v>
      </c>
      <c r="G1653">
        <v>12</v>
      </c>
      <c r="H1653" t="s">
        <v>13</v>
      </c>
      <c r="I1653" t="s">
        <v>27</v>
      </c>
      <c r="J1653">
        <v>24</v>
      </c>
    </row>
    <row r="1654" spans="1:10" x14ac:dyDescent="0.3">
      <c r="A1654">
        <v>455</v>
      </c>
      <c r="B1654" t="s">
        <v>15</v>
      </c>
      <c r="C1654" s="1">
        <v>45908</v>
      </c>
      <c r="D1654" t="s">
        <v>33</v>
      </c>
      <c r="E1654" t="s">
        <v>12</v>
      </c>
      <c r="F1654">
        <v>3</v>
      </c>
      <c r="G1654">
        <v>25</v>
      </c>
      <c r="H1654" t="s">
        <v>23</v>
      </c>
      <c r="I1654" t="s">
        <v>18</v>
      </c>
      <c r="J1654">
        <v>75</v>
      </c>
    </row>
    <row r="1655" spans="1:10" x14ac:dyDescent="0.3">
      <c r="A1655">
        <v>1887</v>
      </c>
      <c r="B1655" t="s">
        <v>26</v>
      </c>
      <c r="C1655" s="1">
        <v>45846</v>
      </c>
      <c r="D1655" t="s">
        <v>20</v>
      </c>
      <c r="E1655" t="s">
        <v>29</v>
      </c>
      <c r="F1655">
        <v>2</v>
      </c>
      <c r="G1655">
        <v>30</v>
      </c>
      <c r="H1655" t="s">
        <v>23</v>
      </c>
      <c r="I1655" t="s">
        <v>14</v>
      </c>
      <c r="J1655">
        <v>60</v>
      </c>
    </row>
    <row r="1656" spans="1:10" x14ac:dyDescent="0.3">
      <c r="A1656">
        <v>747</v>
      </c>
      <c r="B1656" t="s">
        <v>32</v>
      </c>
      <c r="C1656" s="1">
        <v>45924</v>
      </c>
      <c r="D1656" t="s">
        <v>33</v>
      </c>
      <c r="E1656" t="s">
        <v>12</v>
      </c>
      <c r="F1656">
        <v>2</v>
      </c>
      <c r="G1656">
        <v>25</v>
      </c>
      <c r="H1656" t="s">
        <v>13</v>
      </c>
      <c r="I1656" t="s">
        <v>14</v>
      </c>
      <c r="J1656">
        <v>50</v>
      </c>
    </row>
    <row r="1657" spans="1:10" x14ac:dyDescent="0.3">
      <c r="A1657">
        <v>1608</v>
      </c>
      <c r="B1657" t="s">
        <v>24</v>
      </c>
      <c r="C1657" s="1">
        <v>45899</v>
      </c>
      <c r="D1657" t="s">
        <v>16</v>
      </c>
      <c r="E1657" t="s">
        <v>17</v>
      </c>
      <c r="F1657">
        <v>3</v>
      </c>
      <c r="G1657">
        <v>12</v>
      </c>
      <c r="H1657" t="s">
        <v>13</v>
      </c>
      <c r="I1657" t="s">
        <v>25</v>
      </c>
      <c r="J1657">
        <v>36</v>
      </c>
    </row>
    <row r="1658" spans="1:10" x14ac:dyDescent="0.3">
      <c r="A1658">
        <v>1369</v>
      </c>
      <c r="B1658" t="s">
        <v>24</v>
      </c>
      <c r="C1658" s="1">
        <v>45846</v>
      </c>
      <c r="D1658" t="s">
        <v>33</v>
      </c>
      <c r="E1658" t="s">
        <v>17</v>
      </c>
      <c r="F1658">
        <v>5</v>
      </c>
      <c r="G1658">
        <v>12</v>
      </c>
      <c r="H1658" t="s">
        <v>13</v>
      </c>
      <c r="I1658" t="s">
        <v>27</v>
      </c>
      <c r="J1658">
        <v>60</v>
      </c>
    </row>
    <row r="1659" spans="1:10" x14ac:dyDescent="0.3">
      <c r="A1659">
        <v>1422</v>
      </c>
      <c r="B1659" t="s">
        <v>24</v>
      </c>
      <c r="C1659" s="1">
        <v>45882</v>
      </c>
      <c r="D1659" t="s">
        <v>11</v>
      </c>
      <c r="E1659" t="s">
        <v>12</v>
      </c>
      <c r="F1659">
        <v>5</v>
      </c>
      <c r="G1659">
        <v>25</v>
      </c>
      <c r="H1659" t="s">
        <v>13</v>
      </c>
      <c r="I1659" t="s">
        <v>27</v>
      </c>
      <c r="J1659">
        <v>125</v>
      </c>
    </row>
    <row r="1660" spans="1:10" x14ac:dyDescent="0.3">
      <c r="A1660">
        <v>332</v>
      </c>
      <c r="B1660" t="s">
        <v>24</v>
      </c>
      <c r="C1660" s="1">
        <v>45843</v>
      </c>
      <c r="D1660" t="s">
        <v>20</v>
      </c>
      <c r="E1660" t="s">
        <v>17</v>
      </c>
      <c r="F1660">
        <v>3</v>
      </c>
      <c r="G1660">
        <v>12</v>
      </c>
      <c r="H1660" t="s">
        <v>21</v>
      </c>
      <c r="I1660" t="s">
        <v>27</v>
      </c>
      <c r="J1660">
        <v>36</v>
      </c>
    </row>
    <row r="1661" spans="1:10" x14ac:dyDescent="0.3">
      <c r="A1661">
        <v>986</v>
      </c>
      <c r="B1661" t="s">
        <v>26</v>
      </c>
      <c r="C1661" s="1">
        <v>45916</v>
      </c>
      <c r="D1661" t="s">
        <v>20</v>
      </c>
      <c r="E1661" t="s">
        <v>29</v>
      </c>
      <c r="F1661">
        <v>1</v>
      </c>
      <c r="G1661">
        <v>30</v>
      </c>
      <c r="H1661" t="s">
        <v>13</v>
      </c>
      <c r="I1661" t="s">
        <v>18</v>
      </c>
      <c r="J1661">
        <v>30</v>
      </c>
    </row>
    <row r="1662" spans="1:10" x14ac:dyDescent="0.3">
      <c r="A1662">
        <v>820</v>
      </c>
      <c r="B1662" t="s">
        <v>24</v>
      </c>
      <c r="C1662" s="1">
        <v>45898</v>
      </c>
      <c r="D1662" t="s">
        <v>20</v>
      </c>
      <c r="E1662" t="s">
        <v>17</v>
      </c>
      <c r="F1662">
        <v>4</v>
      </c>
      <c r="G1662">
        <v>12</v>
      </c>
      <c r="H1662" t="s">
        <v>13</v>
      </c>
      <c r="I1662" t="s">
        <v>14</v>
      </c>
      <c r="J1662">
        <v>48</v>
      </c>
    </row>
    <row r="1663" spans="1:10" x14ac:dyDescent="0.3">
      <c r="A1663">
        <v>1763</v>
      </c>
      <c r="B1663" t="s">
        <v>32</v>
      </c>
      <c r="C1663" s="1">
        <v>45849</v>
      </c>
      <c r="D1663" t="s">
        <v>11</v>
      </c>
      <c r="E1663" t="s">
        <v>12</v>
      </c>
      <c r="F1663">
        <v>4</v>
      </c>
      <c r="G1663">
        <v>25</v>
      </c>
      <c r="H1663" t="s">
        <v>13</v>
      </c>
      <c r="I1663" t="s">
        <v>18</v>
      </c>
      <c r="J1663">
        <v>100</v>
      </c>
    </row>
    <row r="1664" spans="1:10" x14ac:dyDescent="0.3">
      <c r="A1664">
        <v>254</v>
      </c>
      <c r="B1664" t="s">
        <v>15</v>
      </c>
      <c r="C1664" s="1">
        <v>45844</v>
      </c>
      <c r="D1664" t="s">
        <v>20</v>
      </c>
      <c r="E1664" t="s">
        <v>22</v>
      </c>
      <c r="F1664">
        <v>4</v>
      </c>
      <c r="G1664">
        <v>20</v>
      </c>
      <c r="H1664" t="s">
        <v>13</v>
      </c>
      <c r="I1664" t="s">
        <v>27</v>
      </c>
      <c r="J1664">
        <v>80</v>
      </c>
    </row>
    <row r="1665" spans="1:10" x14ac:dyDescent="0.3">
      <c r="A1665">
        <v>1698</v>
      </c>
      <c r="B1665" t="s">
        <v>28</v>
      </c>
      <c r="C1665" s="1">
        <v>45894</v>
      </c>
      <c r="D1665" t="s">
        <v>33</v>
      </c>
      <c r="E1665" t="s">
        <v>30</v>
      </c>
      <c r="F1665">
        <v>1</v>
      </c>
      <c r="G1665">
        <v>8</v>
      </c>
      <c r="H1665" t="s">
        <v>23</v>
      </c>
      <c r="I1665" t="s">
        <v>14</v>
      </c>
      <c r="J1665">
        <v>8</v>
      </c>
    </row>
    <row r="1666" spans="1:10" x14ac:dyDescent="0.3">
      <c r="A1666">
        <v>1678</v>
      </c>
      <c r="B1666" t="s">
        <v>32</v>
      </c>
      <c r="C1666" s="1">
        <v>45879</v>
      </c>
      <c r="D1666" t="s">
        <v>20</v>
      </c>
      <c r="E1666" t="s">
        <v>17</v>
      </c>
      <c r="F1666">
        <v>1</v>
      </c>
      <c r="G1666">
        <v>12</v>
      </c>
      <c r="H1666" t="s">
        <v>23</v>
      </c>
      <c r="I1666" t="s">
        <v>27</v>
      </c>
      <c r="J1666">
        <v>12</v>
      </c>
    </row>
    <row r="1667" spans="1:10" x14ac:dyDescent="0.3">
      <c r="A1667">
        <v>771</v>
      </c>
      <c r="B1667" t="s">
        <v>15</v>
      </c>
      <c r="C1667" s="1">
        <v>45858</v>
      </c>
      <c r="D1667" t="s">
        <v>11</v>
      </c>
      <c r="E1667" t="s">
        <v>17</v>
      </c>
      <c r="F1667">
        <v>4</v>
      </c>
      <c r="G1667">
        <v>12</v>
      </c>
      <c r="H1667" t="s">
        <v>23</v>
      </c>
      <c r="I1667" t="s">
        <v>27</v>
      </c>
      <c r="J1667">
        <v>48</v>
      </c>
    </row>
    <row r="1668" spans="1:10" x14ac:dyDescent="0.3">
      <c r="A1668">
        <v>989</v>
      </c>
      <c r="B1668" t="s">
        <v>26</v>
      </c>
      <c r="C1668" s="1">
        <v>45901</v>
      </c>
      <c r="D1668" t="s">
        <v>11</v>
      </c>
      <c r="E1668" t="s">
        <v>30</v>
      </c>
      <c r="F1668">
        <v>1</v>
      </c>
      <c r="G1668">
        <v>8</v>
      </c>
      <c r="H1668" t="s">
        <v>13</v>
      </c>
      <c r="I1668" t="s">
        <v>14</v>
      </c>
      <c r="J1668">
        <v>8</v>
      </c>
    </row>
    <row r="1669" spans="1:10" x14ac:dyDescent="0.3">
      <c r="A1669">
        <v>344</v>
      </c>
      <c r="B1669" t="s">
        <v>26</v>
      </c>
      <c r="C1669" s="1">
        <v>45877</v>
      </c>
      <c r="D1669" t="s">
        <v>33</v>
      </c>
      <c r="E1669" t="s">
        <v>17</v>
      </c>
      <c r="F1669">
        <v>2</v>
      </c>
      <c r="G1669">
        <v>12</v>
      </c>
      <c r="H1669" t="s">
        <v>21</v>
      </c>
      <c r="I1669" t="s">
        <v>27</v>
      </c>
      <c r="J1669">
        <v>24</v>
      </c>
    </row>
    <row r="1670" spans="1:10" x14ac:dyDescent="0.3">
      <c r="A1670">
        <v>331</v>
      </c>
      <c r="B1670" t="s">
        <v>24</v>
      </c>
      <c r="C1670" s="1">
        <v>45928</v>
      </c>
      <c r="D1670" t="s">
        <v>16</v>
      </c>
      <c r="E1670" t="s">
        <v>17</v>
      </c>
      <c r="F1670">
        <v>1</v>
      </c>
      <c r="G1670">
        <v>12</v>
      </c>
      <c r="H1670" t="s">
        <v>21</v>
      </c>
      <c r="I1670" t="s">
        <v>27</v>
      </c>
      <c r="J1670">
        <v>12</v>
      </c>
    </row>
    <row r="1671" spans="1:10" x14ac:dyDescent="0.3">
      <c r="A1671">
        <v>1878</v>
      </c>
      <c r="B1671" t="s">
        <v>26</v>
      </c>
      <c r="C1671" s="1">
        <v>45925</v>
      </c>
      <c r="D1671" t="s">
        <v>11</v>
      </c>
      <c r="E1671" t="s">
        <v>22</v>
      </c>
      <c r="F1671">
        <v>3</v>
      </c>
      <c r="G1671">
        <v>20</v>
      </c>
      <c r="H1671" t="s">
        <v>21</v>
      </c>
      <c r="I1671" t="s">
        <v>25</v>
      </c>
      <c r="J1671">
        <v>60</v>
      </c>
    </row>
    <row r="1672" spans="1:10" x14ac:dyDescent="0.3">
      <c r="A1672">
        <v>1286</v>
      </c>
      <c r="B1672" t="s">
        <v>10</v>
      </c>
      <c r="C1672" s="1">
        <v>45913</v>
      </c>
      <c r="D1672" t="s">
        <v>16</v>
      </c>
      <c r="E1672" t="s">
        <v>17</v>
      </c>
      <c r="F1672">
        <v>2</v>
      </c>
      <c r="G1672">
        <v>12</v>
      </c>
      <c r="H1672" t="s">
        <v>13</v>
      </c>
      <c r="I1672" t="s">
        <v>18</v>
      </c>
      <c r="J1672">
        <v>24</v>
      </c>
    </row>
    <row r="1673" spans="1:10" x14ac:dyDescent="0.3">
      <c r="A1673">
        <v>1765</v>
      </c>
      <c r="B1673" t="s">
        <v>15</v>
      </c>
      <c r="C1673" s="1">
        <v>45889</v>
      </c>
      <c r="D1673" t="s">
        <v>11</v>
      </c>
      <c r="E1673" t="s">
        <v>17</v>
      </c>
      <c r="F1673">
        <v>4</v>
      </c>
      <c r="G1673">
        <v>12</v>
      </c>
      <c r="H1673" t="s">
        <v>13</v>
      </c>
      <c r="I1673" t="s">
        <v>14</v>
      </c>
      <c r="J1673">
        <v>48</v>
      </c>
    </row>
    <row r="1674" spans="1:10" x14ac:dyDescent="0.3">
      <c r="A1674">
        <v>1902</v>
      </c>
      <c r="B1674" t="s">
        <v>15</v>
      </c>
      <c r="C1674" s="1">
        <v>45913</v>
      </c>
      <c r="D1674" t="s">
        <v>11</v>
      </c>
      <c r="E1674" t="s">
        <v>17</v>
      </c>
      <c r="F1674">
        <v>3</v>
      </c>
      <c r="G1674">
        <v>12</v>
      </c>
      <c r="H1674" t="s">
        <v>21</v>
      </c>
      <c r="I1674" t="s">
        <v>27</v>
      </c>
      <c r="J1674">
        <v>36</v>
      </c>
    </row>
    <row r="1675" spans="1:10" x14ac:dyDescent="0.3">
      <c r="A1675">
        <v>1101</v>
      </c>
      <c r="B1675" t="s">
        <v>32</v>
      </c>
      <c r="C1675" s="1">
        <v>45909</v>
      </c>
      <c r="D1675" t="s">
        <v>11</v>
      </c>
      <c r="E1675" t="s">
        <v>17</v>
      </c>
      <c r="F1675">
        <v>3</v>
      </c>
      <c r="G1675">
        <v>12</v>
      </c>
      <c r="H1675" t="s">
        <v>23</v>
      </c>
      <c r="I1675" t="s">
        <v>25</v>
      </c>
      <c r="J1675">
        <v>36</v>
      </c>
    </row>
    <row r="1676" spans="1:10" x14ac:dyDescent="0.3">
      <c r="A1676">
        <v>758</v>
      </c>
      <c r="B1676" t="s">
        <v>32</v>
      </c>
      <c r="C1676" s="1">
        <v>45901</v>
      </c>
      <c r="D1676" t="s">
        <v>16</v>
      </c>
      <c r="E1676" t="s">
        <v>22</v>
      </c>
      <c r="F1676">
        <v>4</v>
      </c>
      <c r="G1676">
        <v>20</v>
      </c>
      <c r="H1676" t="s">
        <v>23</v>
      </c>
      <c r="I1676" t="s">
        <v>25</v>
      </c>
      <c r="J1676">
        <v>80</v>
      </c>
    </row>
    <row r="1677" spans="1:10" x14ac:dyDescent="0.3">
      <c r="A1677">
        <v>1092</v>
      </c>
      <c r="B1677" t="s">
        <v>28</v>
      </c>
      <c r="C1677" s="1">
        <v>45899</v>
      </c>
      <c r="D1677" t="s">
        <v>20</v>
      </c>
      <c r="E1677" t="s">
        <v>29</v>
      </c>
      <c r="F1677">
        <v>2</v>
      </c>
      <c r="G1677">
        <v>30</v>
      </c>
      <c r="H1677" t="s">
        <v>13</v>
      </c>
      <c r="I1677" t="s">
        <v>14</v>
      </c>
      <c r="J1677">
        <v>60</v>
      </c>
    </row>
    <row r="1678" spans="1:10" x14ac:dyDescent="0.3">
      <c r="A1678">
        <v>1828</v>
      </c>
      <c r="B1678" t="s">
        <v>19</v>
      </c>
      <c r="C1678" s="1">
        <v>45877</v>
      </c>
      <c r="D1678" t="s">
        <v>11</v>
      </c>
      <c r="E1678" t="s">
        <v>17</v>
      </c>
      <c r="F1678">
        <v>5</v>
      </c>
      <c r="G1678">
        <v>12</v>
      </c>
      <c r="H1678" t="s">
        <v>13</v>
      </c>
      <c r="I1678" t="s">
        <v>25</v>
      </c>
      <c r="J1678">
        <v>60</v>
      </c>
    </row>
    <row r="1679" spans="1:10" x14ac:dyDescent="0.3">
      <c r="A1679">
        <v>74</v>
      </c>
      <c r="B1679" t="s">
        <v>26</v>
      </c>
      <c r="C1679" s="1">
        <v>45903</v>
      </c>
      <c r="D1679" t="s">
        <v>20</v>
      </c>
      <c r="E1679" t="s">
        <v>22</v>
      </c>
      <c r="F1679">
        <v>1</v>
      </c>
      <c r="G1679">
        <v>20</v>
      </c>
      <c r="H1679" t="s">
        <v>21</v>
      </c>
      <c r="I1679" t="s">
        <v>14</v>
      </c>
      <c r="J1679">
        <v>20</v>
      </c>
    </row>
    <row r="1680" spans="1:10" x14ac:dyDescent="0.3">
      <c r="A1680">
        <v>1350</v>
      </c>
      <c r="B1680" t="s">
        <v>15</v>
      </c>
      <c r="C1680" s="1">
        <v>45906</v>
      </c>
      <c r="D1680" t="s">
        <v>11</v>
      </c>
      <c r="E1680" t="s">
        <v>17</v>
      </c>
      <c r="F1680">
        <v>2</v>
      </c>
      <c r="G1680">
        <v>12</v>
      </c>
      <c r="H1680" t="s">
        <v>13</v>
      </c>
      <c r="I1680" t="s">
        <v>27</v>
      </c>
      <c r="J1680">
        <v>24</v>
      </c>
    </row>
    <row r="1681" spans="1:10" x14ac:dyDescent="0.3">
      <c r="A1681">
        <v>1839</v>
      </c>
      <c r="B1681" t="s">
        <v>19</v>
      </c>
      <c r="C1681" s="1">
        <v>45884</v>
      </c>
      <c r="D1681" t="s">
        <v>33</v>
      </c>
      <c r="E1681" t="s">
        <v>29</v>
      </c>
      <c r="F1681">
        <v>5</v>
      </c>
      <c r="G1681">
        <v>30</v>
      </c>
      <c r="H1681" t="s">
        <v>23</v>
      </c>
      <c r="I1681" t="s">
        <v>25</v>
      </c>
      <c r="J1681">
        <v>150</v>
      </c>
    </row>
    <row r="1682" spans="1:10" x14ac:dyDescent="0.3">
      <c r="A1682">
        <v>97</v>
      </c>
      <c r="B1682" t="s">
        <v>26</v>
      </c>
      <c r="C1682" s="1">
        <v>45913</v>
      </c>
      <c r="D1682" t="s">
        <v>20</v>
      </c>
      <c r="E1682" t="s">
        <v>12</v>
      </c>
      <c r="F1682">
        <v>1</v>
      </c>
      <c r="G1682">
        <v>25</v>
      </c>
      <c r="H1682" t="s">
        <v>23</v>
      </c>
      <c r="I1682" t="s">
        <v>14</v>
      </c>
      <c r="J1682">
        <v>25</v>
      </c>
    </row>
    <row r="1683" spans="1:10" x14ac:dyDescent="0.3">
      <c r="A1683">
        <v>1584</v>
      </c>
      <c r="B1683" t="s">
        <v>19</v>
      </c>
      <c r="C1683" s="1">
        <v>45878</v>
      </c>
      <c r="D1683" t="s">
        <v>16</v>
      </c>
      <c r="E1683" t="s">
        <v>22</v>
      </c>
      <c r="F1683">
        <v>2</v>
      </c>
      <c r="G1683">
        <v>20</v>
      </c>
      <c r="H1683" t="s">
        <v>23</v>
      </c>
      <c r="I1683" t="s">
        <v>18</v>
      </c>
      <c r="J1683">
        <v>40</v>
      </c>
    </row>
    <row r="1684" spans="1:10" x14ac:dyDescent="0.3">
      <c r="A1684">
        <v>1992</v>
      </c>
      <c r="B1684" t="s">
        <v>32</v>
      </c>
      <c r="C1684" s="1">
        <v>45908</v>
      </c>
      <c r="D1684" t="s">
        <v>33</v>
      </c>
      <c r="E1684" t="s">
        <v>17</v>
      </c>
      <c r="F1684">
        <v>1</v>
      </c>
      <c r="G1684">
        <v>12</v>
      </c>
      <c r="H1684" t="s">
        <v>21</v>
      </c>
      <c r="I1684" t="s">
        <v>25</v>
      </c>
      <c r="J1684">
        <v>12</v>
      </c>
    </row>
    <row r="1685" spans="1:10" x14ac:dyDescent="0.3">
      <c r="A1685">
        <v>969</v>
      </c>
      <c r="B1685" t="s">
        <v>10</v>
      </c>
      <c r="C1685" s="1">
        <v>45892</v>
      </c>
      <c r="D1685" t="s">
        <v>11</v>
      </c>
      <c r="E1685" t="s">
        <v>29</v>
      </c>
      <c r="F1685">
        <v>1</v>
      </c>
      <c r="G1685">
        <v>30</v>
      </c>
      <c r="H1685" t="s">
        <v>21</v>
      </c>
      <c r="I1685" t="s">
        <v>25</v>
      </c>
      <c r="J1685">
        <v>30</v>
      </c>
    </row>
    <row r="1686" spans="1:10" x14ac:dyDescent="0.3">
      <c r="A1686">
        <v>292</v>
      </c>
      <c r="B1686" t="s">
        <v>32</v>
      </c>
      <c r="C1686" s="1">
        <v>45847</v>
      </c>
      <c r="D1686" t="s">
        <v>16</v>
      </c>
      <c r="E1686" t="s">
        <v>17</v>
      </c>
      <c r="F1686">
        <v>4</v>
      </c>
      <c r="G1686">
        <v>12</v>
      </c>
      <c r="H1686" t="s">
        <v>13</v>
      </c>
      <c r="I1686" t="s">
        <v>14</v>
      </c>
      <c r="J1686">
        <v>48</v>
      </c>
    </row>
    <row r="1687" spans="1:10" x14ac:dyDescent="0.3">
      <c r="A1687">
        <v>1650</v>
      </c>
      <c r="B1687" t="s">
        <v>26</v>
      </c>
      <c r="C1687" s="1">
        <v>45891</v>
      </c>
      <c r="D1687" t="s">
        <v>33</v>
      </c>
      <c r="E1687" t="s">
        <v>29</v>
      </c>
      <c r="F1687">
        <v>5</v>
      </c>
      <c r="G1687">
        <v>30</v>
      </c>
      <c r="H1687" t="s">
        <v>21</v>
      </c>
      <c r="I1687" t="s">
        <v>27</v>
      </c>
      <c r="J1687">
        <v>150</v>
      </c>
    </row>
    <row r="1688" spans="1:10" x14ac:dyDescent="0.3">
      <c r="A1688">
        <v>1289</v>
      </c>
      <c r="B1688" t="s">
        <v>31</v>
      </c>
      <c r="C1688" s="1">
        <v>45860</v>
      </c>
      <c r="D1688" t="s">
        <v>20</v>
      </c>
      <c r="E1688" t="s">
        <v>29</v>
      </c>
      <c r="F1688">
        <v>2</v>
      </c>
      <c r="G1688">
        <v>30</v>
      </c>
      <c r="H1688" t="s">
        <v>13</v>
      </c>
      <c r="I1688" t="s">
        <v>25</v>
      </c>
      <c r="J1688">
        <v>60</v>
      </c>
    </row>
    <row r="1689" spans="1:10" x14ac:dyDescent="0.3">
      <c r="A1689">
        <v>529</v>
      </c>
      <c r="B1689" t="s">
        <v>26</v>
      </c>
      <c r="C1689" s="1">
        <v>45865</v>
      </c>
      <c r="D1689" t="s">
        <v>16</v>
      </c>
      <c r="E1689" t="s">
        <v>17</v>
      </c>
      <c r="F1689">
        <v>1</v>
      </c>
      <c r="G1689">
        <v>12</v>
      </c>
      <c r="H1689" t="s">
        <v>23</v>
      </c>
      <c r="I1689" t="s">
        <v>14</v>
      </c>
      <c r="J1689">
        <v>12</v>
      </c>
    </row>
    <row r="1690" spans="1:10" x14ac:dyDescent="0.3">
      <c r="A1690">
        <v>1531</v>
      </c>
      <c r="B1690" t="s">
        <v>10</v>
      </c>
      <c r="C1690" s="1">
        <v>45893</v>
      </c>
      <c r="D1690" t="s">
        <v>16</v>
      </c>
      <c r="E1690" t="s">
        <v>17</v>
      </c>
      <c r="F1690">
        <v>2</v>
      </c>
      <c r="G1690">
        <v>12</v>
      </c>
      <c r="H1690" t="s">
        <v>23</v>
      </c>
      <c r="I1690" t="s">
        <v>27</v>
      </c>
      <c r="J1690">
        <v>24</v>
      </c>
    </row>
    <row r="1691" spans="1:10" x14ac:dyDescent="0.3">
      <c r="A1691">
        <v>1117</v>
      </c>
      <c r="B1691" t="s">
        <v>28</v>
      </c>
      <c r="C1691" s="1">
        <v>45862</v>
      </c>
      <c r="D1691" t="s">
        <v>33</v>
      </c>
      <c r="E1691" t="s">
        <v>30</v>
      </c>
      <c r="F1691">
        <v>4</v>
      </c>
      <c r="G1691">
        <v>8</v>
      </c>
      <c r="H1691" t="s">
        <v>23</v>
      </c>
      <c r="I1691" t="s">
        <v>27</v>
      </c>
      <c r="J1691">
        <v>32</v>
      </c>
    </row>
    <row r="1692" spans="1:10" x14ac:dyDescent="0.3">
      <c r="A1692">
        <v>42</v>
      </c>
      <c r="B1692" t="s">
        <v>28</v>
      </c>
      <c r="C1692" s="1">
        <v>45857</v>
      </c>
      <c r="D1692" t="s">
        <v>11</v>
      </c>
      <c r="E1692" t="s">
        <v>12</v>
      </c>
      <c r="F1692">
        <v>2</v>
      </c>
      <c r="G1692">
        <v>25</v>
      </c>
      <c r="H1692" t="s">
        <v>23</v>
      </c>
      <c r="I1692" t="s">
        <v>14</v>
      </c>
      <c r="J1692">
        <v>50</v>
      </c>
    </row>
    <row r="1693" spans="1:10" x14ac:dyDescent="0.3">
      <c r="A1693">
        <v>783</v>
      </c>
      <c r="B1693" t="s">
        <v>19</v>
      </c>
      <c r="C1693" s="1">
        <v>45872</v>
      </c>
      <c r="D1693" t="s">
        <v>11</v>
      </c>
      <c r="E1693" t="s">
        <v>29</v>
      </c>
      <c r="F1693">
        <v>5</v>
      </c>
      <c r="G1693">
        <v>30</v>
      </c>
      <c r="H1693" t="s">
        <v>21</v>
      </c>
      <c r="I1693" t="s">
        <v>25</v>
      </c>
      <c r="J1693">
        <v>150</v>
      </c>
    </row>
    <row r="1694" spans="1:10" x14ac:dyDescent="0.3">
      <c r="A1694">
        <v>847</v>
      </c>
      <c r="B1694" t="s">
        <v>26</v>
      </c>
      <c r="C1694" s="1">
        <v>45888</v>
      </c>
      <c r="D1694" t="s">
        <v>20</v>
      </c>
      <c r="E1694" t="s">
        <v>30</v>
      </c>
      <c r="F1694">
        <v>3</v>
      </c>
      <c r="G1694">
        <v>8</v>
      </c>
      <c r="H1694" t="s">
        <v>21</v>
      </c>
      <c r="I1694" t="s">
        <v>27</v>
      </c>
      <c r="J1694">
        <v>24</v>
      </c>
    </row>
    <row r="1695" spans="1:10" x14ac:dyDescent="0.3">
      <c r="A1695">
        <v>698</v>
      </c>
      <c r="B1695" t="s">
        <v>26</v>
      </c>
      <c r="C1695" s="1">
        <v>45858</v>
      </c>
      <c r="D1695" t="s">
        <v>16</v>
      </c>
      <c r="E1695" t="s">
        <v>17</v>
      </c>
      <c r="F1695">
        <v>2</v>
      </c>
      <c r="G1695">
        <v>12</v>
      </c>
      <c r="H1695" t="s">
        <v>13</v>
      </c>
      <c r="I1695" t="s">
        <v>18</v>
      </c>
      <c r="J1695">
        <v>24</v>
      </c>
    </row>
    <row r="1696" spans="1:10" x14ac:dyDescent="0.3">
      <c r="A1696">
        <v>1577</v>
      </c>
      <c r="B1696" t="s">
        <v>28</v>
      </c>
      <c r="C1696" s="1">
        <v>45854</v>
      </c>
      <c r="D1696" t="s">
        <v>16</v>
      </c>
      <c r="E1696" t="s">
        <v>17</v>
      </c>
      <c r="F1696">
        <v>5</v>
      </c>
      <c r="G1696">
        <v>12</v>
      </c>
      <c r="H1696" t="s">
        <v>13</v>
      </c>
      <c r="I1696" t="s">
        <v>25</v>
      </c>
      <c r="J1696">
        <v>60</v>
      </c>
    </row>
    <row r="1697" spans="1:10" x14ac:dyDescent="0.3">
      <c r="A1697">
        <v>1111</v>
      </c>
      <c r="B1697" t="s">
        <v>24</v>
      </c>
      <c r="C1697" s="1">
        <v>45913</v>
      </c>
      <c r="D1697" t="s">
        <v>33</v>
      </c>
      <c r="E1697" t="s">
        <v>12</v>
      </c>
      <c r="F1697">
        <v>5</v>
      </c>
      <c r="G1697">
        <v>25</v>
      </c>
      <c r="H1697" t="s">
        <v>21</v>
      </c>
      <c r="I1697" t="s">
        <v>18</v>
      </c>
      <c r="J1697">
        <v>125</v>
      </c>
    </row>
    <row r="1698" spans="1:10" x14ac:dyDescent="0.3">
      <c r="A1698">
        <v>319</v>
      </c>
      <c r="B1698" t="s">
        <v>28</v>
      </c>
      <c r="C1698" s="1">
        <v>45882</v>
      </c>
      <c r="D1698" t="s">
        <v>11</v>
      </c>
      <c r="E1698" t="s">
        <v>17</v>
      </c>
      <c r="F1698">
        <v>1</v>
      </c>
      <c r="G1698">
        <v>12</v>
      </c>
      <c r="H1698" t="s">
        <v>23</v>
      </c>
      <c r="I1698" t="s">
        <v>25</v>
      </c>
      <c r="J1698">
        <v>12</v>
      </c>
    </row>
    <row r="1699" spans="1:10" x14ac:dyDescent="0.3">
      <c r="A1699">
        <v>1661</v>
      </c>
      <c r="B1699" t="s">
        <v>32</v>
      </c>
      <c r="C1699" s="1">
        <v>45870</v>
      </c>
      <c r="D1699" t="s">
        <v>16</v>
      </c>
      <c r="E1699" t="s">
        <v>12</v>
      </c>
      <c r="F1699">
        <v>3</v>
      </c>
      <c r="G1699">
        <v>25</v>
      </c>
      <c r="H1699" t="s">
        <v>21</v>
      </c>
      <c r="I1699" t="s">
        <v>14</v>
      </c>
      <c r="J1699">
        <v>75</v>
      </c>
    </row>
    <row r="1700" spans="1:10" x14ac:dyDescent="0.3">
      <c r="A1700">
        <v>1602</v>
      </c>
      <c r="B1700" t="s">
        <v>28</v>
      </c>
      <c r="C1700" s="1">
        <v>45921</v>
      </c>
      <c r="D1700" t="s">
        <v>16</v>
      </c>
      <c r="E1700" t="s">
        <v>12</v>
      </c>
      <c r="F1700">
        <v>1</v>
      </c>
      <c r="G1700">
        <v>25</v>
      </c>
      <c r="H1700" t="s">
        <v>21</v>
      </c>
      <c r="I1700" t="s">
        <v>25</v>
      </c>
      <c r="J1700">
        <v>25</v>
      </c>
    </row>
    <row r="1701" spans="1:10" x14ac:dyDescent="0.3">
      <c r="A1701">
        <v>794</v>
      </c>
      <c r="B1701" t="s">
        <v>31</v>
      </c>
      <c r="C1701" s="1">
        <v>45903</v>
      </c>
      <c r="D1701" t="s">
        <v>33</v>
      </c>
      <c r="E1701" t="s">
        <v>17</v>
      </c>
      <c r="F1701">
        <v>2</v>
      </c>
      <c r="G1701">
        <v>12</v>
      </c>
      <c r="H1701" t="s">
        <v>21</v>
      </c>
      <c r="I1701" t="s">
        <v>27</v>
      </c>
      <c r="J1701">
        <v>24</v>
      </c>
    </row>
    <row r="1702" spans="1:10" x14ac:dyDescent="0.3">
      <c r="A1702">
        <v>929</v>
      </c>
      <c r="B1702" t="s">
        <v>10</v>
      </c>
      <c r="C1702" s="1">
        <v>45907</v>
      </c>
      <c r="D1702" t="s">
        <v>20</v>
      </c>
      <c r="E1702" t="s">
        <v>30</v>
      </c>
      <c r="F1702">
        <v>2</v>
      </c>
      <c r="G1702">
        <v>8</v>
      </c>
      <c r="H1702" t="s">
        <v>21</v>
      </c>
      <c r="I1702" t="s">
        <v>25</v>
      </c>
      <c r="J1702">
        <v>16</v>
      </c>
    </row>
    <row r="1703" spans="1:10" x14ac:dyDescent="0.3">
      <c r="A1703">
        <v>1099</v>
      </c>
      <c r="B1703" t="s">
        <v>10</v>
      </c>
      <c r="C1703" s="1">
        <v>45930</v>
      </c>
      <c r="D1703" t="s">
        <v>20</v>
      </c>
      <c r="E1703" t="s">
        <v>17</v>
      </c>
      <c r="F1703">
        <v>2</v>
      </c>
      <c r="G1703">
        <v>12</v>
      </c>
      <c r="H1703" t="s">
        <v>21</v>
      </c>
      <c r="I1703" t="s">
        <v>14</v>
      </c>
      <c r="J1703">
        <v>24</v>
      </c>
    </row>
    <row r="1704" spans="1:10" x14ac:dyDescent="0.3">
      <c r="A1704">
        <v>1378</v>
      </c>
      <c r="B1704" t="s">
        <v>15</v>
      </c>
      <c r="C1704" s="1">
        <v>45881</v>
      </c>
      <c r="D1704" t="s">
        <v>16</v>
      </c>
      <c r="E1704" t="s">
        <v>17</v>
      </c>
      <c r="F1704">
        <v>4</v>
      </c>
      <c r="G1704">
        <v>12</v>
      </c>
      <c r="H1704" t="s">
        <v>13</v>
      </c>
      <c r="I1704" t="s">
        <v>18</v>
      </c>
      <c r="J1704">
        <v>48</v>
      </c>
    </row>
    <row r="1705" spans="1:10" x14ac:dyDescent="0.3">
      <c r="A1705">
        <v>1749</v>
      </c>
      <c r="B1705" t="s">
        <v>28</v>
      </c>
      <c r="C1705" s="1">
        <v>45927</v>
      </c>
      <c r="D1705" t="s">
        <v>33</v>
      </c>
      <c r="E1705" t="s">
        <v>17</v>
      </c>
      <c r="F1705">
        <v>2</v>
      </c>
      <c r="G1705">
        <v>12</v>
      </c>
      <c r="H1705" t="s">
        <v>21</v>
      </c>
      <c r="I1705" t="s">
        <v>18</v>
      </c>
      <c r="J1705">
        <v>24</v>
      </c>
    </row>
    <row r="1706" spans="1:10" x14ac:dyDescent="0.3">
      <c r="A1706">
        <v>1364</v>
      </c>
      <c r="B1706" t="s">
        <v>10</v>
      </c>
      <c r="C1706" s="1">
        <v>45890</v>
      </c>
      <c r="D1706" t="s">
        <v>20</v>
      </c>
      <c r="E1706" t="s">
        <v>17</v>
      </c>
      <c r="F1706">
        <v>1</v>
      </c>
      <c r="G1706">
        <v>12</v>
      </c>
      <c r="H1706" t="s">
        <v>23</v>
      </c>
      <c r="I1706" t="s">
        <v>18</v>
      </c>
      <c r="J1706">
        <v>12</v>
      </c>
    </row>
    <row r="1707" spans="1:10" x14ac:dyDescent="0.3">
      <c r="A1707">
        <v>145</v>
      </c>
      <c r="B1707" t="s">
        <v>19</v>
      </c>
      <c r="C1707" s="1">
        <v>45925</v>
      </c>
      <c r="D1707" t="s">
        <v>33</v>
      </c>
      <c r="E1707" t="s">
        <v>17</v>
      </c>
      <c r="F1707">
        <v>4</v>
      </c>
      <c r="G1707">
        <v>12</v>
      </c>
      <c r="H1707" t="s">
        <v>23</v>
      </c>
      <c r="I1707" t="s">
        <v>27</v>
      </c>
      <c r="J1707">
        <v>48</v>
      </c>
    </row>
    <row r="1708" spans="1:10" x14ac:dyDescent="0.3">
      <c r="A1708">
        <v>528</v>
      </c>
      <c r="B1708" t="s">
        <v>26</v>
      </c>
      <c r="C1708" s="1">
        <v>45844</v>
      </c>
      <c r="D1708" t="s">
        <v>33</v>
      </c>
      <c r="E1708" t="s">
        <v>29</v>
      </c>
      <c r="F1708">
        <v>3</v>
      </c>
      <c r="G1708">
        <v>30</v>
      </c>
      <c r="H1708" t="s">
        <v>21</v>
      </c>
      <c r="I1708" t="s">
        <v>27</v>
      </c>
      <c r="J1708">
        <v>90</v>
      </c>
    </row>
    <row r="1709" spans="1:10" x14ac:dyDescent="0.3">
      <c r="A1709">
        <v>49</v>
      </c>
      <c r="B1709" t="s">
        <v>10</v>
      </c>
      <c r="C1709" s="1">
        <v>45921</v>
      </c>
      <c r="D1709" t="s">
        <v>11</v>
      </c>
      <c r="E1709" t="s">
        <v>12</v>
      </c>
      <c r="F1709">
        <v>2</v>
      </c>
      <c r="G1709">
        <v>25</v>
      </c>
      <c r="H1709" t="s">
        <v>13</v>
      </c>
      <c r="I1709" t="s">
        <v>18</v>
      </c>
      <c r="J1709">
        <v>50</v>
      </c>
    </row>
    <row r="1710" spans="1:10" x14ac:dyDescent="0.3">
      <c r="A1710">
        <v>1467</v>
      </c>
      <c r="B1710" t="s">
        <v>26</v>
      </c>
      <c r="C1710" s="1">
        <v>45913</v>
      </c>
      <c r="D1710" t="s">
        <v>11</v>
      </c>
      <c r="E1710" t="s">
        <v>17</v>
      </c>
      <c r="F1710">
        <v>4</v>
      </c>
      <c r="G1710">
        <v>12</v>
      </c>
      <c r="H1710" t="s">
        <v>13</v>
      </c>
      <c r="I1710" t="s">
        <v>25</v>
      </c>
      <c r="J1710">
        <v>48</v>
      </c>
    </row>
    <row r="1711" spans="1:10" x14ac:dyDescent="0.3">
      <c r="A1711">
        <v>578</v>
      </c>
      <c r="B1711" t="s">
        <v>10</v>
      </c>
      <c r="C1711" s="1">
        <v>45891</v>
      </c>
      <c r="D1711" t="s">
        <v>33</v>
      </c>
      <c r="E1711" t="s">
        <v>12</v>
      </c>
      <c r="F1711">
        <v>5</v>
      </c>
      <c r="G1711">
        <v>25</v>
      </c>
      <c r="H1711" t="s">
        <v>13</v>
      </c>
      <c r="I1711" t="s">
        <v>25</v>
      </c>
      <c r="J1711">
        <v>125</v>
      </c>
    </row>
    <row r="1712" spans="1:10" x14ac:dyDescent="0.3">
      <c r="A1712">
        <v>1927</v>
      </c>
      <c r="B1712" t="s">
        <v>15</v>
      </c>
      <c r="C1712" s="1">
        <v>45892</v>
      </c>
      <c r="D1712" t="s">
        <v>11</v>
      </c>
      <c r="E1712" t="s">
        <v>12</v>
      </c>
      <c r="F1712">
        <v>3</v>
      </c>
      <c r="G1712">
        <v>25</v>
      </c>
      <c r="H1712" t="s">
        <v>23</v>
      </c>
      <c r="I1712" t="s">
        <v>14</v>
      </c>
      <c r="J1712">
        <v>75</v>
      </c>
    </row>
    <row r="1713" spans="1:10" x14ac:dyDescent="0.3">
      <c r="A1713">
        <v>997</v>
      </c>
      <c r="B1713" t="s">
        <v>24</v>
      </c>
      <c r="C1713" s="1">
        <v>45907</v>
      </c>
      <c r="D1713" t="s">
        <v>11</v>
      </c>
      <c r="E1713" t="s">
        <v>17</v>
      </c>
      <c r="F1713">
        <v>5</v>
      </c>
      <c r="G1713">
        <v>12</v>
      </c>
      <c r="H1713" t="s">
        <v>23</v>
      </c>
      <c r="I1713" t="s">
        <v>18</v>
      </c>
      <c r="J1713">
        <v>60</v>
      </c>
    </row>
    <row r="1714" spans="1:10" x14ac:dyDescent="0.3">
      <c r="A1714">
        <v>1869</v>
      </c>
      <c r="B1714" t="s">
        <v>15</v>
      </c>
      <c r="C1714" s="1">
        <v>45915</v>
      </c>
      <c r="D1714" t="s">
        <v>20</v>
      </c>
      <c r="E1714" t="s">
        <v>30</v>
      </c>
      <c r="F1714">
        <v>1</v>
      </c>
      <c r="G1714">
        <v>8</v>
      </c>
      <c r="H1714" t="s">
        <v>13</v>
      </c>
      <c r="I1714" t="s">
        <v>14</v>
      </c>
      <c r="J1714">
        <v>8</v>
      </c>
    </row>
    <row r="1715" spans="1:10" x14ac:dyDescent="0.3">
      <c r="A1715">
        <v>763</v>
      </c>
      <c r="B1715" t="s">
        <v>15</v>
      </c>
      <c r="C1715" s="1">
        <v>45926</v>
      </c>
      <c r="D1715" t="s">
        <v>11</v>
      </c>
      <c r="E1715" t="s">
        <v>12</v>
      </c>
      <c r="F1715">
        <v>3</v>
      </c>
      <c r="G1715">
        <v>25</v>
      </c>
      <c r="H1715" t="s">
        <v>21</v>
      </c>
      <c r="I1715" t="s">
        <v>27</v>
      </c>
      <c r="J1715">
        <v>75</v>
      </c>
    </row>
    <row r="1716" spans="1:10" x14ac:dyDescent="0.3">
      <c r="A1716">
        <v>175</v>
      </c>
      <c r="B1716" t="s">
        <v>19</v>
      </c>
      <c r="C1716" s="1">
        <v>45903</v>
      </c>
      <c r="D1716" t="s">
        <v>33</v>
      </c>
      <c r="E1716" t="s">
        <v>17</v>
      </c>
      <c r="F1716">
        <v>3</v>
      </c>
      <c r="G1716">
        <v>12</v>
      </c>
      <c r="H1716" t="s">
        <v>13</v>
      </c>
      <c r="I1716" t="s">
        <v>25</v>
      </c>
      <c r="J1716">
        <v>36</v>
      </c>
    </row>
    <row r="1717" spans="1:10" x14ac:dyDescent="0.3">
      <c r="A1717">
        <v>1662</v>
      </c>
      <c r="B1717" t="s">
        <v>32</v>
      </c>
      <c r="C1717" s="1">
        <v>45878</v>
      </c>
      <c r="D1717" t="s">
        <v>20</v>
      </c>
      <c r="E1717" t="s">
        <v>12</v>
      </c>
      <c r="F1717">
        <v>1</v>
      </c>
      <c r="G1717">
        <v>25</v>
      </c>
      <c r="H1717" t="s">
        <v>13</v>
      </c>
      <c r="I1717" t="s">
        <v>14</v>
      </c>
      <c r="J1717">
        <v>25</v>
      </c>
    </row>
    <row r="1718" spans="1:10" x14ac:dyDescent="0.3">
      <c r="A1718">
        <v>516</v>
      </c>
      <c r="B1718" t="s">
        <v>32</v>
      </c>
      <c r="C1718" s="1">
        <v>45880</v>
      </c>
      <c r="D1718" t="s">
        <v>16</v>
      </c>
      <c r="E1718" t="s">
        <v>29</v>
      </c>
      <c r="F1718">
        <v>3</v>
      </c>
      <c r="G1718">
        <v>30</v>
      </c>
      <c r="H1718" t="s">
        <v>13</v>
      </c>
      <c r="I1718" t="s">
        <v>25</v>
      </c>
      <c r="J1718">
        <v>90</v>
      </c>
    </row>
    <row r="1719" spans="1:10" x14ac:dyDescent="0.3">
      <c r="A1719">
        <v>1204</v>
      </c>
      <c r="B1719" t="s">
        <v>26</v>
      </c>
      <c r="C1719" s="1">
        <v>45911</v>
      </c>
      <c r="D1719" t="s">
        <v>33</v>
      </c>
      <c r="E1719" t="s">
        <v>22</v>
      </c>
      <c r="F1719">
        <v>2</v>
      </c>
      <c r="G1719">
        <v>20</v>
      </c>
      <c r="H1719" t="s">
        <v>13</v>
      </c>
      <c r="I1719" t="s">
        <v>18</v>
      </c>
      <c r="J1719">
        <v>40</v>
      </c>
    </row>
    <row r="1720" spans="1:10" x14ac:dyDescent="0.3">
      <c r="A1720">
        <v>1348</v>
      </c>
      <c r="B1720" t="s">
        <v>28</v>
      </c>
      <c r="C1720" s="1">
        <v>45846</v>
      </c>
      <c r="D1720" t="s">
        <v>11</v>
      </c>
      <c r="E1720" t="s">
        <v>17</v>
      </c>
      <c r="F1720">
        <v>4</v>
      </c>
      <c r="G1720">
        <v>12</v>
      </c>
      <c r="H1720" t="s">
        <v>13</v>
      </c>
      <c r="I1720" t="s">
        <v>27</v>
      </c>
      <c r="J1720">
        <v>48</v>
      </c>
    </row>
    <row r="1721" spans="1:10" x14ac:dyDescent="0.3">
      <c r="A1721">
        <v>1500</v>
      </c>
      <c r="B1721" t="s">
        <v>28</v>
      </c>
      <c r="C1721" s="1">
        <v>45849</v>
      </c>
      <c r="D1721" t="s">
        <v>16</v>
      </c>
      <c r="E1721" t="s">
        <v>30</v>
      </c>
      <c r="F1721">
        <v>3</v>
      </c>
      <c r="G1721">
        <v>8</v>
      </c>
      <c r="H1721" t="s">
        <v>13</v>
      </c>
      <c r="I1721" t="s">
        <v>14</v>
      </c>
      <c r="J1721">
        <v>24</v>
      </c>
    </row>
    <row r="1722" spans="1:10" x14ac:dyDescent="0.3">
      <c r="A1722">
        <v>86</v>
      </c>
      <c r="B1722" t="s">
        <v>32</v>
      </c>
      <c r="C1722" s="1">
        <v>45900</v>
      </c>
      <c r="D1722" t="s">
        <v>33</v>
      </c>
      <c r="E1722" t="s">
        <v>17</v>
      </c>
      <c r="F1722">
        <v>2</v>
      </c>
      <c r="G1722">
        <v>12</v>
      </c>
      <c r="H1722" t="s">
        <v>21</v>
      </c>
      <c r="I1722" t="s">
        <v>25</v>
      </c>
      <c r="J1722">
        <v>24</v>
      </c>
    </row>
    <row r="1723" spans="1:10" x14ac:dyDescent="0.3">
      <c r="A1723">
        <v>1883</v>
      </c>
      <c r="B1723" t="s">
        <v>24</v>
      </c>
      <c r="C1723" s="1">
        <v>45848</v>
      </c>
      <c r="D1723" t="s">
        <v>33</v>
      </c>
      <c r="E1723" t="s">
        <v>29</v>
      </c>
      <c r="F1723">
        <v>5</v>
      </c>
      <c r="G1723">
        <v>30</v>
      </c>
      <c r="H1723" t="s">
        <v>13</v>
      </c>
      <c r="I1723" t="s">
        <v>18</v>
      </c>
      <c r="J1723">
        <v>150</v>
      </c>
    </row>
    <row r="1724" spans="1:10" x14ac:dyDescent="0.3">
      <c r="A1724">
        <v>1826</v>
      </c>
      <c r="B1724" t="s">
        <v>15</v>
      </c>
      <c r="C1724" s="1">
        <v>45854</v>
      </c>
      <c r="D1724" t="s">
        <v>20</v>
      </c>
      <c r="E1724" t="s">
        <v>17</v>
      </c>
      <c r="F1724">
        <v>5</v>
      </c>
      <c r="G1724">
        <v>12</v>
      </c>
      <c r="H1724" t="s">
        <v>23</v>
      </c>
      <c r="I1724" t="s">
        <v>14</v>
      </c>
      <c r="J1724">
        <v>60</v>
      </c>
    </row>
    <row r="1725" spans="1:10" x14ac:dyDescent="0.3">
      <c r="A1725">
        <v>1160</v>
      </c>
      <c r="B1725" t="s">
        <v>31</v>
      </c>
      <c r="C1725" s="1">
        <v>45875</v>
      </c>
      <c r="D1725" t="s">
        <v>11</v>
      </c>
      <c r="E1725" t="s">
        <v>17</v>
      </c>
      <c r="F1725">
        <v>1</v>
      </c>
      <c r="G1725">
        <v>12</v>
      </c>
      <c r="H1725" t="s">
        <v>13</v>
      </c>
      <c r="I1725" t="s">
        <v>14</v>
      </c>
      <c r="J1725">
        <v>12</v>
      </c>
    </row>
    <row r="1726" spans="1:10" x14ac:dyDescent="0.3">
      <c r="A1726">
        <v>1827</v>
      </c>
      <c r="B1726" t="s">
        <v>10</v>
      </c>
      <c r="C1726" s="1">
        <v>45841</v>
      </c>
      <c r="D1726" t="s">
        <v>16</v>
      </c>
      <c r="E1726" t="s">
        <v>17</v>
      </c>
      <c r="F1726">
        <v>3</v>
      </c>
      <c r="G1726">
        <v>12</v>
      </c>
      <c r="H1726" t="s">
        <v>13</v>
      </c>
      <c r="I1726" t="s">
        <v>25</v>
      </c>
      <c r="J1726">
        <v>36</v>
      </c>
    </row>
    <row r="1727" spans="1:10" x14ac:dyDescent="0.3">
      <c r="A1727">
        <v>1983</v>
      </c>
      <c r="B1727" t="s">
        <v>31</v>
      </c>
      <c r="C1727" s="1">
        <v>45916</v>
      </c>
      <c r="D1727" t="s">
        <v>20</v>
      </c>
      <c r="E1727" t="s">
        <v>17</v>
      </c>
      <c r="F1727">
        <v>4</v>
      </c>
      <c r="G1727">
        <v>12</v>
      </c>
      <c r="H1727" t="s">
        <v>21</v>
      </c>
      <c r="I1727" t="s">
        <v>18</v>
      </c>
      <c r="J1727">
        <v>48</v>
      </c>
    </row>
    <row r="1728" spans="1:10" x14ac:dyDescent="0.3">
      <c r="A1728">
        <v>1628</v>
      </c>
      <c r="B1728" t="s">
        <v>24</v>
      </c>
      <c r="C1728" s="1">
        <v>45872</v>
      </c>
      <c r="D1728" t="s">
        <v>11</v>
      </c>
      <c r="E1728" t="s">
        <v>22</v>
      </c>
      <c r="F1728">
        <v>2</v>
      </c>
      <c r="G1728">
        <v>20</v>
      </c>
      <c r="H1728" t="s">
        <v>23</v>
      </c>
      <c r="I1728" t="s">
        <v>14</v>
      </c>
      <c r="J1728">
        <v>40</v>
      </c>
    </row>
    <row r="1729" spans="1:10" x14ac:dyDescent="0.3">
      <c r="A1729">
        <v>1343</v>
      </c>
      <c r="B1729" t="s">
        <v>28</v>
      </c>
      <c r="C1729" s="1">
        <v>45917</v>
      </c>
      <c r="D1729" t="s">
        <v>16</v>
      </c>
      <c r="E1729" t="s">
        <v>12</v>
      </c>
      <c r="F1729">
        <v>1</v>
      </c>
      <c r="G1729">
        <v>25</v>
      </c>
      <c r="H1729" t="s">
        <v>23</v>
      </c>
      <c r="I1729" t="s">
        <v>27</v>
      </c>
      <c r="J1729">
        <v>25</v>
      </c>
    </row>
    <row r="1730" spans="1:10" x14ac:dyDescent="0.3">
      <c r="A1730">
        <v>1036</v>
      </c>
      <c r="B1730" t="s">
        <v>26</v>
      </c>
      <c r="C1730" s="1">
        <v>45879</v>
      </c>
      <c r="D1730" t="s">
        <v>11</v>
      </c>
      <c r="E1730" t="s">
        <v>17</v>
      </c>
      <c r="F1730">
        <v>2</v>
      </c>
      <c r="G1730">
        <v>12</v>
      </c>
      <c r="H1730" t="s">
        <v>13</v>
      </c>
      <c r="I1730" t="s">
        <v>14</v>
      </c>
      <c r="J1730">
        <v>24</v>
      </c>
    </row>
    <row r="1731" spans="1:10" x14ac:dyDescent="0.3">
      <c r="A1731">
        <v>1056</v>
      </c>
      <c r="B1731" t="s">
        <v>15</v>
      </c>
      <c r="C1731" s="1">
        <v>45895</v>
      </c>
      <c r="D1731" t="s">
        <v>33</v>
      </c>
      <c r="E1731" t="s">
        <v>29</v>
      </c>
      <c r="F1731">
        <v>5</v>
      </c>
      <c r="G1731">
        <v>30</v>
      </c>
      <c r="H1731" t="s">
        <v>23</v>
      </c>
      <c r="I1731" t="s">
        <v>25</v>
      </c>
      <c r="J1731">
        <v>150</v>
      </c>
    </row>
    <row r="1732" spans="1:10" x14ac:dyDescent="0.3">
      <c r="A1732">
        <v>1593</v>
      </c>
      <c r="B1732" t="s">
        <v>31</v>
      </c>
      <c r="C1732" s="1">
        <v>45893</v>
      </c>
      <c r="D1732" t="s">
        <v>11</v>
      </c>
      <c r="E1732" t="s">
        <v>12</v>
      </c>
      <c r="F1732">
        <v>4</v>
      </c>
      <c r="G1732">
        <v>25</v>
      </c>
      <c r="H1732" t="s">
        <v>13</v>
      </c>
      <c r="I1732" t="s">
        <v>18</v>
      </c>
      <c r="J1732">
        <v>100</v>
      </c>
    </row>
    <row r="1733" spans="1:10" x14ac:dyDescent="0.3">
      <c r="A1733">
        <v>1049</v>
      </c>
      <c r="B1733" t="s">
        <v>15</v>
      </c>
      <c r="C1733" s="1">
        <v>45893</v>
      </c>
      <c r="D1733" t="s">
        <v>33</v>
      </c>
      <c r="E1733" t="s">
        <v>17</v>
      </c>
      <c r="F1733">
        <v>3</v>
      </c>
      <c r="G1733">
        <v>12</v>
      </c>
      <c r="H1733" t="s">
        <v>23</v>
      </c>
      <c r="I1733" t="s">
        <v>25</v>
      </c>
      <c r="J1733">
        <v>36</v>
      </c>
    </row>
    <row r="1734" spans="1:10" x14ac:dyDescent="0.3">
      <c r="A1734">
        <v>595</v>
      </c>
      <c r="B1734" t="s">
        <v>31</v>
      </c>
      <c r="C1734" s="1">
        <v>45844</v>
      </c>
      <c r="D1734" t="s">
        <v>33</v>
      </c>
      <c r="E1734" t="s">
        <v>17</v>
      </c>
      <c r="F1734">
        <v>1</v>
      </c>
      <c r="G1734">
        <v>12</v>
      </c>
      <c r="H1734" t="s">
        <v>23</v>
      </c>
      <c r="I1734" t="s">
        <v>18</v>
      </c>
      <c r="J1734">
        <v>12</v>
      </c>
    </row>
    <row r="1735" spans="1:10" x14ac:dyDescent="0.3">
      <c r="A1735">
        <v>761</v>
      </c>
      <c r="B1735" t="s">
        <v>31</v>
      </c>
      <c r="C1735" s="1">
        <v>45907</v>
      </c>
      <c r="D1735" t="s">
        <v>20</v>
      </c>
      <c r="E1735" t="s">
        <v>17</v>
      </c>
      <c r="F1735">
        <v>3</v>
      </c>
      <c r="G1735">
        <v>12</v>
      </c>
      <c r="H1735" t="s">
        <v>13</v>
      </c>
      <c r="I1735" t="s">
        <v>14</v>
      </c>
      <c r="J1735">
        <v>36</v>
      </c>
    </row>
    <row r="1736" spans="1:10" x14ac:dyDescent="0.3">
      <c r="A1736">
        <v>1790</v>
      </c>
      <c r="B1736" t="s">
        <v>10</v>
      </c>
      <c r="C1736" s="1">
        <v>45883</v>
      </c>
      <c r="D1736" t="s">
        <v>33</v>
      </c>
      <c r="E1736" t="s">
        <v>29</v>
      </c>
      <c r="F1736">
        <v>1</v>
      </c>
      <c r="G1736">
        <v>30</v>
      </c>
      <c r="H1736" t="s">
        <v>23</v>
      </c>
      <c r="I1736" t="s">
        <v>27</v>
      </c>
      <c r="J1736">
        <v>30</v>
      </c>
    </row>
    <row r="1737" spans="1:10" x14ac:dyDescent="0.3">
      <c r="A1737">
        <v>891</v>
      </c>
      <c r="B1737" t="s">
        <v>28</v>
      </c>
      <c r="C1737" s="1">
        <v>45882</v>
      </c>
      <c r="D1737" t="s">
        <v>20</v>
      </c>
      <c r="E1737" t="s">
        <v>17</v>
      </c>
      <c r="F1737">
        <v>1</v>
      </c>
      <c r="G1737">
        <v>12</v>
      </c>
      <c r="H1737" t="s">
        <v>23</v>
      </c>
      <c r="I1737" t="s">
        <v>18</v>
      </c>
      <c r="J1737">
        <v>12</v>
      </c>
    </row>
    <row r="1738" spans="1:10" x14ac:dyDescent="0.3">
      <c r="A1738">
        <v>1612</v>
      </c>
      <c r="B1738" t="s">
        <v>10</v>
      </c>
      <c r="C1738" s="1">
        <v>45920</v>
      </c>
      <c r="D1738" t="s">
        <v>11</v>
      </c>
      <c r="E1738" t="s">
        <v>17</v>
      </c>
      <c r="F1738">
        <v>1</v>
      </c>
      <c r="G1738">
        <v>12</v>
      </c>
      <c r="H1738" t="s">
        <v>23</v>
      </c>
      <c r="I1738" t="s">
        <v>18</v>
      </c>
      <c r="J1738">
        <v>12</v>
      </c>
    </row>
    <row r="1739" spans="1:10" x14ac:dyDescent="0.3">
      <c r="A1739">
        <v>1771</v>
      </c>
      <c r="B1739" t="s">
        <v>32</v>
      </c>
      <c r="C1739" s="1">
        <v>45895</v>
      </c>
      <c r="D1739" t="s">
        <v>20</v>
      </c>
      <c r="E1739" t="s">
        <v>12</v>
      </c>
      <c r="F1739">
        <v>4</v>
      </c>
      <c r="G1739">
        <v>25</v>
      </c>
      <c r="H1739" t="s">
        <v>21</v>
      </c>
      <c r="I1739" t="s">
        <v>14</v>
      </c>
      <c r="J1739">
        <v>100</v>
      </c>
    </row>
    <row r="1740" spans="1:10" x14ac:dyDescent="0.3">
      <c r="A1740">
        <v>1729</v>
      </c>
      <c r="B1740" t="s">
        <v>26</v>
      </c>
      <c r="C1740" s="1">
        <v>45909</v>
      </c>
      <c r="D1740" t="s">
        <v>11</v>
      </c>
      <c r="E1740" t="s">
        <v>17</v>
      </c>
      <c r="F1740">
        <v>3</v>
      </c>
      <c r="G1740">
        <v>12</v>
      </c>
      <c r="H1740" t="s">
        <v>21</v>
      </c>
      <c r="I1740" t="s">
        <v>25</v>
      </c>
      <c r="J1740">
        <v>36</v>
      </c>
    </row>
    <row r="1741" spans="1:10" x14ac:dyDescent="0.3">
      <c r="A1741">
        <v>1059</v>
      </c>
      <c r="B1741" t="s">
        <v>10</v>
      </c>
      <c r="C1741" s="1">
        <v>45859</v>
      </c>
      <c r="D1741" t="s">
        <v>11</v>
      </c>
      <c r="E1741" t="s">
        <v>17</v>
      </c>
      <c r="F1741">
        <v>3</v>
      </c>
      <c r="G1741">
        <v>12</v>
      </c>
      <c r="H1741" t="s">
        <v>21</v>
      </c>
      <c r="I1741" t="s">
        <v>14</v>
      </c>
      <c r="J1741">
        <v>36</v>
      </c>
    </row>
    <row r="1742" spans="1:10" x14ac:dyDescent="0.3">
      <c r="A1742">
        <v>607</v>
      </c>
      <c r="B1742" t="s">
        <v>28</v>
      </c>
      <c r="C1742" s="1">
        <v>45924</v>
      </c>
      <c r="D1742" t="s">
        <v>16</v>
      </c>
      <c r="E1742" t="s">
        <v>17</v>
      </c>
      <c r="F1742">
        <v>4</v>
      </c>
      <c r="G1742">
        <v>12</v>
      </c>
      <c r="H1742" t="s">
        <v>23</v>
      </c>
      <c r="I1742" t="s">
        <v>27</v>
      </c>
      <c r="J1742">
        <v>48</v>
      </c>
    </row>
    <row r="1743" spans="1:10" x14ac:dyDescent="0.3">
      <c r="A1743">
        <v>229</v>
      </c>
      <c r="B1743" t="s">
        <v>24</v>
      </c>
      <c r="C1743" s="1">
        <v>45921</v>
      </c>
      <c r="D1743" t="s">
        <v>33</v>
      </c>
      <c r="E1743" t="s">
        <v>17</v>
      </c>
      <c r="F1743">
        <v>5</v>
      </c>
      <c r="G1743">
        <v>12</v>
      </c>
      <c r="H1743" t="s">
        <v>13</v>
      </c>
      <c r="I1743" t="s">
        <v>14</v>
      </c>
      <c r="J1743">
        <v>60</v>
      </c>
    </row>
    <row r="1744" spans="1:10" x14ac:dyDescent="0.3">
      <c r="A1744">
        <v>62</v>
      </c>
      <c r="B1744" t="s">
        <v>28</v>
      </c>
      <c r="C1744" s="1">
        <v>45884</v>
      </c>
      <c r="D1744" t="s">
        <v>20</v>
      </c>
      <c r="E1744" t="s">
        <v>12</v>
      </c>
      <c r="F1744">
        <v>4</v>
      </c>
      <c r="G1744">
        <v>25</v>
      </c>
      <c r="H1744" t="s">
        <v>21</v>
      </c>
      <c r="I1744" t="s">
        <v>18</v>
      </c>
      <c r="J1744">
        <v>100</v>
      </c>
    </row>
    <row r="1745" spans="1:10" x14ac:dyDescent="0.3">
      <c r="A1745">
        <v>1569</v>
      </c>
      <c r="B1745" t="s">
        <v>32</v>
      </c>
      <c r="C1745" s="1">
        <v>45850</v>
      </c>
      <c r="D1745" t="s">
        <v>20</v>
      </c>
      <c r="E1745" t="s">
        <v>30</v>
      </c>
      <c r="F1745">
        <v>5</v>
      </c>
      <c r="G1745">
        <v>8</v>
      </c>
      <c r="H1745" t="s">
        <v>21</v>
      </c>
      <c r="I1745" t="s">
        <v>14</v>
      </c>
      <c r="J1745">
        <v>40</v>
      </c>
    </row>
    <row r="1746" spans="1:10" x14ac:dyDescent="0.3">
      <c r="A1746">
        <v>508</v>
      </c>
      <c r="B1746" t="s">
        <v>32</v>
      </c>
      <c r="C1746" s="1">
        <v>45887</v>
      </c>
      <c r="D1746" t="s">
        <v>20</v>
      </c>
      <c r="E1746" t="s">
        <v>17</v>
      </c>
      <c r="F1746">
        <v>1</v>
      </c>
      <c r="G1746">
        <v>12</v>
      </c>
      <c r="H1746" t="s">
        <v>21</v>
      </c>
      <c r="I1746" t="s">
        <v>14</v>
      </c>
      <c r="J1746">
        <v>12</v>
      </c>
    </row>
    <row r="1747" spans="1:10" x14ac:dyDescent="0.3">
      <c r="A1747">
        <v>1523</v>
      </c>
      <c r="B1747" t="s">
        <v>24</v>
      </c>
      <c r="C1747" s="1">
        <v>45866</v>
      </c>
      <c r="D1747" t="s">
        <v>16</v>
      </c>
      <c r="E1747" t="s">
        <v>17</v>
      </c>
      <c r="F1747">
        <v>1</v>
      </c>
      <c r="G1747">
        <v>12</v>
      </c>
      <c r="H1747" t="s">
        <v>23</v>
      </c>
      <c r="I1747" t="s">
        <v>14</v>
      </c>
      <c r="J1747">
        <v>12</v>
      </c>
    </row>
    <row r="1748" spans="1:10" x14ac:dyDescent="0.3">
      <c r="A1748">
        <v>26</v>
      </c>
      <c r="B1748" t="s">
        <v>10</v>
      </c>
      <c r="C1748" s="1">
        <v>45893</v>
      </c>
      <c r="D1748" t="s">
        <v>20</v>
      </c>
      <c r="E1748" t="s">
        <v>17</v>
      </c>
      <c r="F1748">
        <v>3</v>
      </c>
      <c r="G1748">
        <v>12</v>
      </c>
      <c r="H1748" t="s">
        <v>13</v>
      </c>
      <c r="I1748" t="s">
        <v>27</v>
      </c>
      <c r="J1748">
        <v>36</v>
      </c>
    </row>
    <row r="1749" spans="1:10" x14ac:dyDescent="0.3">
      <c r="A1749">
        <v>1138</v>
      </c>
      <c r="B1749" t="s">
        <v>26</v>
      </c>
      <c r="C1749" s="1">
        <v>45907</v>
      </c>
      <c r="D1749" t="s">
        <v>20</v>
      </c>
      <c r="E1749" t="s">
        <v>30</v>
      </c>
      <c r="F1749">
        <v>1</v>
      </c>
      <c r="G1749">
        <v>8</v>
      </c>
      <c r="H1749" t="s">
        <v>13</v>
      </c>
      <c r="I1749" t="s">
        <v>18</v>
      </c>
      <c r="J1749">
        <v>8</v>
      </c>
    </row>
    <row r="1750" spans="1:10" x14ac:dyDescent="0.3">
      <c r="A1750">
        <v>1895</v>
      </c>
      <c r="B1750" t="s">
        <v>24</v>
      </c>
      <c r="C1750" s="1">
        <v>45882</v>
      </c>
      <c r="D1750" t="s">
        <v>16</v>
      </c>
      <c r="E1750" t="s">
        <v>30</v>
      </c>
      <c r="F1750">
        <v>1</v>
      </c>
      <c r="G1750">
        <v>8</v>
      </c>
      <c r="H1750" t="s">
        <v>13</v>
      </c>
      <c r="I1750" t="s">
        <v>27</v>
      </c>
      <c r="J1750">
        <v>8</v>
      </c>
    </row>
    <row r="1751" spans="1:10" x14ac:dyDescent="0.3">
      <c r="A1751">
        <v>1216</v>
      </c>
      <c r="B1751" t="s">
        <v>24</v>
      </c>
      <c r="C1751" s="1">
        <v>45907</v>
      </c>
      <c r="D1751" t="s">
        <v>16</v>
      </c>
      <c r="E1751" t="s">
        <v>17</v>
      </c>
      <c r="F1751">
        <v>2</v>
      </c>
      <c r="G1751">
        <v>12</v>
      </c>
      <c r="H1751" t="s">
        <v>21</v>
      </c>
      <c r="I1751" t="s">
        <v>25</v>
      </c>
      <c r="J1751">
        <v>24</v>
      </c>
    </row>
    <row r="1752" spans="1:10" x14ac:dyDescent="0.3">
      <c r="A1752">
        <v>449</v>
      </c>
      <c r="B1752" t="s">
        <v>28</v>
      </c>
      <c r="C1752" s="1">
        <v>45908</v>
      </c>
      <c r="D1752" t="s">
        <v>16</v>
      </c>
      <c r="E1752" t="s">
        <v>17</v>
      </c>
      <c r="F1752">
        <v>1</v>
      </c>
      <c r="G1752">
        <v>12</v>
      </c>
      <c r="H1752" t="s">
        <v>21</v>
      </c>
      <c r="I1752" t="s">
        <v>18</v>
      </c>
      <c r="J1752">
        <v>12</v>
      </c>
    </row>
    <row r="1753" spans="1:10" x14ac:dyDescent="0.3">
      <c r="A1753">
        <v>1681</v>
      </c>
      <c r="B1753" t="s">
        <v>31</v>
      </c>
      <c r="C1753" s="1">
        <v>45879</v>
      </c>
      <c r="D1753" t="s">
        <v>33</v>
      </c>
      <c r="E1753" t="s">
        <v>30</v>
      </c>
      <c r="F1753">
        <v>3</v>
      </c>
      <c r="G1753">
        <v>8</v>
      </c>
      <c r="H1753" t="s">
        <v>21</v>
      </c>
      <c r="I1753" t="s">
        <v>18</v>
      </c>
      <c r="J1753">
        <v>24</v>
      </c>
    </row>
    <row r="1754" spans="1:10" x14ac:dyDescent="0.3">
      <c r="A1754">
        <v>1287</v>
      </c>
      <c r="B1754" t="s">
        <v>26</v>
      </c>
      <c r="C1754" s="1">
        <v>45868</v>
      </c>
      <c r="D1754" t="s">
        <v>20</v>
      </c>
      <c r="E1754" t="s">
        <v>17</v>
      </c>
      <c r="F1754">
        <v>5</v>
      </c>
      <c r="G1754">
        <v>12</v>
      </c>
      <c r="H1754" t="s">
        <v>13</v>
      </c>
      <c r="I1754" t="s">
        <v>27</v>
      </c>
      <c r="J1754">
        <v>60</v>
      </c>
    </row>
    <row r="1755" spans="1:10" x14ac:dyDescent="0.3">
      <c r="A1755">
        <v>12</v>
      </c>
      <c r="B1755" t="s">
        <v>28</v>
      </c>
      <c r="C1755" s="1">
        <v>45926</v>
      </c>
      <c r="D1755" t="s">
        <v>33</v>
      </c>
      <c r="E1755" t="s">
        <v>17</v>
      </c>
      <c r="F1755">
        <v>5</v>
      </c>
      <c r="G1755">
        <v>12</v>
      </c>
      <c r="H1755" t="s">
        <v>23</v>
      </c>
      <c r="I1755" t="s">
        <v>14</v>
      </c>
      <c r="J1755">
        <v>60</v>
      </c>
    </row>
    <row r="1756" spans="1:10" x14ac:dyDescent="0.3">
      <c r="A1756">
        <v>1806</v>
      </c>
      <c r="B1756" t="s">
        <v>32</v>
      </c>
      <c r="C1756" s="1">
        <v>45918</v>
      </c>
      <c r="D1756" t="s">
        <v>20</v>
      </c>
      <c r="E1756" t="s">
        <v>29</v>
      </c>
      <c r="F1756">
        <v>3</v>
      </c>
      <c r="G1756">
        <v>30</v>
      </c>
      <c r="H1756" t="s">
        <v>23</v>
      </c>
      <c r="I1756" t="s">
        <v>27</v>
      </c>
      <c r="J1756">
        <v>90</v>
      </c>
    </row>
    <row r="1757" spans="1:10" x14ac:dyDescent="0.3">
      <c r="A1757">
        <v>1546</v>
      </c>
      <c r="B1757" t="s">
        <v>31</v>
      </c>
      <c r="C1757" s="1">
        <v>45897</v>
      </c>
      <c r="D1757" t="s">
        <v>33</v>
      </c>
      <c r="E1757" t="s">
        <v>17</v>
      </c>
      <c r="F1757">
        <v>4</v>
      </c>
      <c r="G1757">
        <v>12</v>
      </c>
      <c r="H1757" t="s">
        <v>13</v>
      </c>
      <c r="I1757" t="s">
        <v>14</v>
      </c>
      <c r="J1757">
        <v>48</v>
      </c>
    </row>
    <row r="1758" spans="1:10" x14ac:dyDescent="0.3">
      <c r="A1758">
        <v>879</v>
      </c>
      <c r="B1758" t="s">
        <v>15</v>
      </c>
      <c r="C1758" s="1">
        <v>45928</v>
      </c>
      <c r="D1758" t="s">
        <v>11</v>
      </c>
      <c r="E1758" t="s">
        <v>12</v>
      </c>
      <c r="F1758">
        <v>5</v>
      </c>
      <c r="G1758">
        <v>25</v>
      </c>
      <c r="H1758" t="s">
        <v>13</v>
      </c>
      <c r="I1758" t="s">
        <v>25</v>
      </c>
      <c r="J1758">
        <v>125</v>
      </c>
    </row>
    <row r="1759" spans="1:10" x14ac:dyDescent="0.3">
      <c r="A1759">
        <v>856</v>
      </c>
      <c r="B1759" t="s">
        <v>15</v>
      </c>
      <c r="C1759" s="1">
        <v>45850</v>
      </c>
      <c r="D1759" t="s">
        <v>33</v>
      </c>
      <c r="E1759" t="s">
        <v>12</v>
      </c>
      <c r="F1759">
        <v>1</v>
      </c>
      <c r="G1759">
        <v>25</v>
      </c>
      <c r="H1759" t="s">
        <v>21</v>
      </c>
      <c r="I1759" t="s">
        <v>14</v>
      </c>
      <c r="J1759">
        <v>25</v>
      </c>
    </row>
    <row r="1760" spans="1:10" x14ac:dyDescent="0.3">
      <c r="A1760">
        <v>82</v>
      </c>
      <c r="B1760" t="s">
        <v>31</v>
      </c>
      <c r="C1760" s="1">
        <v>45892</v>
      </c>
      <c r="D1760" t="s">
        <v>16</v>
      </c>
      <c r="E1760" t="s">
        <v>17</v>
      </c>
      <c r="F1760">
        <v>2</v>
      </c>
      <c r="G1760">
        <v>12</v>
      </c>
      <c r="H1760" t="s">
        <v>23</v>
      </c>
      <c r="I1760" t="s">
        <v>18</v>
      </c>
      <c r="J1760">
        <v>24</v>
      </c>
    </row>
    <row r="1761" spans="1:10" x14ac:dyDescent="0.3">
      <c r="A1761">
        <v>899</v>
      </c>
      <c r="B1761" t="s">
        <v>28</v>
      </c>
      <c r="C1761" s="1">
        <v>45886</v>
      </c>
      <c r="D1761" t="s">
        <v>20</v>
      </c>
      <c r="E1761" t="s">
        <v>17</v>
      </c>
      <c r="F1761">
        <v>5</v>
      </c>
      <c r="G1761">
        <v>12</v>
      </c>
      <c r="H1761" t="s">
        <v>21</v>
      </c>
      <c r="I1761" t="s">
        <v>14</v>
      </c>
      <c r="J1761">
        <v>60</v>
      </c>
    </row>
    <row r="1762" spans="1:10" x14ac:dyDescent="0.3">
      <c r="A1762">
        <v>1918</v>
      </c>
      <c r="B1762" t="s">
        <v>10</v>
      </c>
      <c r="C1762" s="1">
        <v>45887</v>
      </c>
      <c r="D1762" t="s">
        <v>16</v>
      </c>
      <c r="E1762" t="s">
        <v>17</v>
      </c>
      <c r="F1762">
        <v>5</v>
      </c>
      <c r="G1762">
        <v>12</v>
      </c>
      <c r="H1762" t="s">
        <v>13</v>
      </c>
      <c r="I1762" t="s">
        <v>18</v>
      </c>
      <c r="J1762">
        <v>60</v>
      </c>
    </row>
    <row r="1763" spans="1:10" x14ac:dyDescent="0.3">
      <c r="A1763">
        <v>533</v>
      </c>
      <c r="B1763" t="s">
        <v>24</v>
      </c>
      <c r="C1763" s="1">
        <v>45874</v>
      </c>
      <c r="D1763" t="s">
        <v>16</v>
      </c>
      <c r="E1763" t="s">
        <v>17</v>
      </c>
      <c r="F1763">
        <v>4</v>
      </c>
      <c r="G1763">
        <v>12</v>
      </c>
      <c r="H1763" t="s">
        <v>23</v>
      </c>
      <c r="I1763" t="s">
        <v>25</v>
      </c>
      <c r="J1763">
        <v>48</v>
      </c>
    </row>
    <row r="1764" spans="1:10" x14ac:dyDescent="0.3">
      <c r="A1764">
        <v>959</v>
      </c>
      <c r="B1764" t="s">
        <v>26</v>
      </c>
      <c r="C1764" s="1">
        <v>45892</v>
      </c>
      <c r="D1764" t="s">
        <v>11</v>
      </c>
      <c r="E1764" t="s">
        <v>17</v>
      </c>
      <c r="F1764">
        <v>1</v>
      </c>
      <c r="G1764">
        <v>12</v>
      </c>
      <c r="H1764" t="s">
        <v>21</v>
      </c>
      <c r="I1764" t="s">
        <v>18</v>
      </c>
      <c r="J1764">
        <v>12</v>
      </c>
    </row>
    <row r="1765" spans="1:10" x14ac:dyDescent="0.3">
      <c r="A1765">
        <v>473</v>
      </c>
      <c r="B1765" t="s">
        <v>32</v>
      </c>
      <c r="C1765" s="1">
        <v>45843</v>
      </c>
      <c r="D1765" t="s">
        <v>11</v>
      </c>
      <c r="E1765" t="s">
        <v>29</v>
      </c>
      <c r="F1765">
        <v>4</v>
      </c>
      <c r="G1765">
        <v>30</v>
      </c>
      <c r="H1765" t="s">
        <v>21</v>
      </c>
      <c r="I1765" t="s">
        <v>14</v>
      </c>
      <c r="J1765">
        <v>120</v>
      </c>
    </row>
    <row r="1766" spans="1:10" x14ac:dyDescent="0.3">
      <c r="A1766">
        <v>1245</v>
      </c>
      <c r="B1766" t="s">
        <v>28</v>
      </c>
      <c r="C1766" s="1">
        <v>45890</v>
      </c>
      <c r="D1766" t="s">
        <v>16</v>
      </c>
      <c r="E1766" t="s">
        <v>30</v>
      </c>
      <c r="F1766">
        <v>3</v>
      </c>
      <c r="G1766">
        <v>8</v>
      </c>
      <c r="H1766" t="s">
        <v>13</v>
      </c>
      <c r="I1766" t="s">
        <v>14</v>
      </c>
      <c r="J1766">
        <v>24</v>
      </c>
    </row>
    <row r="1767" spans="1:10" x14ac:dyDescent="0.3">
      <c r="A1767">
        <v>1514</v>
      </c>
      <c r="B1767" t="s">
        <v>24</v>
      </c>
      <c r="C1767" s="1">
        <v>45878</v>
      </c>
      <c r="D1767" t="s">
        <v>16</v>
      </c>
      <c r="E1767" t="s">
        <v>22</v>
      </c>
      <c r="F1767">
        <v>5</v>
      </c>
      <c r="G1767">
        <v>20</v>
      </c>
      <c r="H1767" t="s">
        <v>21</v>
      </c>
      <c r="I1767" t="s">
        <v>14</v>
      </c>
      <c r="J1767">
        <v>100</v>
      </c>
    </row>
    <row r="1768" spans="1:10" x14ac:dyDescent="0.3">
      <c r="A1768">
        <v>243</v>
      </c>
      <c r="B1768" t="s">
        <v>31</v>
      </c>
      <c r="C1768" s="1">
        <v>45890</v>
      </c>
      <c r="D1768" t="s">
        <v>33</v>
      </c>
      <c r="E1768" t="s">
        <v>12</v>
      </c>
      <c r="F1768">
        <v>4</v>
      </c>
      <c r="G1768">
        <v>25</v>
      </c>
      <c r="H1768" t="s">
        <v>13</v>
      </c>
      <c r="I1768" t="s">
        <v>27</v>
      </c>
      <c r="J1768">
        <v>100</v>
      </c>
    </row>
    <row r="1769" spans="1:10" x14ac:dyDescent="0.3">
      <c r="A1769">
        <v>466</v>
      </c>
      <c r="B1769" t="s">
        <v>28</v>
      </c>
      <c r="C1769" s="1">
        <v>45886</v>
      </c>
      <c r="D1769" t="s">
        <v>11</v>
      </c>
      <c r="E1769" t="s">
        <v>17</v>
      </c>
      <c r="F1769">
        <v>3</v>
      </c>
      <c r="G1769">
        <v>12</v>
      </c>
      <c r="H1769" t="s">
        <v>23</v>
      </c>
      <c r="I1769" t="s">
        <v>25</v>
      </c>
      <c r="J1769">
        <v>36</v>
      </c>
    </row>
    <row r="1770" spans="1:10" x14ac:dyDescent="0.3">
      <c r="A1770">
        <v>838</v>
      </c>
      <c r="B1770" t="s">
        <v>15</v>
      </c>
      <c r="C1770" s="1">
        <v>45910</v>
      </c>
      <c r="D1770" t="s">
        <v>33</v>
      </c>
      <c r="E1770" t="s">
        <v>17</v>
      </c>
      <c r="F1770">
        <v>4</v>
      </c>
      <c r="G1770">
        <v>12</v>
      </c>
      <c r="H1770" t="s">
        <v>13</v>
      </c>
      <c r="I1770" t="s">
        <v>18</v>
      </c>
      <c r="J1770">
        <v>48</v>
      </c>
    </row>
    <row r="1771" spans="1:10" x14ac:dyDescent="0.3">
      <c r="A1771">
        <v>1095</v>
      </c>
      <c r="B1771" t="s">
        <v>26</v>
      </c>
      <c r="C1771" s="1">
        <v>45893</v>
      </c>
      <c r="D1771" t="s">
        <v>33</v>
      </c>
      <c r="E1771" t="s">
        <v>17</v>
      </c>
      <c r="F1771">
        <v>2</v>
      </c>
      <c r="G1771">
        <v>12</v>
      </c>
      <c r="H1771" t="s">
        <v>13</v>
      </c>
      <c r="I1771" t="s">
        <v>18</v>
      </c>
      <c r="J1771">
        <v>24</v>
      </c>
    </row>
    <row r="1772" spans="1:10" x14ac:dyDescent="0.3">
      <c r="A1772">
        <v>1480</v>
      </c>
      <c r="B1772" t="s">
        <v>19</v>
      </c>
      <c r="C1772" s="1">
        <v>45851</v>
      </c>
      <c r="D1772" t="s">
        <v>20</v>
      </c>
      <c r="E1772" t="s">
        <v>17</v>
      </c>
      <c r="F1772">
        <v>2</v>
      </c>
      <c r="G1772">
        <v>12</v>
      </c>
      <c r="H1772" t="s">
        <v>23</v>
      </c>
      <c r="I1772" t="s">
        <v>27</v>
      </c>
      <c r="J1772">
        <v>24</v>
      </c>
    </row>
    <row r="1773" spans="1:10" x14ac:dyDescent="0.3">
      <c r="A1773">
        <v>125</v>
      </c>
      <c r="B1773" t="s">
        <v>15</v>
      </c>
      <c r="C1773" s="1">
        <v>45919</v>
      </c>
      <c r="D1773" t="s">
        <v>20</v>
      </c>
      <c r="E1773" t="s">
        <v>29</v>
      </c>
      <c r="F1773">
        <v>4</v>
      </c>
      <c r="G1773">
        <v>30</v>
      </c>
      <c r="H1773" t="s">
        <v>21</v>
      </c>
      <c r="I1773" t="s">
        <v>14</v>
      </c>
      <c r="J1773">
        <v>120</v>
      </c>
    </row>
    <row r="1774" spans="1:10" x14ac:dyDescent="0.3">
      <c r="A1774">
        <v>1843</v>
      </c>
      <c r="B1774" t="s">
        <v>19</v>
      </c>
      <c r="C1774" s="1">
        <v>45839</v>
      </c>
      <c r="D1774" t="s">
        <v>33</v>
      </c>
      <c r="E1774" t="s">
        <v>17</v>
      </c>
      <c r="F1774">
        <v>1</v>
      </c>
      <c r="G1774">
        <v>12</v>
      </c>
      <c r="H1774" t="s">
        <v>13</v>
      </c>
      <c r="I1774" t="s">
        <v>25</v>
      </c>
      <c r="J1774">
        <v>12</v>
      </c>
    </row>
    <row r="1775" spans="1:10" x14ac:dyDescent="0.3">
      <c r="A1775">
        <v>852</v>
      </c>
      <c r="B1775" t="s">
        <v>26</v>
      </c>
      <c r="C1775" s="1">
        <v>45902</v>
      </c>
      <c r="D1775" t="s">
        <v>11</v>
      </c>
      <c r="E1775" t="s">
        <v>17</v>
      </c>
      <c r="F1775">
        <v>1</v>
      </c>
      <c r="G1775">
        <v>12</v>
      </c>
      <c r="H1775" t="s">
        <v>21</v>
      </c>
      <c r="I1775" t="s">
        <v>14</v>
      </c>
      <c r="J1775">
        <v>12</v>
      </c>
    </row>
    <row r="1776" spans="1:10" x14ac:dyDescent="0.3">
      <c r="A1776">
        <v>869</v>
      </c>
      <c r="B1776" t="s">
        <v>28</v>
      </c>
      <c r="C1776" s="1">
        <v>45851</v>
      </c>
      <c r="D1776" t="s">
        <v>16</v>
      </c>
      <c r="E1776" t="s">
        <v>17</v>
      </c>
      <c r="F1776">
        <v>2</v>
      </c>
      <c r="G1776">
        <v>12</v>
      </c>
      <c r="H1776" t="s">
        <v>13</v>
      </c>
      <c r="I1776" t="s">
        <v>25</v>
      </c>
      <c r="J1776">
        <v>24</v>
      </c>
    </row>
    <row r="1777" spans="1:10" x14ac:dyDescent="0.3">
      <c r="A1777">
        <v>162</v>
      </c>
      <c r="B1777" t="s">
        <v>24</v>
      </c>
      <c r="C1777" s="1">
        <v>45864</v>
      </c>
      <c r="D1777" t="s">
        <v>33</v>
      </c>
      <c r="E1777" t="s">
        <v>12</v>
      </c>
      <c r="F1777">
        <v>1</v>
      </c>
      <c r="G1777">
        <v>25</v>
      </c>
      <c r="H1777" t="s">
        <v>13</v>
      </c>
      <c r="I1777" t="s">
        <v>25</v>
      </c>
      <c r="J1777">
        <v>25</v>
      </c>
    </row>
    <row r="1778" spans="1:10" x14ac:dyDescent="0.3">
      <c r="A1778">
        <v>308</v>
      </c>
      <c r="B1778" t="s">
        <v>26</v>
      </c>
      <c r="C1778" s="1">
        <v>45889</v>
      </c>
      <c r="D1778" t="s">
        <v>16</v>
      </c>
      <c r="E1778" t="s">
        <v>12</v>
      </c>
      <c r="F1778">
        <v>1</v>
      </c>
      <c r="G1778">
        <v>25</v>
      </c>
      <c r="H1778" t="s">
        <v>21</v>
      </c>
      <c r="I1778" t="s">
        <v>18</v>
      </c>
      <c r="J1778">
        <v>25</v>
      </c>
    </row>
    <row r="1779" spans="1:10" x14ac:dyDescent="0.3">
      <c r="A1779">
        <v>1385</v>
      </c>
      <c r="B1779" t="s">
        <v>24</v>
      </c>
      <c r="C1779" s="1">
        <v>45915</v>
      </c>
      <c r="D1779" t="s">
        <v>33</v>
      </c>
      <c r="E1779" t="s">
        <v>17</v>
      </c>
      <c r="F1779">
        <v>2</v>
      </c>
      <c r="G1779">
        <v>12</v>
      </c>
      <c r="H1779" t="s">
        <v>13</v>
      </c>
      <c r="I1779" t="s">
        <v>18</v>
      </c>
      <c r="J1779">
        <v>24</v>
      </c>
    </row>
    <row r="1780" spans="1:10" x14ac:dyDescent="0.3">
      <c r="A1780">
        <v>1937</v>
      </c>
      <c r="B1780" t="s">
        <v>32</v>
      </c>
      <c r="C1780" s="1">
        <v>45913</v>
      </c>
      <c r="D1780" t="s">
        <v>20</v>
      </c>
      <c r="E1780" t="s">
        <v>17</v>
      </c>
      <c r="F1780">
        <v>5</v>
      </c>
      <c r="G1780">
        <v>12</v>
      </c>
      <c r="H1780" t="s">
        <v>23</v>
      </c>
      <c r="I1780" t="s">
        <v>14</v>
      </c>
      <c r="J1780">
        <v>60</v>
      </c>
    </row>
    <row r="1781" spans="1:10" x14ac:dyDescent="0.3">
      <c r="A1781">
        <v>1917</v>
      </c>
      <c r="B1781" t="s">
        <v>31</v>
      </c>
      <c r="C1781" s="1">
        <v>45843</v>
      </c>
      <c r="D1781" t="s">
        <v>16</v>
      </c>
      <c r="E1781" t="s">
        <v>30</v>
      </c>
      <c r="F1781">
        <v>2</v>
      </c>
      <c r="G1781">
        <v>8</v>
      </c>
      <c r="H1781" t="s">
        <v>23</v>
      </c>
      <c r="I1781" t="s">
        <v>14</v>
      </c>
      <c r="J1781">
        <v>16</v>
      </c>
    </row>
    <row r="1782" spans="1:10" x14ac:dyDescent="0.3">
      <c r="A1782">
        <v>148</v>
      </c>
      <c r="B1782" t="s">
        <v>32</v>
      </c>
      <c r="C1782" s="1">
        <v>45927</v>
      </c>
      <c r="D1782" t="s">
        <v>33</v>
      </c>
      <c r="E1782" t="s">
        <v>17</v>
      </c>
      <c r="F1782">
        <v>4</v>
      </c>
      <c r="G1782">
        <v>12</v>
      </c>
      <c r="H1782" t="s">
        <v>21</v>
      </c>
      <c r="I1782" t="s">
        <v>14</v>
      </c>
      <c r="J1782">
        <v>48</v>
      </c>
    </row>
    <row r="1783" spans="1:10" x14ac:dyDescent="0.3">
      <c r="A1783">
        <v>1967</v>
      </c>
      <c r="B1783" t="s">
        <v>24</v>
      </c>
      <c r="C1783" s="1">
        <v>45921</v>
      </c>
      <c r="D1783" t="s">
        <v>33</v>
      </c>
      <c r="E1783" t="s">
        <v>17</v>
      </c>
      <c r="F1783">
        <v>3</v>
      </c>
      <c r="G1783">
        <v>12</v>
      </c>
      <c r="H1783" t="s">
        <v>21</v>
      </c>
      <c r="I1783" t="s">
        <v>14</v>
      </c>
      <c r="J1783">
        <v>36</v>
      </c>
    </row>
    <row r="1784" spans="1:10" x14ac:dyDescent="0.3">
      <c r="A1784">
        <v>1667</v>
      </c>
      <c r="B1784" t="s">
        <v>19</v>
      </c>
      <c r="C1784" s="1">
        <v>45871</v>
      </c>
      <c r="D1784" t="s">
        <v>11</v>
      </c>
      <c r="E1784" t="s">
        <v>22</v>
      </c>
      <c r="F1784">
        <v>4</v>
      </c>
      <c r="G1784">
        <v>20</v>
      </c>
      <c r="H1784" t="s">
        <v>21</v>
      </c>
      <c r="I1784" t="s">
        <v>27</v>
      </c>
      <c r="J1784">
        <v>80</v>
      </c>
    </row>
    <row r="1785" spans="1:10" x14ac:dyDescent="0.3">
      <c r="A1785">
        <v>791</v>
      </c>
      <c r="B1785" t="s">
        <v>10</v>
      </c>
      <c r="C1785" s="1">
        <v>45846</v>
      </c>
      <c r="D1785" t="s">
        <v>20</v>
      </c>
      <c r="E1785" t="s">
        <v>30</v>
      </c>
      <c r="F1785">
        <v>1</v>
      </c>
      <c r="G1785">
        <v>8</v>
      </c>
      <c r="H1785" t="s">
        <v>13</v>
      </c>
      <c r="I1785" t="s">
        <v>14</v>
      </c>
      <c r="J1785">
        <v>8</v>
      </c>
    </row>
    <row r="1786" spans="1:10" x14ac:dyDescent="0.3">
      <c r="A1786">
        <v>714</v>
      </c>
      <c r="B1786" t="s">
        <v>31</v>
      </c>
      <c r="C1786" s="1">
        <v>45912</v>
      </c>
      <c r="D1786" t="s">
        <v>16</v>
      </c>
      <c r="E1786" t="s">
        <v>17</v>
      </c>
      <c r="F1786">
        <v>2</v>
      </c>
      <c r="G1786">
        <v>12</v>
      </c>
      <c r="H1786" t="s">
        <v>21</v>
      </c>
      <c r="I1786" t="s">
        <v>18</v>
      </c>
      <c r="J1786">
        <v>24</v>
      </c>
    </row>
    <row r="1787" spans="1:10" x14ac:dyDescent="0.3">
      <c r="A1787">
        <v>1258</v>
      </c>
      <c r="B1787" t="s">
        <v>32</v>
      </c>
      <c r="C1787" s="1">
        <v>45911</v>
      </c>
      <c r="D1787" t="s">
        <v>20</v>
      </c>
      <c r="E1787" t="s">
        <v>17</v>
      </c>
      <c r="F1787">
        <v>5</v>
      </c>
      <c r="G1787">
        <v>12</v>
      </c>
      <c r="H1787" t="s">
        <v>13</v>
      </c>
      <c r="I1787" t="s">
        <v>27</v>
      </c>
      <c r="J1787">
        <v>60</v>
      </c>
    </row>
    <row r="1788" spans="1:10" x14ac:dyDescent="0.3">
      <c r="A1788">
        <v>1045</v>
      </c>
      <c r="B1788" t="s">
        <v>10</v>
      </c>
      <c r="C1788" s="1">
        <v>45881</v>
      </c>
      <c r="D1788" t="s">
        <v>20</v>
      </c>
      <c r="E1788" t="s">
        <v>30</v>
      </c>
      <c r="F1788">
        <v>2</v>
      </c>
      <c r="G1788">
        <v>8</v>
      </c>
      <c r="H1788" t="s">
        <v>21</v>
      </c>
      <c r="I1788" t="s">
        <v>18</v>
      </c>
      <c r="J1788">
        <v>16</v>
      </c>
    </row>
    <row r="1789" spans="1:10" x14ac:dyDescent="0.3">
      <c r="A1789">
        <v>492</v>
      </c>
      <c r="B1789" t="s">
        <v>15</v>
      </c>
      <c r="C1789" s="1">
        <v>45844</v>
      </c>
      <c r="D1789" t="s">
        <v>33</v>
      </c>
      <c r="E1789" t="s">
        <v>17</v>
      </c>
      <c r="F1789">
        <v>5</v>
      </c>
      <c r="G1789">
        <v>12</v>
      </c>
      <c r="H1789" t="s">
        <v>23</v>
      </c>
      <c r="I1789" t="s">
        <v>14</v>
      </c>
      <c r="J1789">
        <v>60</v>
      </c>
    </row>
    <row r="1790" spans="1:10" x14ac:dyDescent="0.3">
      <c r="A1790">
        <v>1674</v>
      </c>
      <c r="B1790" t="s">
        <v>24</v>
      </c>
      <c r="C1790" s="1">
        <v>45859</v>
      </c>
      <c r="D1790" t="s">
        <v>20</v>
      </c>
      <c r="E1790" t="s">
        <v>17</v>
      </c>
      <c r="F1790">
        <v>5</v>
      </c>
      <c r="G1790">
        <v>12</v>
      </c>
      <c r="H1790" t="s">
        <v>21</v>
      </c>
      <c r="I1790" t="s">
        <v>18</v>
      </c>
      <c r="J1790">
        <v>60</v>
      </c>
    </row>
    <row r="1791" spans="1:10" x14ac:dyDescent="0.3">
      <c r="A1791">
        <v>1526</v>
      </c>
      <c r="B1791" t="s">
        <v>32</v>
      </c>
      <c r="C1791" s="1">
        <v>45885</v>
      </c>
      <c r="D1791" t="s">
        <v>33</v>
      </c>
      <c r="E1791" t="s">
        <v>17</v>
      </c>
      <c r="F1791">
        <v>4</v>
      </c>
      <c r="G1791">
        <v>12</v>
      </c>
      <c r="H1791" t="s">
        <v>13</v>
      </c>
      <c r="I1791" t="s">
        <v>27</v>
      </c>
      <c r="J1791">
        <v>48</v>
      </c>
    </row>
    <row r="1792" spans="1:10" x14ac:dyDescent="0.3">
      <c r="A1792">
        <v>543</v>
      </c>
      <c r="B1792" t="s">
        <v>32</v>
      </c>
      <c r="C1792" s="1">
        <v>45879</v>
      </c>
      <c r="D1792" t="s">
        <v>33</v>
      </c>
      <c r="E1792" t="s">
        <v>22</v>
      </c>
      <c r="F1792">
        <v>2</v>
      </c>
      <c r="G1792">
        <v>20</v>
      </c>
      <c r="H1792" t="s">
        <v>13</v>
      </c>
      <c r="I1792" t="s">
        <v>18</v>
      </c>
      <c r="J1792">
        <v>40</v>
      </c>
    </row>
    <row r="1793" spans="1:10" x14ac:dyDescent="0.3">
      <c r="A1793">
        <v>1943</v>
      </c>
      <c r="B1793" t="s">
        <v>10</v>
      </c>
      <c r="C1793" s="1">
        <v>45843</v>
      </c>
      <c r="D1793" t="s">
        <v>20</v>
      </c>
      <c r="E1793" t="s">
        <v>17</v>
      </c>
      <c r="F1793">
        <v>3</v>
      </c>
      <c r="G1793">
        <v>12</v>
      </c>
      <c r="H1793" t="s">
        <v>21</v>
      </c>
      <c r="I1793" t="s">
        <v>27</v>
      </c>
      <c r="J1793">
        <v>36</v>
      </c>
    </row>
    <row r="1794" spans="1:10" x14ac:dyDescent="0.3">
      <c r="A1794">
        <v>1224</v>
      </c>
      <c r="B1794" t="s">
        <v>28</v>
      </c>
      <c r="C1794" s="1">
        <v>45854</v>
      </c>
      <c r="D1794" t="s">
        <v>11</v>
      </c>
      <c r="E1794" t="s">
        <v>17</v>
      </c>
      <c r="F1794">
        <v>1</v>
      </c>
      <c r="G1794">
        <v>12</v>
      </c>
      <c r="H1794" t="s">
        <v>21</v>
      </c>
      <c r="I1794" t="s">
        <v>27</v>
      </c>
      <c r="J1794">
        <v>12</v>
      </c>
    </row>
    <row r="1795" spans="1:10" x14ac:dyDescent="0.3">
      <c r="A1795">
        <v>1996</v>
      </c>
      <c r="B1795" t="s">
        <v>24</v>
      </c>
      <c r="C1795" s="1">
        <v>45857</v>
      </c>
      <c r="D1795" t="s">
        <v>16</v>
      </c>
      <c r="E1795" t="s">
        <v>17</v>
      </c>
      <c r="F1795">
        <v>5</v>
      </c>
      <c r="G1795">
        <v>12</v>
      </c>
      <c r="H1795" t="s">
        <v>13</v>
      </c>
      <c r="I1795" t="s">
        <v>14</v>
      </c>
      <c r="J1795">
        <v>60</v>
      </c>
    </row>
    <row r="1796" spans="1:10" x14ac:dyDescent="0.3">
      <c r="A1796">
        <v>128</v>
      </c>
      <c r="B1796" t="s">
        <v>24</v>
      </c>
      <c r="C1796" s="1">
        <v>45861</v>
      </c>
      <c r="D1796" t="s">
        <v>11</v>
      </c>
      <c r="E1796" t="s">
        <v>17</v>
      </c>
      <c r="F1796">
        <v>2</v>
      </c>
      <c r="G1796">
        <v>12</v>
      </c>
      <c r="H1796" t="s">
        <v>23</v>
      </c>
      <c r="I1796" t="s">
        <v>25</v>
      </c>
      <c r="J1796">
        <v>24</v>
      </c>
    </row>
    <row r="1797" spans="1:10" x14ac:dyDescent="0.3">
      <c r="A1797">
        <v>1014</v>
      </c>
      <c r="B1797" t="s">
        <v>32</v>
      </c>
      <c r="C1797" s="1">
        <v>45850</v>
      </c>
      <c r="D1797" t="s">
        <v>11</v>
      </c>
      <c r="E1797" t="s">
        <v>17</v>
      </c>
      <c r="F1797">
        <v>3</v>
      </c>
      <c r="G1797">
        <v>12</v>
      </c>
      <c r="H1797" t="s">
        <v>13</v>
      </c>
      <c r="I1797" t="s">
        <v>27</v>
      </c>
      <c r="J1797">
        <v>36</v>
      </c>
    </row>
    <row r="1798" spans="1:10" x14ac:dyDescent="0.3">
      <c r="A1798">
        <v>1260</v>
      </c>
      <c r="B1798" t="s">
        <v>32</v>
      </c>
      <c r="C1798" s="1">
        <v>45930</v>
      </c>
      <c r="D1798" t="s">
        <v>11</v>
      </c>
      <c r="E1798" t="s">
        <v>22</v>
      </c>
      <c r="F1798">
        <v>1</v>
      </c>
      <c r="G1798">
        <v>20</v>
      </c>
      <c r="H1798" t="s">
        <v>21</v>
      </c>
      <c r="I1798" t="s">
        <v>27</v>
      </c>
      <c r="J1798">
        <v>20</v>
      </c>
    </row>
    <row r="1799" spans="1:10" x14ac:dyDescent="0.3">
      <c r="A1799">
        <v>675</v>
      </c>
      <c r="B1799" t="s">
        <v>31</v>
      </c>
      <c r="C1799" s="1">
        <v>45890</v>
      </c>
      <c r="D1799" t="s">
        <v>11</v>
      </c>
      <c r="E1799" t="s">
        <v>22</v>
      </c>
      <c r="F1799">
        <v>4</v>
      </c>
      <c r="G1799">
        <v>20</v>
      </c>
      <c r="H1799" t="s">
        <v>13</v>
      </c>
      <c r="I1799" t="s">
        <v>27</v>
      </c>
      <c r="J1799">
        <v>80</v>
      </c>
    </row>
    <row r="1800" spans="1:10" x14ac:dyDescent="0.3">
      <c r="A1800">
        <v>740</v>
      </c>
      <c r="B1800" t="s">
        <v>31</v>
      </c>
      <c r="C1800" s="1">
        <v>45888</v>
      </c>
      <c r="D1800" t="s">
        <v>20</v>
      </c>
      <c r="E1800" t="s">
        <v>17</v>
      </c>
      <c r="F1800">
        <v>5</v>
      </c>
      <c r="G1800">
        <v>12</v>
      </c>
      <c r="H1800" t="s">
        <v>23</v>
      </c>
      <c r="I1800" t="s">
        <v>18</v>
      </c>
      <c r="J1800">
        <v>60</v>
      </c>
    </row>
    <row r="1801" spans="1:10" x14ac:dyDescent="0.3">
      <c r="A1801">
        <v>1677</v>
      </c>
      <c r="B1801" t="s">
        <v>28</v>
      </c>
      <c r="C1801" s="1">
        <v>45858</v>
      </c>
      <c r="D1801" t="s">
        <v>16</v>
      </c>
      <c r="E1801" t="s">
        <v>17</v>
      </c>
      <c r="F1801">
        <v>1</v>
      </c>
      <c r="G1801">
        <v>12</v>
      </c>
      <c r="H1801" t="s">
        <v>23</v>
      </c>
      <c r="I1801" t="s">
        <v>25</v>
      </c>
      <c r="J1801">
        <v>12</v>
      </c>
    </row>
    <row r="1802" spans="1:10" x14ac:dyDescent="0.3">
      <c r="A1802">
        <v>1265</v>
      </c>
      <c r="B1802" t="s">
        <v>10</v>
      </c>
      <c r="C1802" s="1">
        <v>45857</v>
      </c>
      <c r="D1802" t="s">
        <v>16</v>
      </c>
      <c r="E1802" t="s">
        <v>30</v>
      </c>
      <c r="F1802">
        <v>5</v>
      </c>
      <c r="G1802">
        <v>8</v>
      </c>
      <c r="H1802" t="s">
        <v>21</v>
      </c>
      <c r="I1802" t="s">
        <v>27</v>
      </c>
      <c r="J1802">
        <v>40</v>
      </c>
    </row>
    <row r="1803" spans="1:10" x14ac:dyDescent="0.3">
      <c r="A1803">
        <v>772</v>
      </c>
      <c r="B1803" t="s">
        <v>15</v>
      </c>
      <c r="C1803" s="1">
        <v>45868</v>
      </c>
      <c r="D1803" t="s">
        <v>33</v>
      </c>
      <c r="E1803" t="s">
        <v>17</v>
      </c>
      <c r="F1803">
        <v>3</v>
      </c>
      <c r="G1803">
        <v>12</v>
      </c>
      <c r="H1803" t="s">
        <v>13</v>
      </c>
      <c r="I1803" t="s">
        <v>27</v>
      </c>
      <c r="J1803">
        <v>36</v>
      </c>
    </row>
    <row r="1804" spans="1:10" x14ac:dyDescent="0.3">
      <c r="A1804">
        <v>590</v>
      </c>
      <c r="B1804" t="s">
        <v>15</v>
      </c>
      <c r="C1804" s="1">
        <v>45911</v>
      </c>
      <c r="D1804" t="s">
        <v>11</v>
      </c>
      <c r="E1804" t="s">
        <v>30</v>
      </c>
      <c r="F1804">
        <v>5</v>
      </c>
      <c r="G1804">
        <v>8</v>
      </c>
      <c r="H1804" t="s">
        <v>21</v>
      </c>
      <c r="I1804" t="s">
        <v>27</v>
      </c>
      <c r="J1804">
        <v>40</v>
      </c>
    </row>
    <row r="1805" spans="1:10" x14ac:dyDescent="0.3">
      <c r="A1805">
        <v>505</v>
      </c>
      <c r="B1805" t="s">
        <v>28</v>
      </c>
      <c r="C1805" s="1">
        <v>45884</v>
      </c>
      <c r="D1805" t="s">
        <v>20</v>
      </c>
      <c r="E1805" t="s">
        <v>17</v>
      </c>
      <c r="F1805">
        <v>2</v>
      </c>
      <c r="G1805">
        <v>12</v>
      </c>
      <c r="H1805" t="s">
        <v>21</v>
      </c>
      <c r="I1805" t="s">
        <v>18</v>
      </c>
      <c r="J1805">
        <v>24</v>
      </c>
    </row>
    <row r="1806" spans="1:10" x14ac:dyDescent="0.3">
      <c r="A1806">
        <v>642</v>
      </c>
      <c r="B1806" t="s">
        <v>10</v>
      </c>
      <c r="C1806" s="1">
        <v>45892</v>
      </c>
      <c r="D1806" t="s">
        <v>16</v>
      </c>
      <c r="E1806" t="s">
        <v>17</v>
      </c>
      <c r="F1806">
        <v>2</v>
      </c>
      <c r="G1806">
        <v>12</v>
      </c>
      <c r="H1806" t="s">
        <v>23</v>
      </c>
      <c r="I1806" t="s">
        <v>14</v>
      </c>
      <c r="J1806">
        <v>24</v>
      </c>
    </row>
    <row r="1807" spans="1:10" x14ac:dyDescent="0.3">
      <c r="A1807">
        <v>923</v>
      </c>
      <c r="B1807" t="s">
        <v>24</v>
      </c>
      <c r="C1807" s="1">
        <v>45914</v>
      </c>
      <c r="D1807" t="s">
        <v>33</v>
      </c>
      <c r="E1807" t="s">
        <v>22</v>
      </c>
      <c r="F1807">
        <v>2</v>
      </c>
      <c r="G1807">
        <v>20</v>
      </c>
      <c r="H1807" t="s">
        <v>13</v>
      </c>
      <c r="I1807" t="s">
        <v>14</v>
      </c>
      <c r="J1807">
        <v>40</v>
      </c>
    </row>
    <row r="1808" spans="1:10" x14ac:dyDescent="0.3">
      <c r="A1808">
        <v>1112</v>
      </c>
      <c r="B1808" t="s">
        <v>24</v>
      </c>
      <c r="C1808" s="1">
        <v>45908</v>
      </c>
      <c r="D1808" t="s">
        <v>11</v>
      </c>
      <c r="E1808" t="s">
        <v>17</v>
      </c>
      <c r="F1808">
        <v>1</v>
      </c>
      <c r="G1808">
        <v>12</v>
      </c>
      <c r="H1808" t="s">
        <v>21</v>
      </c>
      <c r="I1808" t="s">
        <v>18</v>
      </c>
      <c r="J1808">
        <v>12</v>
      </c>
    </row>
    <row r="1809" spans="1:10" x14ac:dyDescent="0.3">
      <c r="A1809">
        <v>514</v>
      </c>
      <c r="B1809" t="s">
        <v>10</v>
      </c>
      <c r="C1809" s="1">
        <v>45844</v>
      </c>
      <c r="D1809" t="s">
        <v>16</v>
      </c>
      <c r="E1809" t="s">
        <v>12</v>
      </c>
      <c r="F1809">
        <v>3</v>
      </c>
      <c r="G1809">
        <v>25</v>
      </c>
      <c r="H1809" t="s">
        <v>13</v>
      </c>
      <c r="I1809" t="s">
        <v>27</v>
      </c>
      <c r="J1809">
        <v>75</v>
      </c>
    </row>
    <row r="1810" spans="1:10" x14ac:dyDescent="0.3">
      <c r="A1810">
        <v>1005</v>
      </c>
      <c r="B1810" t="s">
        <v>24</v>
      </c>
      <c r="C1810" s="1">
        <v>45930</v>
      </c>
      <c r="D1810" t="s">
        <v>33</v>
      </c>
      <c r="E1810" t="s">
        <v>12</v>
      </c>
      <c r="F1810">
        <v>5</v>
      </c>
      <c r="G1810">
        <v>25</v>
      </c>
      <c r="H1810" t="s">
        <v>23</v>
      </c>
      <c r="I1810" t="s">
        <v>27</v>
      </c>
      <c r="J1810">
        <v>125</v>
      </c>
    </row>
    <row r="1811" spans="1:10" x14ac:dyDescent="0.3">
      <c r="A1811">
        <v>276</v>
      </c>
      <c r="B1811" t="s">
        <v>31</v>
      </c>
      <c r="C1811" s="1">
        <v>45925</v>
      </c>
      <c r="D1811" t="s">
        <v>33</v>
      </c>
      <c r="E1811" t="s">
        <v>12</v>
      </c>
      <c r="F1811">
        <v>3</v>
      </c>
      <c r="G1811">
        <v>25</v>
      </c>
      <c r="H1811" t="s">
        <v>21</v>
      </c>
      <c r="I1811" t="s">
        <v>18</v>
      </c>
      <c r="J1811">
        <v>75</v>
      </c>
    </row>
    <row r="1812" spans="1:10" x14ac:dyDescent="0.3">
      <c r="A1812">
        <v>816</v>
      </c>
      <c r="B1812" t="s">
        <v>15</v>
      </c>
      <c r="C1812" s="1">
        <v>45913</v>
      </c>
      <c r="D1812" t="s">
        <v>16</v>
      </c>
      <c r="E1812" t="s">
        <v>30</v>
      </c>
      <c r="F1812">
        <v>5</v>
      </c>
      <c r="G1812">
        <v>8</v>
      </c>
      <c r="H1812" t="s">
        <v>23</v>
      </c>
      <c r="I1812" t="s">
        <v>25</v>
      </c>
      <c r="J1812">
        <v>40</v>
      </c>
    </row>
    <row r="1813" spans="1:10" x14ac:dyDescent="0.3">
      <c r="A1813">
        <v>1923</v>
      </c>
      <c r="B1813" t="s">
        <v>31</v>
      </c>
      <c r="C1813" s="1">
        <v>45847</v>
      </c>
      <c r="D1813" t="s">
        <v>20</v>
      </c>
      <c r="E1813" t="s">
        <v>30</v>
      </c>
      <c r="F1813">
        <v>3</v>
      </c>
      <c r="G1813">
        <v>8</v>
      </c>
      <c r="H1813" t="s">
        <v>13</v>
      </c>
      <c r="I1813" t="s">
        <v>18</v>
      </c>
      <c r="J1813">
        <v>24</v>
      </c>
    </row>
    <row r="1814" spans="1:10" x14ac:dyDescent="0.3">
      <c r="A1814">
        <v>279</v>
      </c>
      <c r="B1814" t="s">
        <v>24</v>
      </c>
      <c r="C1814" s="1">
        <v>45878</v>
      </c>
      <c r="D1814" t="s">
        <v>33</v>
      </c>
      <c r="E1814" t="s">
        <v>12</v>
      </c>
      <c r="F1814">
        <v>3</v>
      </c>
      <c r="G1814">
        <v>25</v>
      </c>
      <c r="H1814" t="s">
        <v>21</v>
      </c>
      <c r="I1814" t="s">
        <v>25</v>
      </c>
      <c r="J1814">
        <v>75</v>
      </c>
    </row>
    <row r="1815" spans="1:10" x14ac:dyDescent="0.3">
      <c r="A1815">
        <v>1824</v>
      </c>
      <c r="B1815" t="s">
        <v>31</v>
      </c>
      <c r="C1815" s="1">
        <v>45880</v>
      </c>
      <c r="D1815" t="s">
        <v>11</v>
      </c>
      <c r="E1815" t="s">
        <v>17</v>
      </c>
      <c r="F1815">
        <v>1</v>
      </c>
      <c r="G1815">
        <v>12</v>
      </c>
      <c r="H1815" t="s">
        <v>23</v>
      </c>
      <c r="I1815" t="s">
        <v>14</v>
      </c>
      <c r="J1815">
        <v>12</v>
      </c>
    </row>
    <row r="1816" spans="1:10" x14ac:dyDescent="0.3">
      <c r="A1816">
        <v>1178</v>
      </c>
      <c r="B1816" t="s">
        <v>19</v>
      </c>
      <c r="C1816" s="1">
        <v>45857</v>
      </c>
      <c r="D1816" t="s">
        <v>33</v>
      </c>
      <c r="E1816" t="s">
        <v>22</v>
      </c>
      <c r="F1816">
        <v>4</v>
      </c>
      <c r="G1816">
        <v>20</v>
      </c>
      <c r="H1816" t="s">
        <v>21</v>
      </c>
      <c r="I1816" t="s">
        <v>18</v>
      </c>
      <c r="J1816">
        <v>80</v>
      </c>
    </row>
    <row r="1817" spans="1:10" x14ac:dyDescent="0.3">
      <c r="A1817">
        <v>273</v>
      </c>
      <c r="B1817" t="s">
        <v>19</v>
      </c>
      <c r="C1817" s="1">
        <v>45916</v>
      </c>
      <c r="D1817" t="s">
        <v>33</v>
      </c>
      <c r="E1817" t="s">
        <v>17</v>
      </c>
      <c r="F1817">
        <v>2</v>
      </c>
      <c r="G1817">
        <v>12</v>
      </c>
      <c r="H1817" t="s">
        <v>23</v>
      </c>
      <c r="I1817" t="s">
        <v>25</v>
      </c>
      <c r="J1817">
        <v>24</v>
      </c>
    </row>
    <row r="1818" spans="1:10" x14ac:dyDescent="0.3">
      <c r="A1818">
        <v>1855</v>
      </c>
      <c r="B1818" t="s">
        <v>19</v>
      </c>
      <c r="C1818" s="1">
        <v>45858</v>
      </c>
      <c r="D1818" t="s">
        <v>16</v>
      </c>
      <c r="E1818" t="s">
        <v>30</v>
      </c>
      <c r="F1818">
        <v>4</v>
      </c>
      <c r="G1818">
        <v>8</v>
      </c>
      <c r="H1818" t="s">
        <v>13</v>
      </c>
      <c r="I1818" t="s">
        <v>18</v>
      </c>
      <c r="J1818">
        <v>32</v>
      </c>
    </row>
    <row r="1819" spans="1:10" x14ac:dyDescent="0.3">
      <c r="A1819">
        <v>1675</v>
      </c>
      <c r="B1819" t="s">
        <v>24</v>
      </c>
      <c r="C1819" s="1">
        <v>45884</v>
      </c>
      <c r="D1819" t="s">
        <v>11</v>
      </c>
      <c r="E1819" t="s">
        <v>12</v>
      </c>
      <c r="F1819">
        <v>5</v>
      </c>
      <c r="G1819">
        <v>25</v>
      </c>
      <c r="H1819" t="s">
        <v>21</v>
      </c>
      <c r="I1819" t="s">
        <v>25</v>
      </c>
      <c r="J1819">
        <v>125</v>
      </c>
    </row>
    <row r="1820" spans="1:10" x14ac:dyDescent="0.3">
      <c r="A1820">
        <v>1490</v>
      </c>
      <c r="B1820" t="s">
        <v>24</v>
      </c>
      <c r="C1820" s="1">
        <v>45885</v>
      </c>
      <c r="D1820" t="s">
        <v>20</v>
      </c>
      <c r="E1820" t="s">
        <v>17</v>
      </c>
      <c r="F1820">
        <v>1</v>
      </c>
      <c r="G1820">
        <v>12</v>
      </c>
      <c r="H1820" t="s">
        <v>13</v>
      </c>
      <c r="I1820" t="s">
        <v>27</v>
      </c>
      <c r="J1820">
        <v>12</v>
      </c>
    </row>
    <row r="1821" spans="1:10" x14ac:dyDescent="0.3">
      <c r="A1821">
        <v>1880</v>
      </c>
      <c r="B1821" t="s">
        <v>24</v>
      </c>
      <c r="C1821" s="1">
        <v>45851</v>
      </c>
      <c r="D1821" t="s">
        <v>11</v>
      </c>
      <c r="E1821" t="s">
        <v>17</v>
      </c>
      <c r="F1821">
        <v>5</v>
      </c>
      <c r="G1821">
        <v>12</v>
      </c>
      <c r="H1821" t="s">
        <v>23</v>
      </c>
      <c r="I1821" t="s">
        <v>27</v>
      </c>
      <c r="J1821">
        <v>60</v>
      </c>
    </row>
    <row r="1822" spans="1:10" x14ac:dyDescent="0.3">
      <c r="A1822">
        <v>665</v>
      </c>
      <c r="B1822" t="s">
        <v>24</v>
      </c>
      <c r="C1822" s="1">
        <v>45915</v>
      </c>
      <c r="D1822" t="s">
        <v>20</v>
      </c>
      <c r="E1822" t="s">
        <v>12</v>
      </c>
      <c r="F1822">
        <v>3</v>
      </c>
      <c r="G1822">
        <v>25</v>
      </c>
      <c r="H1822" t="s">
        <v>23</v>
      </c>
      <c r="I1822" t="s">
        <v>18</v>
      </c>
      <c r="J1822">
        <v>75</v>
      </c>
    </row>
    <row r="1823" spans="1:10" x14ac:dyDescent="0.3">
      <c r="A1823">
        <v>212</v>
      </c>
      <c r="B1823" t="s">
        <v>28</v>
      </c>
      <c r="C1823" s="1">
        <v>45906</v>
      </c>
      <c r="D1823" t="s">
        <v>11</v>
      </c>
      <c r="E1823" t="s">
        <v>22</v>
      </c>
      <c r="F1823">
        <v>4</v>
      </c>
      <c r="G1823">
        <v>20</v>
      </c>
      <c r="H1823" t="s">
        <v>21</v>
      </c>
      <c r="I1823" t="s">
        <v>18</v>
      </c>
      <c r="J1823">
        <v>80</v>
      </c>
    </row>
    <row r="1824" spans="1:10" x14ac:dyDescent="0.3">
      <c r="A1824">
        <v>498</v>
      </c>
      <c r="B1824" t="s">
        <v>31</v>
      </c>
      <c r="C1824" s="1">
        <v>45924</v>
      </c>
      <c r="D1824" t="s">
        <v>20</v>
      </c>
      <c r="E1824" t="s">
        <v>22</v>
      </c>
      <c r="F1824">
        <v>5</v>
      </c>
      <c r="G1824">
        <v>20</v>
      </c>
      <c r="H1824" t="s">
        <v>23</v>
      </c>
      <c r="I1824" t="s">
        <v>27</v>
      </c>
      <c r="J1824">
        <v>100</v>
      </c>
    </row>
    <row r="1825" spans="1:10" x14ac:dyDescent="0.3">
      <c r="A1825">
        <v>1273</v>
      </c>
      <c r="B1825" t="s">
        <v>32</v>
      </c>
      <c r="C1825" s="1">
        <v>45924</v>
      </c>
      <c r="D1825" t="s">
        <v>16</v>
      </c>
      <c r="E1825" t="s">
        <v>30</v>
      </c>
      <c r="F1825">
        <v>4</v>
      </c>
      <c r="G1825">
        <v>8</v>
      </c>
      <c r="H1825" t="s">
        <v>23</v>
      </c>
      <c r="I1825" t="s">
        <v>25</v>
      </c>
      <c r="J1825">
        <v>32</v>
      </c>
    </row>
    <row r="1826" spans="1:10" x14ac:dyDescent="0.3">
      <c r="A1826">
        <v>855</v>
      </c>
      <c r="B1826" t="s">
        <v>28</v>
      </c>
      <c r="C1826" s="1">
        <v>45886</v>
      </c>
      <c r="D1826" t="s">
        <v>20</v>
      </c>
      <c r="E1826" t="s">
        <v>17</v>
      </c>
      <c r="F1826">
        <v>4</v>
      </c>
      <c r="G1826">
        <v>12</v>
      </c>
      <c r="H1826" t="s">
        <v>21</v>
      </c>
      <c r="I1826" t="s">
        <v>25</v>
      </c>
      <c r="J1826">
        <v>48</v>
      </c>
    </row>
    <row r="1827" spans="1:10" x14ac:dyDescent="0.3">
      <c r="A1827">
        <v>1220</v>
      </c>
      <c r="B1827" t="s">
        <v>32</v>
      </c>
      <c r="C1827" s="1">
        <v>45914</v>
      </c>
      <c r="D1827" t="s">
        <v>16</v>
      </c>
      <c r="E1827" t="s">
        <v>30</v>
      </c>
      <c r="F1827">
        <v>2</v>
      </c>
      <c r="G1827">
        <v>8</v>
      </c>
      <c r="H1827" t="s">
        <v>13</v>
      </c>
      <c r="I1827" t="s">
        <v>18</v>
      </c>
      <c r="J1827">
        <v>16</v>
      </c>
    </row>
    <row r="1828" spans="1:10" x14ac:dyDescent="0.3">
      <c r="A1828">
        <v>1459</v>
      </c>
      <c r="B1828" t="s">
        <v>10</v>
      </c>
      <c r="C1828" s="1">
        <v>45909</v>
      </c>
      <c r="D1828" t="s">
        <v>11</v>
      </c>
      <c r="E1828" t="s">
        <v>30</v>
      </c>
      <c r="F1828">
        <v>3</v>
      </c>
      <c r="G1828">
        <v>8</v>
      </c>
      <c r="H1828" t="s">
        <v>23</v>
      </c>
      <c r="I1828" t="s">
        <v>25</v>
      </c>
      <c r="J1828">
        <v>24</v>
      </c>
    </row>
    <row r="1829" spans="1:10" x14ac:dyDescent="0.3">
      <c r="A1829">
        <v>1360</v>
      </c>
      <c r="B1829" t="s">
        <v>28</v>
      </c>
      <c r="C1829" s="1">
        <v>45913</v>
      </c>
      <c r="D1829" t="s">
        <v>11</v>
      </c>
      <c r="E1829" t="s">
        <v>30</v>
      </c>
      <c r="F1829">
        <v>2</v>
      </c>
      <c r="G1829">
        <v>8</v>
      </c>
      <c r="H1829" t="s">
        <v>21</v>
      </c>
      <c r="I1829" t="s">
        <v>14</v>
      </c>
      <c r="J1829">
        <v>16</v>
      </c>
    </row>
    <row r="1830" spans="1:10" x14ac:dyDescent="0.3">
      <c r="A1830">
        <v>482</v>
      </c>
      <c r="B1830" t="s">
        <v>10</v>
      </c>
      <c r="C1830" s="1">
        <v>45883</v>
      </c>
      <c r="D1830" t="s">
        <v>33</v>
      </c>
      <c r="E1830" t="s">
        <v>22</v>
      </c>
      <c r="F1830">
        <v>4</v>
      </c>
      <c r="G1830">
        <v>20</v>
      </c>
      <c r="H1830" t="s">
        <v>21</v>
      </c>
      <c r="I1830" t="s">
        <v>27</v>
      </c>
      <c r="J1830">
        <v>80</v>
      </c>
    </row>
    <row r="1831" spans="1:10" x14ac:dyDescent="0.3">
      <c r="A1831">
        <v>194</v>
      </c>
      <c r="B1831" t="s">
        <v>28</v>
      </c>
      <c r="C1831" s="1">
        <v>45849</v>
      </c>
      <c r="D1831" t="s">
        <v>33</v>
      </c>
      <c r="E1831" t="s">
        <v>12</v>
      </c>
      <c r="F1831">
        <v>1</v>
      </c>
      <c r="G1831">
        <v>25</v>
      </c>
      <c r="H1831" t="s">
        <v>13</v>
      </c>
      <c r="I1831" t="s">
        <v>14</v>
      </c>
      <c r="J1831">
        <v>25</v>
      </c>
    </row>
    <row r="1832" spans="1:10" x14ac:dyDescent="0.3">
      <c r="A1832">
        <v>1714</v>
      </c>
      <c r="B1832" t="s">
        <v>15</v>
      </c>
      <c r="C1832" s="1">
        <v>45864</v>
      </c>
      <c r="D1832" t="s">
        <v>20</v>
      </c>
      <c r="E1832" t="s">
        <v>12</v>
      </c>
      <c r="F1832">
        <v>3</v>
      </c>
      <c r="G1832">
        <v>25</v>
      </c>
      <c r="H1832" t="s">
        <v>13</v>
      </c>
      <c r="I1832" t="s">
        <v>25</v>
      </c>
      <c r="J1832">
        <v>75</v>
      </c>
    </row>
    <row r="1833" spans="1:10" x14ac:dyDescent="0.3">
      <c r="A1833">
        <v>1538</v>
      </c>
      <c r="B1833" t="s">
        <v>10</v>
      </c>
      <c r="C1833" s="1">
        <v>45882</v>
      </c>
      <c r="D1833" t="s">
        <v>33</v>
      </c>
      <c r="E1833" t="s">
        <v>17</v>
      </c>
      <c r="F1833">
        <v>3</v>
      </c>
      <c r="G1833">
        <v>12</v>
      </c>
      <c r="H1833" t="s">
        <v>21</v>
      </c>
      <c r="I1833" t="s">
        <v>27</v>
      </c>
      <c r="J1833">
        <v>36</v>
      </c>
    </row>
    <row r="1834" spans="1:10" x14ac:dyDescent="0.3">
      <c r="A1834">
        <v>779</v>
      </c>
      <c r="B1834" t="s">
        <v>19</v>
      </c>
      <c r="C1834" s="1">
        <v>45872</v>
      </c>
      <c r="D1834" t="s">
        <v>11</v>
      </c>
      <c r="E1834" t="s">
        <v>17</v>
      </c>
      <c r="F1834">
        <v>3</v>
      </c>
      <c r="G1834">
        <v>12</v>
      </c>
      <c r="H1834" t="s">
        <v>13</v>
      </c>
      <c r="I1834" t="s">
        <v>18</v>
      </c>
      <c r="J1834">
        <v>36</v>
      </c>
    </row>
    <row r="1835" spans="1:10" x14ac:dyDescent="0.3">
      <c r="A1835">
        <v>716</v>
      </c>
      <c r="B1835" t="s">
        <v>19</v>
      </c>
      <c r="C1835" s="1">
        <v>45865</v>
      </c>
      <c r="D1835" t="s">
        <v>11</v>
      </c>
      <c r="E1835" t="s">
        <v>17</v>
      </c>
      <c r="F1835">
        <v>1</v>
      </c>
      <c r="G1835">
        <v>12</v>
      </c>
      <c r="H1835" t="s">
        <v>23</v>
      </c>
      <c r="I1835" t="s">
        <v>14</v>
      </c>
      <c r="J1835">
        <v>12</v>
      </c>
    </row>
    <row r="1836" spans="1:10" x14ac:dyDescent="0.3">
      <c r="A1836">
        <v>661</v>
      </c>
      <c r="B1836" t="s">
        <v>19</v>
      </c>
      <c r="C1836" s="1">
        <v>45871</v>
      </c>
      <c r="D1836" t="s">
        <v>20</v>
      </c>
      <c r="E1836" t="s">
        <v>17</v>
      </c>
      <c r="F1836">
        <v>2</v>
      </c>
      <c r="G1836">
        <v>12</v>
      </c>
      <c r="H1836" t="s">
        <v>21</v>
      </c>
      <c r="I1836" t="s">
        <v>14</v>
      </c>
      <c r="J1836">
        <v>24</v>
      </c>
    </row>
    <row r="1837" spans="1:10" x14ac:dyDescent="0.3">
      <c r="A1837">
        <v>1494</v>
      </c>
      <c r="B1837" t="s">
        <v>26</v>
      </c>
      <c r="C1837" s="1">
        <v>45922</v>
      </c>
      <c r="D1837" t="s">
        <v>20</v>
      </c>
      <c r="E1837" t="s">
        <v>22</v>
      </c>
      <c r="F1837">
        <v>2</v>
      </c>
      <c r="G1837">
        <v>20</v>
      </c>
      <c r="H1837" t="s">
        <v>23</v>
      </c>
      <c r="I1837" t="s">
        <v>18</v>
      </c>
      <c r="J1837">
        <v>40</v>
      </c>
    </row>
    <row r="1838" spans="1:10" x14ac:dyDescent="0.3">
      <c r="A1838">
        <v>926</v>
      </c>
      <c r="B1838" t="s">
        <v>32</v>
      </c>
      <c r="C1838" s="1">
        <v>45847</v>
      </c>
      <c r="D1838" t="s">
        <v>20</v>
      </c>
      <c r="E1838" t="s">
        <v>29</v>
      </c>
      <c r="F1838">
        <v>4</v>
      </c>
      <c r="G1838">
        <v>30</v>
      </c>
      <c r="H1838" t="s">
        <v>21</v>
      </c>
      <c r="I1838" t="s">
        <v>14</v>
      </c>
      <c r="J1838">
        <v>120</v>
      </c>
    </row>
    <row r="1839" spans="1:10" x14ac:dyDescent="0.3">
      <c r="A1839">
        <v>553</v>
      </c>
      <c r="B1839" t="s">
        <v>15</v>
      </c>
      <c r="C1839" s="1">
        <v>45913</v>
      </c>
      <c r="D1839" t="s">
        <v>33</v>
      </c>
      <c r="E1839" t="s">
        <v>22</v>
      </c>
      <c r="F1839">
        <v>3</v>
      </c>
      <c r="G1839">
        <v>20</v>
      </c>
      <c r="H1839" t="s">
        <v>21</v>
      </c>
      <c r="I1839" t="s">
        <v>14</v>
      </c>
      <c r="J1839">
        <v>60</v>
      </c>
    </row>
    <row r="1840" spans="1:10" x14ac:dyDescent="0.3">
      <c r="A1840">
        <v>1119</v>
      </c>
      <c r="B1840" t="s">
        <v>15</v>
      </c>
      <c r="C1840" s="1">
        <v>45904</v>
      </c>
      <c r="D1840" t="s">
        <v>16</v>
      </c>
      <c r="E1840" t="s">
        <v>17</v>
      </c>
      <c r="F1840">
        <v>1</v>
      </c>
      <c r="G1840">
        <v>12</v>
      </c>
      <c r="H1840" t="s">
        <v>21</v>
      </c>
      <c r="I1840" t="s">
        <v>14</v>
      </c>
      <c r="J1840">
        <v>12</v>
      </c>
    </row>
    <row r="1841" spans="1:10" x14ac:dyDescent="0.3">
      <c r="A1841">
        <v>797</v>
      </c>
      <c r="B1841" t="s">
        <v>15</v>
      </c>
      <c r="C1841" s="1">
        <v>45876</v>
      </c>
      <c r="D1841" t="s">
        <v>11</v>
      </c>
      <c r="E1841" t="s">
        <v>17</v>
      </c>
      <c r="F1841">
        <v>4</v>
      </c>
      <c r="G1841">
        <v>12</v>
      </c>
      <c r="H1841" t="s">
        <v>21</v>
      </c>
      <c r="I1841" t="s">
        <v>14</v>
      </c>
      <c r="J1841">
        <v>48</v>
      </c>
    </row>
    <row r="1842" spans="1:10" x14ac:dyDescent="0.3">
      <c r="A1842">
        <v>1288</v>
      </c>
      <c r="B1842" t="s">
        <v>10</v>
      </c>
      <c r="C1842" s="1">
        <v>45863</v>
      </c>
      <c r="D1842" t="s">
        <v>20</v>
      </c>
      <c r="E1842" t="s">
        <v>22</v>
      </c>
      <c r="F1842">
        <v>2</v>
      </c>
      <c r="G1842">
        <v>20</v>
      </c>
      <c r="H1842" t="s">
        <v>21</v>
      </c>
      <c r="I1842" t="s">
        <v>25</v>
      </c>
      <c r="J1842">
        <v>40</v>
      </c>
    </row>
    <row r="1843" spans="1:10" x14ac:dyDescent="0.3">
      <c r="A1843">
        <v>1858</v>
      </c>
      <c r="B1843" t="s">
        <v>24</v>
      </c>
      <c r="C1843" s="1">
        <v>45919</v>
      </c>
      <c r="D1843" t="s">
        <v>11</v>
      </c>
      <c r="E1843" t="s">
        <v>12</v>
      </c>
      <c r="F1843">
        <v>2</v>
      </c>
      <c r="G1843">
        <v>25</v>
      </c>
      <c r="H1843" t="s">
        <v>23</v>
      </c>
      <c r="I1843" t="s">
        <v>25</v>
      </c>
      <c r="J1843">
        <v>50</v>
      </c>
    </row>
    <row r="1844" spans="1:10" x14ac:dyDescent="0.3">
      <c r="A1844">
        <v>61</v>
      </c>
      <c r="B1844" t="s">
        <v>32</v>
      </c>
      <c r="C1844" s="1">
        <v>45925</v>
      </c>
      <c r="D1844" t="s">
        <v>33</v>
      </c>
      <c r="E1844" t="s">
        <v>17</v>
      </c>
      <c r="F1844">
        <v>2</v>
      </c>
      <c r="G1844">
        <v>12</v>
      </c>
      <c r="H1844" t="s">
        <v>21</v>
      </c>
      <c r="I1844" t="s">
        <v>14</v>
      </c>
      <c r="J1844">
        <v>24</v>
      </c>
    </row>
    <row r="1845" spans="1:10" x14ac:dyDescent="0.3">
      <c r="A1845">
        <v>1699</v>
      </c>
      <c r="B1845" t="s">
        <v>24</v>
      </c>
      <c r="C1845" s="1">
        <v>45904</v>
      </c>
      <c r="D1845" t="s">
        <v>16</v>
      </c>
      <c r="E1845" t="s">
        <v>29</v>
      </c>
      <c r="F1845">
        <v>4</v>
      </c>
      <c r="G1845">
        <v>30</v>
      </c>
      <c r="H1845" t="s">
        <v>21</v>
      </c>
      <c r="I1845" t="s">
        <v>18</v>
      </c>
      <c r="J1845">
        <v>120</v>
      </c>
    </row>
    <row r="1846" spans="1:10" x14ac:dyDescent="0.3">
      <c r="A1846">
        <v>1215</v>
      </c>
      <c r="B1846" t="s">
        <v>26</v>
      </c>
      <c r="C1846" s="1">
        <v>45848</v>
      </c>
      <c r="D1846" t="s">
        <v>33</v>
      </c>
      <c r="E1846" t="s">
        <v>17</v>
      </c>
      <c r="F1846">
        <v>4</v>
      </c>
      <c r="G1846">
        <v>12</v>
      </c>
      <c r="H1846" t="s">
        <v>13</v>
      </c>
      <c r="I1846" t="s">
        <v>27</v>
      </c>
      <c r="J1846">
        <v>48</v>
      </c>
    </row>
    <row r="1847" spans="1:10" x14ac:dyDescent="0.3">
      <c r="A1847">
        <v>269</v>
      </c>
      <c r="B1847" t="s">
        <v>28</v>
      </c>
      <c r="C1847" s="1">
        <v>45920</v>
      </c>
      <c r="D1847" t="s">
        <v>33</v>
      </c>
      <c r="E1847" t="s">
        <v>17</v>
      </c>
      <c r="F1847">
        <v>3</v>
      </c>
      <c r="G1847">
        <v>12</v>
      </c>
      <c r="H1847" t="s">
        <v>21</v>
      </c>
      <c r="I1847" t="s">
        <v>14</v>
      </c>
      <c r="J1847">
        <v>36</v>
      </c>
    </row>
    <row r="1848" spans="1:10" x14ac:dyDescent="0.3">
      <c r="A1848">
        <v>1418</v>
      </c>
      <c r="B1848" t="s">
        <v>28</v>
      </c>
      <c r="C1848" s="1">
        <v>45927</v>
      </c>
      <c r="D1848" t="s">
        <v>20</v>
      </c>
      <c r="E1848" t="s">
        <v>30</v>
      </c>
      <c r="F1848">
        <v>3</v>
      </c>
      <c r="G1848">
        <v>8</v>
      </c>
      <c r="H1848" t="s">
        <v>23</v>
      </c>
      <c r="I1848" t="s">
        <v>25</v>
      </c>
      <c r="J1848">
        <v>24</v>
      </c>
    </row>
    <row r="1849" spans="1:10" x14ac:dyDescent="0.3">
      <c r="A1849">
        <v>320</v>
      </c>
      <c r="B1849" t="s">
        <v>10</v>
      </c>
      <c r="C1849" s="1">
        <v>45928</v>
      </c>
      <c r="D1849" t="s">
        <v>11</v>
      </c>
      <c r="E1849" t="s">
        <v>17</v>
      </c>
      <c r="F1849">
        <v>5</v>
      </c>
      <c r="G1849">
        <v>12</v>
      </c>
      <c r="H1849" t="s">
        <v>21</v>
      </c>
      <c r="I1849" t="s">
        <v>25</v>
      </c>
      <c r="J1849">
        <v>60</v>
      </c>
    </row>
    <row r="1850" spans="1:10" x14ac:dyDescent="0.3">
      <c r="A1850">
        <v>1952</v>
      </c>
      <c r="B1850" t="s">
        <v>32</v>
      </c>
      <c r="C1850" s="1">
        <v>45872</v>
      </c>
      <c r="D1850" t="s">
        <v>11</v>
      </c>
      <c r="E1850" t="s">
        <v>22</v>
      </c>
      <c r="F1850">
        <v>2</v>
      </c>
      <c r="G1850">
        <v>20</v>
      </c>
      <c r="H1850" t="s">
        <v>21</v>
      </c>
      <c r="I1850" t="s">
        <v>25</v>
      </c>
      <c r="J1850">
        <v>40</v>
      </c>
    </row>
    <row r="1851" spans="1:10" x14ac:dyDescent="0.3">
      <c r="A1851">
        <v>544</v>
      </c>
      <c r="B1851" t="s">
        <v>26</v>
      </c>
      <c r="C1851" s="1">
        <v>45851</v>
      </c>
      <c r="D1851" t="s">
        <v>16</v>
      </c>
      <c r="E1851" t="s">
        <v>12</v>
      </c>
      <c r="F1851">
        <v>2</v>
      </c>
      <c r="G1851">
        <v>25</v>
      </c>
      <c r="H1851" t="s">
        <v>13</v>
      </c>
      <c r="I1851" t="s">
        <v>27</v>
      </c>
      <c r="J1851">
        <v>50</v>
      </c>
    </row>
    <row r="1852" spans="1:10" x14ac:dyDescent="0.3">
      <c r="A1852">
        <v>8</v>
      </c>
      <c r="B1852" t="s">
        <v>15</v>
      </c>
      <c r="C1852" s="1">
        <v>45855</v>
      </c>
      <c r="D1852" t="s">
        <v>11</v>
      </c>
      <c r="E1852" t="s">
        <v>30</v>
      </c>
      <c r="F1852">
        <v>1</v>
      </c>
      <c r="G1852">
        <v>8</v>
      </c>
      <c r="H1852" t="s">
        <v>21</v>
      </c>
      <c r="I1852" t="s">
        <v>18</v>
      </c>
      <c r="J1852">
        <v>8</v>
      </c>
    </row>
    <row r="1853" spans="1:10" x14ac:dyDescent="0.3">
      <c r="A1853">
        <v>411</v>
      </c>
      <c r="B1853" t="s">
        <v>32</v>
      </c>
      <c r="C1853" s="1">
        <v>45856</v>
      </c>
      <c r="D1853" t="s">
        <v>11</v>
      </c>
      <c r="E1853" t="s">
        <v>30</v>
      </c>
      <c r="F1853">
        <v>1</v>
      </c>
      <c r="G1853">
        <v>8</v>
      </c>
      <c r="H1853" t="s">
        <v>13</v>
      </c>
      <c r="I1853" t="s">
        <v>14</v>
      </c>
      <c r="J1853">
        <v>8</v>
      </c>
    </row>
    <row r="1854" spans="1:10" x14ac:dyDescent="0.3">
      <c r="A1854">
        <v>91</v>
      </c>
      <c r="B1854" t="s">
        <v>19</v>
      </c>
      <c r="C1854" s="1">
        <v>45913</v>
      </c>
      <c r="D1854" t="s">
        <v>20</v>
      </c>
      <c r="E1854" t="s">
        <v>30</v>
      </c>
      <c r="F1854">
        <v>5</v>
      </c>
      <c r="G1854">
        <v>8</v>
      </c>
      <c r="H1854" t="s">
        <v>13</v>
      </c>
      <c r="I1854" t="s">
        <v>14</v>
      </c>
      <c r="J1854">
        <v>40</v>
      </c>
    </row>
    <row r="1855" spans="1:10" x14ac:dyDescent="0.3">
      <c r="A1855">
        <v>995</v>
      </c>
      <c r="B1855" t="s">
        <v>31</v>
      </c>
      <c r="C1855" s="1">
        <v>45872</v>
      </c>
      <c r="D1855" t="s">
        <v>20</v>
      </c>
      <c r="E1855" t="s">
        <v>17</v>
      </c>
      <c r="F1855">
        <v>1</v>
      </c>
      <c r="G1855">
        <v>12</v>
      </c>
      <c r="H1855" t="s">
        <v>13</v>
      </c>
      <c r="I1855" t="s">
        <v>18</v>
      </c>
      <c r="J1855">
        <v>12</v>
      </c>
    </row>
    <row r="1856" spans="1:10" x14ac:dyDescent="0.3">
      <c r="A1856">
        <v>221</v>
      </c>
      <c r="B1856" t="s">
        <v>32</v>
      </c>
      <c r="C1856" s="1">
        <v>45857</v>
      </c>
      <c r="D1856" t="s">
        <v>16</v>
      </c>
      <c r="E1856" t="s">
        <v>30</v>
      </c>
      <c r="F1856">
        <v>1</v>
      </c>
      <c r="G1856">
        <v>8</v>
      </c>
      <c r="H1856" t="s">
        <v>23</v>
      </c>
      <c r="I1856" t="s">
        <v>27</v>
      </c>
      <c r="J1856">
        <v>8</v>
      </c>
    </row>
    <row r="1857" spans="1:10" x14ac:dyDescent="0.3">
      <c r="A1857">
        <v>197</v>
      </c>
      <c r="B1857" t="s">
        <v>26</v>
      </c>
      <c r="C1857" s="1">
        <v>45922</v>
      </c>
      <c r="D1857" t="s">
        <v>11</v>
      </c>
      <c r="E1857" t="s">
        <v>17</v>
      </c>
      <c r="F1857">
        <v>5</v>
      </c>
      <c r="G1857">
        <v>12</v>
      </c>
      <c r="H1857" t="s">
        <v>23</v>
      </c>
      <c r="I1857" t="s">
        <v>25</v>
      </c>
      <c r="J1857">
        <v>60</v>
      </c>
    </row>
    <row r="1858" spans="1:10" x14ac:dyDescent="0.3">
      <c r="A1858">
        <v>1939</v>
      </c>
      <c r="B1858" t="s">
        <v>26</v>
      </c>
      <c r="C1858" s="1">
        <v>45857</v>
      </c>
      <c r="D1858" t="s">
        <v>33</v>
      </c>
      <c r="E1858" t="s">
        <v>17</v>
      </c>
      <c r="F1858">
        <v>5</v>
      </c>
      <c r="G1858">
        <v>12</v>
      </c>
      <c r="H1858" t="s">
        <v>13</v>
      </c>
      <c r="I1858" t="s">
        <v>25</v>
      </c>
      <c r="J1858">
        <v>60</v>
      </c>
    </row>
    <row r="1859" spans="1:10" x14ac:dyDescent="0.3">
      <c r="A1859">
        <v>1462</v>
      </c>
      <c r="B1859" t="s">
        <v>15</v>
      </c>
      <c r="C1859" s="1">
        <v>45854</v>
      </c>
      <c r="D1859" t="s">
        <v>33</v>
      </c>
      <c r="E1859" t="s">
        <v>17</v>
      </c>
      <c r="F1859">
        <v>5</v>
      </c>
      <c r="G1859">
        <v>12</v>
      </c>
      <c r="H1859" t="s">
        <v>23</v>
      </c>
      <c r="I1859" t="s">
        <v>18</v>
      </c>
      <c r="J1859">
        <v>60</v>
      </c>
    </row>
    <row r="1860" spans="1:10" x14ac:dyDescent="0.3">
      <c r="A1860">
        <v>1908</v>
      </c>
      <c r="B1860" t="s">
        <v>24</v>
      </c>
      <c r="C1860" s="1">
        <v>45862</v>
      </c>
      <c r="D1860" t="s">
        <v>11</v>
      </c>
      <c r="E1860" t="s">
        <v>17</v>
      </c>
      <c r="F1860">
        <v>4</v>
      </c>
      <c r="G1860">
        <v>12</v>
      </c>
      <c r="H1860" t="s">
        <v>21</v>
      </c>
      <c r="I1860" t="s">
        <v>25</v>
      </c>
      <c r="J1860">
        <v>48</v>
      </c>
    </row>
    <row r="1861" spans="1:10" x14ac:dyDescent="0.3">
      <c r="A1861">
        <v>589</v>
      </c>
      <c r="B1861" t="s">
        <v>31</v>
      </c>
      <c r="C1861" s="1">
        <v>45872</v>
      </c>
      <c r="D1861" t="s">
        <v>20</v>
      </c>
      <c r="E1861" t="s">
        <v>17</v>
      </c>
      <c r="F1861">
        <v>4</v>
      </c>
      <c r="G1861">
        <v>12</v>
      </c>
      <c r="H1861" t="s">
        <v>21</v>
      </c>
      <c r="I1861" t="s">
        <v>25</v>
      </c>
      <c r="J1861">
        <v>48</v>
      </c>
    </row>
    <row r="1862" spans="1:10" x14ac:dyDescent="0.3">
      <c r="A1862">
        <v>362</v>
      </c>
      <c r="B1862" t="s">
        <v>24</v>
      </c>
      <c r="C1862" s="1">
        <v>45894</v>
      </c>
      <c r="D1862" t="s">
        <v>20</v>
      </c>
      <c r="E1862" t="s">
        <v>17</v>
      </c>
      <c r="F1862">
        <v>4</v>
      </c>
      <c r="G1862">
        <v>12</v>
      </c>
      <c r="H1862" t="s">
        <v>23</v>
      </c>
      <c r="I1862" t="s">
        <v>27</v>
      </c>
      <c r="J1862">
        <v>48</v>
      </c>
    </row>
    <row r="1863" spans="1:10" x14ac:dyDescent="0.3">
      <c r="A1863">
        <v>297</v>
      </c>
      <c r="B1863" t="s">
        <v>10</v>
      </c>
      <c r="C1863" s="1">
        <v>45867</v>
      </c>
      <c r="D1863" t="s">
        <v>33</v>
      </c>
      <c r="E1863" t="s">
        <v>17</v>
      </c>
      <c r="F1863">
        <v>5</v>
      </c>
      <c r="G1863">
        <v>12</v>
      </c>
      <c r="H1863" t="s">
        <v>23</v>
      </c>
      <c r="I1863" t="s">
        <v>14</v>
      </c>
      <c r="J1863">
        <v>60</v>
      </c>
    </row>
    <row r="1864" spans="1:10" x14ac:dyDescent="0.3">
      <c r="A1864">
        <v>1525</v>
      </c>
      <c r="B1864" t="s">
        <v>15</v>
      </c>
      <c r="C1864" s="1">
        <v>45857</v>
      </c>
      <c r="D1864" t="s">
        <v>11</v>
      </c>
      <c r="E1864" t="s">
        <v>17</v>
      </c>
      <c r="F1864">
        <v>2</v>
      </c>
      <c r="G1864">
        <v>12</v>
      </c>
      <c r="H1864" t="s">
        <v>13</v>
      </c>
      <c r="I1864" t="s">
        <v>18</v>
      </c>
      <c r="J1864">
        <v>24</v>
      </c>
    </row>
    <row r="1865" spans="1:10" x14ac:dyDescent="0.3">
      <c r="A1865">
        <v>1982</v>
      </c>
      <c r="B1865" t="s">
        <v>31</v>
      </c>
      <c r="C1865" s="1">
        <v>45892</v>
      </c>
      <c r="D1865" t="s">
        <v>33</v>
      </c>
      <c r="E1865" t="s">
        <v>22</v>
      </c>
      <c r="F1865">
        <v>3</v>
      </c>
      <c r="G1865">
        <v>20</v>
      </c>
      <c r="H1865" t="s">
        <v>13</v>
      </c>
      <c r="I1865" t="s">
        <v>14</v>
      </c>
      <c r="J1865">
        <v>60</v>
      </c>
    </row>
    <row r="1866" spans="1:10" x14ac:dyDescent="0.3">
      <c r="A1866">
        <v>1405</v>
      </c>
      <c r="B1866" t="s">
        <v>26</v>
      </c>
      <c r="C1866" s="1">
        <v>45865</v>
      </c>
      <c r="D1866" t="s">
        <v>33</v>
      </c>
      <c r="E1866" t="s">
        <v>30</v>
      </c>
      <c r="F1866">
        <v>1</v>
      </c>
      <c r="G1866">
        <v>8</v>
      </c>
      <c r="H1866" t="s">
        <v>13</v>
      </c>
      <c r="I1866" t="s">
        <v>25</v>
      </c>
      <c r="J1866">
        <v>8</v>
      </c>
    </row>
    <row r="1867" spans="1:10" x14ac:dyDescent="0.3">
      <c r="A1867">
        <v>1799</v>
      </c>
      <c r="B1867" t="s">
        <v>28</v>
      </c>
      <c r="C1867" s="1">
        <v>45844</v>
      </c>
      <c r="D1867" t="s">
        <v>33</v>
      </c>
      <c r="E1867" t="s">
        <v>17</v>
      </c>
      <c r="F1867">
        <v>2</v>
      </c>
      <c r="G1867">
        <v>12</v>
      </c>
      <c r="H1867" t="s">
        <v>21</v>
      </c>
      <c r="I1867" t="s">
        <v>14</v>
      </c>
      <c r="J1867">
        <v>24</v>
      </c>
    </row>
    <row r="1868" spans="1:10" x14ac:dyDescent="0.3">
      <c r="A1868">
        <v>299</v>
      </c>
      <c r="B1868" t="s">
        <v>15</v>
      </c>
      <c r="C1868" s="1">
        <v>45866</v>
      </c>
      <c r="D1868" t="s">
        <v>11</v>
      </c>
      <c r="E1868" t="s">
        <v>17</v>
      </c>
      <c r="F1868">
        <v>5</v>
      </c>
      <c r="G1868">
        <v>12</v>
      </c>
      <c r="H1868" t="s">
        <v>21</v>
      </c>
      <c r="I1868" t="s">
        <v>18</v>
      </c>
      <c r="J1868">
        <v>60</v>
      </c>
    </row>
    <row r="1869" spans="1:10" x14ac:dyDescent="0.3">
      <c r="A1869">
        <v>1146</v>
      </c>
      <c r="B1869" t="s">
        <v>10</v>
      </c>
      <c r="C1869" s="1">
        <v>45847</v>
      </c>
      <c r="D1869" t="s">
        <v>16</v>
      </c>
      <c r="E1869" t="s">
        <v>17</v>
      </c>
      <c r="F1869">
        <v>4</v>
      </c>
      <c r="G1869">
        <v>12</v>
      </c>
      <c r="H1869" t="s">
        <v>21</v>
      </c>
      <c r="I1869" t="s">
        <v>25</v>
      </c>
      <c r="J1869">
        <v>48</v>
      </c>
    </row>
    <row r="1870" spans="1:10" x14ac:dyDescent="0.3">
      <c r="A1870">
        <v>1787</v>
      </c>
      <c r="B1870" t="s">
        <v>31</v>
      </c>
      <c r="C1870" s="1">
        <v>45907</v>
      </c>
      <c r="D1870" t="s">
        <v>11</v>
      </c>
      <c r="E1870" t="s">
        <v>12</v>
      </c>
      <c r="F1870">
        <v>2</v>
      </c>
      <c r="G1870">
        <v>25</v>
      </c>
      <c r="H1870" t="s">
        <v>23</v>
      </c>
      <c r="I1870" t="s">
        <v>25</v>
      </c>
      <c r="J1870">
        <v>50</v>
      </c>
    </row>
    <row r="1871" spans="1:10" x14ac:dyDescent="0.3">
      <c r="A1871">
        <v>259</v>
      </c>
      <c r="B1871" t="s">
        <v>19</v>
      </c>
      <c r="C1871" s="1">
        <v>45891</v>
      </c>
      <c r="D1871" t="s">
        <v>16</v>
      </c>
      <c r="E1871" t="s">
        <v>17</v>
      </c>
      <c r="F1871">
        <v>4</v>
      </c>
      <c r="G1871">
        <v>12</v>
      </c>
      <c r="H1871" t="s">
        <v>21</v>
      </c>
      <c r="I1871" t="s">
        <v>25</v>
      </c>
      <c r="J1871">
        <v>48</v>
      </c>
    </row>
    <row r="1872" spans="1:10" x14ac:dyDescent="0.3">
      <c r="A1872">
        <v>1694</v>
      </c>
      <c r="B1872" t="s">
        <v>28</v>
      </c>
      <c r="C1872" s="1">
        <v>45910</v>
      </c>
      <c r="D1872" t="s">
        <v>16</v>
      </c>
      <c r="E1872" t="s">
        <v>17</v>
      </c>
      <c r="F1872">
        <v>5</v>
      </c>
      <c r="G1872">
        <v>12</v>
      </c>
      <c r="H1872" t="s">
        <v>23</v>
      </c>
      <c r="I1872" t="s">
        <v>14</v>
      </c>
      <c r="J1872">
        <v>60</v>
      </c>
    </row>
    <row r="1873" spans="1:10" x14ac:dyDescent="0.3">
      <c r="A1873">
        <v>1139</v>
      </c>
      <c r="B1873" t="s">
        <v>31</v>
      </c>
      <c r="C1873" s="1">
        <v>45854</v>
      </c>
      <c r="D1873" t="s">
        <v>33</v>
      </c>
      <c r="E1873" t="s">
        <v>12</v>
      </c>
      <c r="F1873">
        <v>1</v>
      </c>
      <c r="G1873">
        <v>25</v>
      </c>
      <c r="H1873" t="s">
        <v>23</v>
      </c>
      <c r="I1873" t="s">
        <v>14</v>
      </c>
      <c r="J1873">
        <v>25</v>
      </c>
    </row>
    <row r="1874" spans="1:10" x14ac:dyDescent="0.3">
      <c r="A1874">
        <v>734</v>
      </c>
      <c r="B1874" t="s">
        <v>19</v>
      </c>
      <c r="C1874" s="1">
        <v>45928</v>
      </c>
      <c r="D1874" t="s">
        <v>16</v>
      </c>
      <c r="E1874" t="s">
        <v>29</v>
      </c>
      <c r="F1874">
        <v>2</v>
      </c>
      <c r="G1874">
        <v>30</v>
      </c>
      <c r="H1874" t="s">
        <v>13</v>
      </c>
      <c r="I1874" t="s">
        <v>18</v>
      </c>
      <c r="J1874">
        <v>60</v>
      </c>
    </row>
    <row r="1875" spans="1:10" x14ac:dyDescent="0.3">
      <c r="A1875">
        <v>987</v>
      </c>
      <c r="B1875" t="s">
        <v>31</v>
      </c>
      <c r="C1875" s="1">
        <v>45887</v>
      </c>
      <c r="D1875" t="s">
        <v>20</v>
      </c>
      <c r="E1875" t="s">
        <v>17</v>
      </c>
      <c r="F1875">
        <v>3</v>
      </c>
      <c r="G1875">
        <v>12</v>
      </c>
      <c r="H1875" t="s">
        <v>13</v>
      </c>
      <c r="I1875" t="s">
        <v>25</v>
      </c>
      <c r="J1875">
        <v>36</v>
      </c>
    </row>
    <row r="1876" spans="1:10" x14ac:dyDescent="0.3">
      <c r="A1876">
        <v>1317</v>
      </c>
      <c r="B1876" t="s">
        <v>26</v>
      </c>
      <c r="C1876" s="1">
        <v>45914</v>
      </c>
      <c r="D1876" t="s">
        <v>16</v>
      </c>
      <c r="E1876" t="s">
        <v>17</v>
      </c>
      <c r="F1876">
        <v>5</v>
      </c>
      <c r="G1876">
        <v>12</v>
      </c>
      <c r="H1876" t="s">
        <v>21</v>
      </c>
      <c r="I1876" t="s">
        <v>25</v>
      </c>
      <c r="J1876">
        <v>60</v>
      </c>
    </row>
    <row r="1877" spans="1:10" x14ac:dyDescent="0.3">
      <c r="A1877">
        <v>1690</v>
      </c>
      <c r="B1877" t="s">
        <v>31</v>
      </c>
      <c r="C1877" s="1">
        <v>45886</v>
      </c>
      <c r="D1877" t="s">
        <v>16</v>
      </c>
      <c r="E1877" t="s">
        <v>17</v>
      </c>
      <c r="F1877">
        <v>2</v>
      </c>
      <c r="G1877">
        <v>12</v>
      </c>
      <c r="H1877" t="s">
        <v>21</v>
      </c>
      <c r="I1877" t="s">
        <v>14</v>
      </c>
      <c r="J1877">
        <v>24</v>
      </c>
    </row>
    <row r="1878" spans="1:10" x14ac:dyDescent="0.3">
      <c r="A1878">
        <v>1235</v>
      </c>
      <c r="B1878" t="s">
        <v>26</v>
      </c>
      <c r="C1878" s="1">
        <v>45890</v>
      </c>
      <c r="D1878" t="s">
        <v>20</v>
      </c>
      <c r="E1878" t="s">
        <v>17</v>
      </c>
      <c r="F1878">
        <v>2</v>
      </c>
      <c r="G1878">
        <v>12</v>
      </c>
      <c r="H1878" t="s">
        <v>21</v>
      </c>
      <c r="I1878" t="s">
        <v>27</v>
      </c>
      <c r="J1878">
        <v>24</v>
      </c>
    </row>
    <row r="1879" spans="1:10" x14ac:dyDescent="0.3">
      <c r="A1879">
        <v>410</v>
      </c>
      <c r="B1879" t="s">
        <v>10</v>
      </c>
      <c r="C1879" s="1">
        <v>45928</v>
      </c>
      <c r="D1879" t="s">
        <v>16</v>
      </c>
      <c r="E1879" t="s">
        <v>17</v>
      </c>
      <c r="F1879">
        <v>2</v>
      </c>
      <c r="G1879">
        <v>12</v>
      </c>
      <c r="H1879" t="s">
        <v>13</v>
      </c>
      <c r="I1879" t="s">
        <v>18</v>
      </c>
      <c r="J1879">
        <v>24</v>
      </c>
    </row>
    <row r="1880" spans="1:10" x14ac:dyDescent="0.3">
      <c r="A1880">
        <v>1565</v>
      </c>
      <c r="B1880" t="s">
        <v>32</v>
      </c>
      <c r="C1880" s="1">
        <v>45879</v>
      </c>
      <c r="D1880" t="s">
        <v>33</v>
      </c>
      <c r="E1880" t="s">
        <v>17</v>
      </c>
      <c r="F1880">
        <v>2</v>
      </c>
      <c r="G1880">
        <v>12</v>
      </c>
      <c r="H1880" t="s">
        <v>21</v>
      </c>
      <c r="I1880" t="s">
        <v>27</v>
      </c>
      <c r="J1880">
        <v>24</v>
      </c>
    </row>
    <row r="1881" spans="1:10" x14ac:dyDescent="0.3">
      <c r="A1881">
        <v>670</v>
      </c>
      <c r="B1881" t="s">
        <v>28</v>
      </c>
      <c r="C1881" s="1">
        <v>45879</v>
      </c>
      <c r="D1881" t="s">
        <v>11</v>
      </c>
      <c r="E1881" t="s">
        <v>17</v>
      </c>
      <c r="F1881">
        <v>1</v>
      </c>
      <c r="G1881">
        <v>12</v>
      </c>
      <c r="H1881" t="s">
        <v>21</v>
      </c>
      <c r="I1881" t="s">
        <v>27</v>
      </c>
      <c r="J1881">
        <v>12</v>
      </c>
    </row>
    <row r="1882" spans="1:10" x14ac:dyDescent="0.3">
      <c r="A1882">
        <v>510</v>
      </c>
      <c r="B1882" t="s">
        <v>26</v>
      </c>
      <c r="C1882" s="1">
        <v>45879</v>
      </c>
      <c r="D1882" t="s">
        <v>16</v>
      </c>
      <c r="E1882" t="s">
        <v>22</v>
      </c>
      <c r="F1882">
        <v>2</v>
      </c>
      <c r="G1882">
        <v>20</v>
      </c>
      <c r="H1882" t="s">
        <v>21</v>
      </c>
      <c r="I1882" t="s">
        <v>18</v>
      </c>
      <c r="J1882">
        <v>40</v>
      </c>
    </row>
    <row r="1883" spans="1:10" x14ac:dyDescent="0.3">
      <c r="A1883">
        <v>55</v>
      </c>
      <c r="B1883" t="s">
        <v>28</v>
      </c>
      <c r="C1883" s="1">
        <v>45871</v>
      </c>
      <c r="D1883" t="s">
        <v>11</v>
      </c>
      <c r="E1883" t="s">
        <v>22</v>
      </c>
      <c r="F1883">
        <v>5</v>
      </c>
      <c r="G1883">
        <v>20</v>
      </c>
      <c r="H1883" t="s">
        <v>13</v>
      </c>
      <c r="I1883" t="s">
        <v>18</v>
      </c>
      <c r="J1883">
        <v>100</v>
      </c>
    </row>
    <row r="1884" spans="1:10" x14ac:dyDescent="0.3">
      <c r="A1884">
        <v>133</v>
      </c>
      <c r="B1884" t="s">
        <v>24</v>
      </c>
      <c r="C1884" s="1">
        <v>45878</v>
      </c>
      <c r="D1884" t="s">
        <v>20</v>
      </c>
      <c r="E1884" t="s">
        <v>12</v>
      </c>
      <c r="F1884">
        <v>4</v>
      </c>
      <c r="G1884">
        <v>25</v>
      </c>
      <c r="H1884" t="s">
        <v>23</v>
      </c>
      <c r="I1884" t="s">
        <v>27</v>
      </c>
      <c r="J1884">
        <v>100</v>
      </c>
    </row>
    <row r="1885" spans="1:10" x14ac:dyDescent="0.3">
      <c r="A1885">
        <v>1836</v>
      </c>
      <c r="B1885" t="s">
        <v>26</v>
      </c>
      <c r="C1885" s="1">
        <v>45886</v>
      </c>
      <c r="D1885" t="s">
        <v>20</v>
      </c>
      <c r="E1885" t="s">
        <v>17</v>
      </c>
      <c r="F1885">
        <v>3</v>
      </c>
      <c r="G1885">
        <v>12</v>
      </c>
      <c r="H1885" t="s">
        <v>13</v>
      </c>
      <c r="I1885" t="s">
        <v>18</v>
      </c>
      <c r="J1885">
        <v>36</v>
      </c>
    </row>
    <row r="1886" spans="1:10" x14ac:dyDescent="0.3">
      <c r="A1886">
        <v>1629</v>
      </c>
      <c r="B1886" t="s">
        <v>28</v>
      </c>
      <c r="C1886" s="1">
        <v>45845</v>
      </c>
      <c r="D1886" t="s">
        <v>16</v>
      </c>
      <c r="E1886" t="s">
        <v>30</v>
      </c>
      <c r="F1886">
        <v>1</v>
      </c>
      <c r="G1886">
        <v>8</v>
      </c>
      <c r="H1886" t="s">
        <v>23</v>
      </c>
      <c r="I1886" t="s">
        <v>25</v>
      </c>
      <c r="J1886">
        <v>8</v>
      </c>
    </row>
    <row r="1887" spans="1:10" x14ac:dyDescent="0.3">
      <c r="A1887">
        <v>1664</v>
      </c>
      <c r="B1887" t="s">
        <v>32</v>
      </c>
      <c r="C1887" s="1">
        <v>45885</v>
      </c>
      <c r="D1887" t="s">
        <v>33</v>
      </c>
      <c r="E1887" t="s">
        <v>17</v>
      </c>
      <c r="F1887">
        <v>1</v>
      </c>
      <c r="G1887">
        <v>12</v>
      </c>
      <c r="H1887" t="s">
        <v>23</v>
      </c>
      <c r="I1887" t="s">
        <v>25</v>
      </c>
      <c r="J1887">
        <v>12</v>
      </c>
    </row>
    <row r="1888" spans="1:10" x14ac:dyDescent="0.3">
      <c r="A1888">
        <v>836</v>
      </c>
      <c r="B1888" t="s">
        <v>31</v>
      </c>
      <c r="C1888" s="1">
        <v>45871</v>
      </c>
      <c r="D1888" t="s">
        <v>11</v>
      </c>
      <c r="E1888" t="s">
        <v>29</v>
      </c>
      <c r="F1888">
        <v>4</v>
      </c>
      <c r="G1888">
        <v>30</v>
      </c>
      <c r="H1888" t="s">
        <v>21</v>
      </c>
      <c r="I1888" t="s">
        <v>14</v>
      </c>
      <c r="J1888">
        <v>120</v>
      </c>
    </row>
    <row r="1889" spans="1:10" x14ac:dyDescent="0.3">
      <c r="A1889">
        <v>1447</v>
      </c>
      <c r="B1889" t="s">
        <v>19</v>
      </c>
      <c r="C1889" s="1">
        <v>45918</v>
      </c>
      <c r="D1889" t="s">
        <v>11</v>
      </c>
      <c r="E1889" t="s">
        <v>22</v>
      </c>
      <c r="F1889">
        <v>1</v>
      </c>
      <c r="G1889">
        <v>20</v>
      </c>
      <c r="H1889" t="s">
        <v>23</v>
      </c>
      <c r="I1889" t="s">
        <v>14</v>
      </c>
      <c r="J1889">
        <v>20</v>
      </c>
    </row>
    <row r="1890" spans="1:10" x14ac:dyDescent="0.3">
      <c r="A1890">
        <v>756</v>
      </c>
      <c r="B1890" t="s">
        <v>10</v>
      </c>
      <c r="C1890" s="1">
        <v>45886</v>
      </c>
      <c r="D1890" t="s">
        <v>11</v>
      </c>
      <c r="E1890" t="s">
        <v>17</v>
      </c>
      <c r="F1890">
        <v>2</v>
      </c>
      <c r="G1890">
        <v>12</v>
      </c>
      <c r="H1890" t="s">
        <v>21</v>
      </c>
      <c r="I1890" t="s">
        <v>14</v>
      </c>
      <c r="J1890">
        <v>24</v>
      </c>
    </row>
    <row r="1891" spans="1:10" x14ac:dyDescent="0.3">
      <c r="A1891">
        <v>1560</v>
      </c>
      <c r="B1891" t="s">
        <v>32</v>
      </c>
      <c r="C1891" s="1">
        <v>45850</v>
      </c>
      <c r="D1891" t="s">
        <v>20</v>
      </c>
      <c r="E1891" t="s">
        <v>17</v>
      </c>
      <c r="F1891">
        <v>4</v>
      </c>
      <c r="G1891">
        <v>12</v>
      </c>
      <c r="H1891" t="s">
        <v>21</v>
      </c>
      <c r="I1891" t="s">
        <v>25</v>
      </c>
      <c r="J1891">
        <v>48</v>
      </c>
    </row>
    <row r="1892" spans="1:10" x14ac:dyDescent="0.3">
      <c r="A1892">
        <v>1757</v>
      </c>
      <c r="B1892" t="s">
        <v>24</v>
      </c>
      <c r="C1892" s="1">
        <v>45878</v>
      </c>
      <c r="D1892" t="s">
        <v>11</v>
      </c>
      <c r="E1892" t="s">
        <v>17</v>
      </c>
      <c r="F1892">
        <v>3</v>
      </c>
      <c r="G1892">
        <v>12</v>
      </c>
      <c r="H1892" t="s">
        <v>23</v>
      </c>
      <c r="I1892" t="s">
        <v>25</v>
      </c>
      <c r="J1892">
        <v>36</v>
      </c>
    </row>
    <row r="1893" spans="1:10" x14ac:dyDescent="0.3">
      <c r="A1893">
        <v>1508</v>
      </c>
      <c r="B1893" t="s">
        <v>26</v>
      </c>
      <c r="C1893" s="1">
        <v>45928</v>
      </c>
      <c r="D1893" t="s">
        <v>33</v>
      </c>
      <c r="E1893" t="s">
        <v>17</v>
      </c>
      <c r="F1893">
        <v>2</v>
      </c>
      <c r="G1893">
        <v>12</v>
      </c>
      <c r="H1893" t="s">
        <v>21</v>
      </c>
      <c r="I1893" t="s">
        <v>25</v>
      </c>
      <c r="J1893">
        <v>24</v>
      </c>
    </row>
    <row r="1894" spans="1:10" x14ac:dyDescent="0.3">
      <c r="A1894">
        <v>711</v>
      </c>
      <c r="B1894" t="s">
        <v>28</v>
      </c>
      <c r="C1894" s="1">
        <v>45871</v>
      </c>
      <c r="D1894" t="s">
        <v>20</v>
      </c>
      <c r="E1894" t="s">
        <v>30</v>
      </c>
      <c r="F1894">
        <v>4</v>
      </c>
      <c r="G1894">
        <v>8</v>
      </c>
      <c r="H1894" t="s">
        <v>21</v>
      </c>
      <c r="I1894" t="s">
        <v>25</v>
      </c>
      <c r="J1894">
        <v>32</v>
      </c>
    </row>
    <row r="1895" spans="1:10" x14ac:dyDescent="0.3">
      <c r="A1895">
        <v>190</v>
      </c>
      <c r="B1895" t="s">
        <v>10</v>
      </c>
      <c r="C1895" s="1">
        <v>45872</v>
      </c>
      <c r="D1895" t="s">
        <v>11</v>
      </c>
      <c r="E1895" t="s">
        <v>30</v>
      </c>
      <c r="F1895">
        <v>3</v>
      </c>
      <c r="G1895">
        <v>8</v>
      </c>
      <c r="H1895" t="s">
        <v>21</v>
      </c>
      <c r="I1895" t="s">
        <v>25</v>
      </c>
      <c r="J1895">
        <v>24</v>
      </c>
    </row>
    <row r="1896" spans="1:10" x14ac:dyDescent="0.3">
      <c r="A1896">
        <v>762</v>
      </c>
      <c r="B1896" t="s">
        <v>26</v>
      </c>
      <c r="C1896" s="1">
        <v>45914</v>
      </c>
      <c r="D1896" t="s">
        <v>33</v>
      </c>
      <c r="E1896" t="s">
        <v>17</v>
      </c>
      <c r="F1896">
        <v>4</v>
      </c>
      <c r="G1896">
        <v>12</v>
      </c>
      <c r="H1896" t="s">
        <v>23</v>
      </c>
      <c r="I1896" t="s">
        <v>14</v>
      </c>
      <c r="J1896">
        <v>48</v>
      </c>
    </row>
    <row r="1897" spans="1:10" x14ac:dyDescent="0.3">
      <c r="A1897">
        <v>683</v>
      </c>
      <c r="B1897" t="s">
        <v>28</v>
      </c>
      <c r="C1897" s="1">
        <v>45913</v>
      </c>
      <c r="D1897" t="s">
        <v>16</v>
      </c>
      <c r="E1897" t="s">
        <v>17</v>
      </c>
      <c r="F1897">
        <v>1</v>
      </c>
      <c r="G1897">
        <v>12</v>
      </c>
      <c r="H1897" t="s">
        <v>23</v>
      </c>
      <c r="I1897" t="s">
        <v>25</v>
      </c>
      <c r="J1897">
        <v>12</v>
      </c>
    </row>
    <row r="1898" spans="1:10" x14ac:dyDescent="0.3">
      <c r="A1898">
        <v>478</v>
      </c>
      <c r="B1898" t="s">
        <v>19</v>
      </c>
      <c r="C1898" s="1">
        <v>45914</v>
      </c>
      <c r="D1898" t="s">
        <v>16</v>
      </c>
      <c r="E1898" t="s">
        <v>30</v>
      </c>
      <c r="F1898">
        <v>5</v>
      </c>
      <c r="G1898">
        <v>8</v>
      </c>
      <c r="H1898" t="s">
        <v>21</v>
      </c>
      <c r="I1898" t="s">
        <v>27</v>
      </c>
      <c r="J1898">
        <v>40</v>
      </c>
    </row>
    <row r="1899" spans="1:10" x14ac:dyDescent="0.3">
      <c r="A1899">
        <v>839</v>
      </c>
      <c r="B1899" t="s">
        <v>31</v>
      </c>
      <c r="C1899" s="1">
        <v>45852</v>
      </c>
      <c r="D1899" t="s">
        <v>33</v>
      </c>
      <c r="E1899" t="s">
        <v>30</v>
      </c>
      <c r="F1899">
        <v>5</v>
      </c>
      <c r="G1899">
        <v>8</v>
      </c>
      <c r="H1899" t="s">
        <v>21</v>
      </c>
      <c r="I1899" t="s">
        <v>25</v>
      </c>
      <c r="J1899">
        <v>40</v>
      </c>
    </row>
    <row r="1900" spans="1:10" x14ac:dyDescent="0.3">
      <c r="A1900">
        <v>1884</v>
      </c>
      <c r="B1900" t="s">
        <v>15</v>
      </c>
      <c r="C1900" s="1">
        <v>45892</v>
      </c>
      <c r="D1900" t="s">
        <v>16</v>
      </c>
      <c r="E1900" t="s">
        <v>17</v>
      </c>
      <c r="F1900">
        <v>2</v>
      </c>
      <c r="G1900">
        <v>12</v>
      </c>
      <c r="H1900" t="s">
        <v>23</v>
      </c>
      <c r="I1900" t="s">
        <v>27</v>
      </c>
      <c r="J1900">
        <v>24</v>
      </c>
    </row>
    <row r="1901" spans="1:10" x14ac:dyDescent="0.3">
      <c r="A1901">
        <v>95</v>
      </c>
      <c r="B1901" t="s">
        <v>10</v>
      </c>
      <c r="C1901" s="1">
        <v>45893</v>
      </c>
      <c r="D1901" t="s">
        <v>11</v>
      </c>
      <c r="E1901" t="s">
        <v>17</v>
      </c>
      <c r="F1901">
        <v>2</v>
      </c>
      <c r="G1901">
        <v>12</v>
      </c>
      <c r="H1901" t="s">
        <v>13</v>
      </c>
      <c r="I1901" t="s">
        <v>27</v>
      </c>
      <c r="J1901">
        <v>24</v>
      </c>
    </row>
    <row r="1902" spans="1:10" x14ac:dyDescent="0.3">
      <c r="A1902">
        <v>450</v>
      </c>
      <c r="B1902" t="s">
        <v>10</v>
      </c>
      <c r="C1902" s="1">
        <v>45916</v>
      </c>
      <c r="D1902" t="s">
        <v>33</v>
      </c>
      <c r="E1902" t="s">
        <v>17</v>
      </c>
      <c r="F1902">
        <v>1</v>
      </c>
      <c r="G1902">
        <v>12</v>
      </c>
      <c r="H1902" t="s">
        <v>23</v>
      </c>
      <c r="I1902" t="s">
        <v>25</v>
      </c>
      <c r="J1902">
        <v>12</v>
      </c>
    </row>
    <row r="1903" spans="1:10" x14ac:dyDescent="0.3">
      <c r="A1903">
        <v>208</v>
      </c>
      <c r="B1903" t="s">
        <v>31</v>
      </c>
      <c r="C1903" s="1">
        <v>45877</v>
      </c>
      <c r="D1903" t="s">
        <v>16</v>
      </c>
      <c r="E1903" t="s">
        <v>22</v>
      </c>
      <c r="F1903">
        <v>4</v>
      </c>
      <c r="G1903">
        <v>20</v>
      </c>
      <c r="H1903" t="s">
        <v>23</v>
      </c>
      <c r="I1903" t="s">
        <v>27</v>
      </c>
      <c r="J1903">
        <v>80</v>
      </c>
    </row>
    <row r="1904" spans="1:10" x14ac:dyDescent="0.3">
      <c r="A1904">
        <v>255</v>
      </c>
      <c r="B1904" t="s">
        <v>24</v>
      </c>
      <c r="C1904" s="1">
        <v>45858</v>
      </c>
      <c r="D1904" t="s">
        <v>16</v>
      </c>
      <c r="E1904" t="s">
        <v>22</v>
      </c>
      <c r="F1904">
        <v>5</v>
      </c>
      <c r="G1904">
        <v>20</v>
      </c>
      <c r="H1904" t="s">
        <v>13</v>
      </c>
      <c r="I1904" t="s">
        <v>18</v>
      </c>
      <c r="J1904">
        <v>100</v>
      </c>
    </row>
    <row r="1905" spans="1:10" x14ac:dyDescent="0.3">
      <c r="A1905">
        <v>1972</v>
      </c>
      <c r="B1905" t="s">
        <v>15</v>
      </c>
      <c r="C1905" s="1">
        <v>45915</v>
      </c>
      <c r="D1905" t="s">
        <v>20</v>
      </c>
      <c r="E1905" t="s">
        <v>12</v>
      </c>
      <c r="F1905">
        <v>4</v>
      </c>
      <c r="G1905">
        <v>25</v>
      </c>
      <c r="H1905" t="s">
        <v>23</v>
      </c>
      <c r="I1905" t="s">
        <v>14</v>
      </c>
      <c r="J1905">
        <v>100</v>
      </c>
    </row>
    <row r="1906" spans="1:10" x14ac:dyDescent="0.3">
      <c r="A1906">
        <v>643</v>
      </c>
      <c r="B1906" t="s">
        <v>19</v>
      </c>
      <c r="C1906" s="1">
        <v>45865</v>
      </c>
      <c r="D1906" t="s">
        <v>33</v>
      </c>
      <c r="E1906" t="s">
        <v>30</v>
      </c>
      <c r="F1906">
        <v>3</v>
      </c>
      <c r="G1906">
        <v>8</v>
      </c>
      <c r="H1906" t="s">
        <v>13</v>
      </c>
      <c r="I1906" t="s">
        <v>18</v>
      </c>
      <c r="J1906">
        <v>24</v>
      </c>
    </row>
    <row r="1907" spans="1:10" x14ac:dyDescent="0.3">
      <c r="A1907">
        <v>550</v>
      </c>
      <c r="B1907" t="s">
        <v>28</v>
      </c>
      <c r="C1907" s="1">
        <v>45890</v>
      </c>
      <c r="D1907" t="s">
        <v>11</v>
      </c>
      <c r="E1907" t="s">
        <v>17</v>
      </c>
      <c r="F1907">
        <v>5</v>
      </c>
      <c r="G1907">
        <v>12</v>
      </c>
      <c r="H1907" t="s">
        <v>13</v>
      </c>
      <c r="I1907" t="s">
        <v>14</v>
      </c>
      <c r="J1907">
        <v>60</v>
      </c>
    </row>
    <row r="1908" spans="1:10" x14ac:dyDescent="0.3">
      <c r="A1908">
        <v>367</v>
      </c>
      <c r="B1908" t="s">
        <v>10</v>
      </c>
      <c r="C1908" s="1">
        <v>45844</v>
      </c>
      <c r="D1908" t="s">
        <v>20</v>
      </c>
      <c r="E1908" t="s">
        <v>17</v>
      </c>
      <c r="F1908">
        <v>3</v>
      </c>
      <c r="G1908">
        <v>12</v>
      </c>
      <c r="H1908" t="s">
        <v>21</v>
      </c>
      <c r="I1908" t="s">
        <v>18</v>
      </c>
      <c r="J1908">
        <v>36</v>
      </c>
    </row>
    <row r="1909" spans="1:10" x14ac:dyDescent="0.3">
      <c r="A1909">
        <v>1487</v>
      </c>
      <c r="B1909" t="s">
        <v>28</v>
      </c>
      <c r="C1909" s="1">
        <v>45893</v>
      </c>
      <c r="D1909" t="s">
        <v>20</v>
      </c>
      <c r="E1909" t="s">
        <v>17</v>
      </c>
      <c r="F1909">
        <v>2</v>
      </c>
      <c r="G1909">
        <v>12</v>
      </c>
      <c r="H1909" t="s">
        <v>23</v>
      </c>
      <c r="I1909" t="s">
        <v>27</v>
      </c>
      <c r="J1909">
        <v>24</v>
      </c>
    </row>
    <row r="1910" spans="1:10" x14ac:dyDescent="0.3">
      <c r="A1910">
        <v>666</v>
      </c>
      <c r="B1910" t="s">
        <v>15</v>
      </c>
      <c r="C1910" s="1">
        <v>45885</v>
      </c>
      <c r="D1910" t="s">
        <v>33</v>
      </c>
      <c r="E1910" t="s">
        <v>17</v>
      </c>
      <c r="F1910">
        <v>3</v>
      </c>
      <c r="G1910">
        <v>12</v>
      </c>
      <c r="H1910" t="s">
        <v>23</v>
      </c>
      <c r="I1910" t="s">
        <v>18</v>
      </c>
      <c r="J1910">
        <v>36</v>
      </c>
    </row>
    <row r="1911" spans="1:10" x14ac:dyDescent="0.3">
      <c r="A1911">
        <v>903</v>
      </c>
      <c r="B1911" t="s">
        <v>10</v>
      </c>
      <c r="C1911" s="1">
        <v>45839</v>
      </c>
      <c r="D1911" t="s">
        <v>33</v>
      </c>
      <c r="E1911" t="s">
        <v>17</v>
      </c>
      <c r="F1911">
        <v>1</v>
      </c>
      <c r="G1911">
        <v>12</v>
      </c>
      <c r="H1911" t="s">
        <v>21</v>
      </c>
      <c r="I1911" t="s">
        <v>14</v>
      </c>
      <c r="J1911">
        <v>12</v>
      </c>
    </row>
    <row r="1912" spans="1:10" x14ac:dyDescent="0.3">
      <c r="A1912">
        <v>659</v>
      </c>
      <c r="B1912" t="s">
        <v>31</v>
      </c>
      <c r="C1912" s="1">
        <v>45851</v>
      </c>
      <c r="D1912" t="s">
        <v>11</v>
      </c>
      <c r="E1912" t="s">
        <v>17</v>
      </c>
      <c r="F1912">
        <v>4</v>
      </c>
      <c r="G1912">
        <v>12</v>
      </c>
      <c r="H1912" t="s">
        <v>13</v>
      </c>
      <c r="I1912" t="s">
        <v>27</v>
      </c>
      <c r="J1912">
        <v>48</v>
      </c>
    </row>
    <row r="1913" spans="1:10" x14ac:dyDescent="0.3">
      <c r="A1913">
        <v>676</v>
      </c>
      <c r="B1913" t="s">
        <v>15</v>
      </c>
      <c r="C1913" s="1">
        <v>45909</v>
      </c>
      <c r="D1913" t="s">
        <v>33</v>
      </c>
      <c r="E1913" t="s">
        <v>17</v>
      </c>
      <c r="F1913">
        <v>2</v>
      </c>
      <c r="G1913">
        <v>12</v>
      </c>
      <c r="H1913" t="s">
        <v>21</v>
      </c>
      <c r="I1913" t="s">
        <v>18</v>
      </c>
      <c r="J1913">
        <v>24</v>
      </c>
    </row>
    <row r="1914" spans="1:10" x14ac:dyDescent="0.3">
      <c r="A1914">
        <v>1794</v>
      </c>
      <c r="B1914" t="s">
        <v>28</v>
      </c>
      <c r="C1914" s="1">
        <v>45878</v>
      </c>
      <c r="D1914" t="s">
        <v>11</v>
      </c>
      <c r="E1914" t="s">
        <v>30</v>
      </c>
      <c r="F1914">
        <v>4</v>
      </c>
      <c r="G1914">
        <v>8</v>
      </c>
      <c r="H1914" t="s">
        <v>21</v>
      </c>
      <c r="I1914" t="s">
        <v>14</v>
      </c>
      <c r="J1914">
        <v>32</v>
      </c>
    </row>
    <row r="1915" spans="1:10" x14ac:dyDescent="0.3">
      <c r="A1915">
        <v>1693</v>
      </c>
      <c r="B1915" t="s">
        <v>31</v>
      </c>
      <c r="C1915" s="1">
        <v>45921</v>
      </c>
      <c r="D1915" t="s">
        <v>33</v>
      </c>
      <c r="E1915" t="s">
        <v>30</v>
      </c>
      <c r="F1915">
        <v>1</v>
      </c>
      <c r="G1915">
        <v>8</v>
      </c>
      <c r="H1915" t="s">
        <v>23</v>
      </c>
      <c r="I1915" t="s">
        <v>27</v>
      </c>
      <c r="J1915">
        <v>8</v>
      </c>
    </row>
    <row r="1916" spans="1:10" x14ac:dyDescent="0.3">
      <c r="A1916">
        <v>1427</v>
      </c>
      <c r="B1916" t="s">
        <v>28</v>
      </c>
      <c r="C1916" s="1">
        <v>45895</v>
      </c>
      <c r="D1916" t="s">
        <v>20</v>
      </c>
      <c r="E1916" t="s">
        <v>12</v>
      </c>
      <c r="F1916">
        <v>2</v>
      </c>
      <c r="G1916">
        <v>25</v>
      </c>
      <c r="H1916" t="s">
        <v>23</v>
      </c>
      <c r="I1916" t="s">
        <v>25</v>
      </c>
      <c r="J1916">
        <v>50</v>
      </c>
    </row>
    <row r="1917" spans="1:10" x14ac:dyDescent="0.3">
      <c r="A1917">
        <v>1335</v>
      </c>
      <c r="B1917" t="s">
        <v>31</v>
      </c>
      <c r="C1917" s="1">
        <v>45921</v>
      </c>
      <c r="D1917" t="s">
        <v>11</v>
      </c>
      <c r="E1917" t="s">
        <v>22</v>
      </c>
      <c r="F1917">
        <v>1</v>
      </c>
      <c r="G1917">
        <v>20</v>
      </c>
      <c r="H1917" t="s">
        <v>13</v>
      </c>
      <c r="I1917" t="s">
        <v>14</v>
      </c>
      <c r="J1917">
        <v>20</v>
      </c>
    </row>
    <row r="1918" spans="1:10" x14ac:dyDescent="0.3">
      <c r="A1918">
        <v>970</v>
      </c>
      <c r="B1918" t="s">
        <v>32</v>
      </c>
      <c r="C1918" s="1">
        <v>45858</v>
      </c>
      <c r="D1918" t="s">
        <v>33</v>
      </c>
      <c r="E1918" t="s">
        <v>17</v>
      </c>
      <c r="F1918">
        <v>3</v>
      </c>
      <c r="G1918">
        <v>12</v>
      </c>
      <c r="H1918" t="s">
        <v>23</v>
      </c>
      <c r="I1918" t="s">
        <v>27</v>
      </c>
      <c r="J1918">
        <v>36</v>
      </c>
    </row>
    <row r="1919" spans="1:10" x14ac:dyDescent="0.3">
      <c r="A1919">
        <v>494</v>
      </c>
      <c r="B1919" t="s">
        <v>10</v>
      </c>
      <c r="C1919" s="1">
        <v>45845</v>
      </c>
      <c r="D1919" t="s">
        <v>16</v>
      </c>
      <c r="E1919" t="s">
        <v>17</v>
      </c>
      <c r="F1919">
        <v>1</v>
      </c>
      <c r="G1919">
        <v>12</v>
      </c>
      <c r="H1919" t="s">
        <v>13</v>
      </c>
      <c r="I1919" t="s">
        <v>25</v>
      </c>
      <c r="J1919">
        <v>12</v>
      </c>
    </row>
    <row r="1920" spans="1:10" x14ac:dyDescent="0.3">
      <c r="A1920">
        <v>172</v>
      </c>
      <c r="B1920" t="s">
        <v>15</v>
      </c>
      <c r="C1920" s="1">
        <v>45921</v>
      </c>
      <c r="D1920" t="s">
        <v>20</v>
      </c>
      <c r="E1920" t="s">
        <v>17</v>
      </c>
      <c r="F1920">
        <v>5</v>
      </c>
      <c r="G1920">
        <v>12</v>
      </c>
      <c r="H1920" t="s">
        <v>23</v>
      </c>
      <c r="I1920" t="s">
        <v>25</v>
      </c>
      <c r="J1920">
        <v>60</v>
      </c>
    </row>
    <row r="1921" spans="1:10" x14ac:dyDescent="0.3">
      <c r="A1921">
        <v>158</v>
      </c>
      <c r="B1921" t="s">
        <v>26</v>
      </c>
      <c r="C1921" s="1">
        <v>45922</v>
      </c>
      <c r="D1921" t="s">
        <v>11</v>
      </c>
      <c r="E1921" t="s">
        <v>17</v>
      </c>
      <c r="F1921">
        <v>5</v>
      </c>
      <c r="G1921">
        <v>12</v>
      </c>
      <c r="H1921" t="s">
        <v>13</v>
      </c>
      <c r="I1921" t="s">
        <v>18</v>
      </c>
      <c r="J1921">
        <v>60</v>
      </c>
    </row>
    <row r="1922" spans="1:10" x14ac:dyDescent="0.3">
      <c r="A1922">
        <v>685</v>
      </c>
      <c r="B1922" t="s">
        <v>24</v>
      </c>
      <c r="C1922" s="1">
        <v>45908</v>
      </c>
      <c r="D1922" t="s">
        <v>20</v>
      </c>
      <c r="E1922" t="s">
        <v>17</v>
      </c>
      <c r="F1922">
        <v>2</v>
      </c>
      <c r="G1922">
        <v>12</v>
      </c>
      <c r="H1922" t="s">
        <v>23</v>
      </c>
      <c r="I1922" t="s">
        <v>25</v>
      </c>
      <c r="J1922">
        <v>24</v>
      </c>
    </row>
    <row r="1923" spans="1:10" x14ac:dyDescent="0.3">
      <c r="A1923">
        <v>1772</v>
      </c>
      <c r="B1923" t="s">
        <v>32</v>
      </c>
      <c r="C1923" s="1">
        <v>45928</v>
      </c>
      <c r="D1923" t="s">
        <v>20</v>
      </c>
      <c r="E1923" t="s">
        <v>29</v>
      </c>
      <c r="F1923">
        <v>5</v>
      </c>
      <c r="G1923">
        <v>30</v>
      </c>
      <c r="H1923" t="s">
        <v>13</v>
      </c>
      <c r="I1923" t="s">
        <v>27</v>
      </c>
      <c r="J1923">
        <v>150</v>
      </c>
    </row>
    <row r="1924" spans="1:10" x14ac:dyDescent="0.3">
      <c r="A1924">
        <v>1464</v>
      </c>
      <c r="B1924" t="s">
        <v>32</v>
      </c>
      <c r="C1924" s="1">
        <v>45899</v>
      </c>
      <c r="D1924" t="s">
        <v>16</v>
      </c>
      <c r="E1924" t="s">
        <v>12</v>
      </c>
      <c r="F1924">
        <v>5</v>
      </c>
      <c r="G1924">
        <v>25</v>
      </c>
      <c r="H1924" t="s">
        <v>13</v>
      </c>
      <c r="I1924" t="s">
        <v>14</v>
      </c>
      <c r="J1924">
        <v>125</v>
      </c>
    </row>
    <row r="1925" spans="1:10" x14ac:dyDescent="0.3">
      <c r="A1925">
        <v>497</v>
      </c>
      <c r="B1925" t="s">
        <v>32</v>
      </c>
      <c r="C1925" s="1">
        <v>45921</v>
      </c>
      <c r="D1925" t="s">
        <v>16</v>
      </c>
      <c r="E1925" t="s">
        <v>12</v>
      </c>
      <c r="F1925">
        <v>1</v>
      </c>
      <c r="G1925">
        <v>25</v>
      </c>
      <c r="H1925" t="s">
        <v>21</v>
      </c>
      <c r="I1925" t="s">
        <v>18</v>
      </c>
      <c r="J1925">
        <v>25</v>
      </c>
    </row>
    <row r="1926" spans="1:10" x14ac:dyDescent="0.3">
      <c r="A1926">
        <v>913</v>
      </c>
      <c r="B1926" t="s">
        <v>15</v>
      </c>
      <c r="C1926" s="1">
        <v>45914</v>
      </c>
      <c r="D1926" t="s">
        <v>20</v>
      </c>
      <c r="E1926" t="s">
        <v>30</v>
      </c>
      <c r="F1926">
        <v>1</v>
      </c>
      <c r="G1926">
        <v>8</v>
      </c>
      <c r="H1926" t="s">
        <v>23</v>
      </c>
      <c r="I1926" t="s">
        <v>27</v>
      </c>
      <c r="J1926">
        <v>8</v>
      </c>
    </row>
    <row r="1927" spans="1:10" x14ac:dyDescent="0.3">
      <c r="A1927">
        <v>1457</v>
      </c>
      <c r="B1927" t="s">
        <v>10</v>
      </c>
      <c r="C1927" s="1">
        <v>45894</v>
      </c>
      <c r="D1927" t="s">
        <v>33</v>
      </c>
      <c r="E1927" t="s">
        <v>12</v>
      </c>
      <c r="F1927">
        <v>5</v>
      </c>
      <c r="G1927">
        <v>25</v>
      </c>
      <c r="H1927" t="s">
        <v>23</v>
      </c>
      <c r="I1927" t="s">
        <v>14</v>
      </c>
      <c r="J1927">
        <v>125</v>
      </c>
    </row>
    <row r="1928" spans="1:10" x14ac:dyDescent="0.3">
      <c r="A1928">
        <v>1129</v>
      </c>
      <c r="B1928" t="s">
        <v>10</v>
      </c>
      <c r="C1928" s="1">
        <v>45913</v>
      </c>
      <c r="D1928" t="s">
        <v>11</v>
      </c>
      <c r="E1928" t="s">
        <v>29</v>
      </c>
      <c r="F1928">
        <v>5</v>
      </c>
      <c r="G1928">
        <v>30</v>
      </c>
      <c r="H1928" t="s">
        <v>23</v>
      </c>
      <c r="I1928" t="s">
        <v>14</v>
      </c>
      <c r="J1928">
        <v>150</v>
      </c>
    </row>
    <row r="1929" spans="1:10" x14ac:dyDescent="0.3">
      <c r="A1929">
        <v>1718</v>
      </c>
      <c r="B1929" t="s">
        <v>32</v>
      </c>
      <c r="C1929" s="1">
        <v>45883</v>
      </c>
      <c r="D1929" t="s">
        <v>20</v>
      </c>
      <c r="E1929" t="s">
        <v>17</v>
      </c>
      <c r="F1929">
        <v>3</v>
      </c>
      <c r="G1929">
        <v>12</v>
      </c>
      <c r="H1929" t="s">
        <v>23</v>
      </c>
      <c r="I1929" t="s">
        <v>14</v>
      </c>
      <c r="J1929">
        <v>36</v>
      </c>
    </row>
    <row r="1930" spans="1:10" x14ac:dyDescent="0.3">
      <c r="A1930">
        <v>266</v>
      </c>
      <c r="B1930" t="s">
        <v>26</v>
      </c>
      <c r="C1930" s="1">
        <v>45865</v>
      </c>
      <c r="D1930" t="s">
        <v>33</v>
      </c>
      <c r="E1930" t="s">
        <v>12</v>
      </c>
      <c r="F1930">
        <v>4</v>
      </c>
      <c r="G1930">
        <v>25</v>
      </c>
      <c r="H1930" t="s">
        <v>23</v>
      </c>
      <c r="I1930" t="s">
        <v>14</v>
      </c>
      <c r="J1930">
        <v>100</v>
      </c>
    </row>
    <row r="1931" spans="1:10" x14ac:dyDescent="0.3">
      <c r="A1931">
        <v>240</v>
      </c>
      <c r="B1931" t="s">
        <v>19</v>
      </c>
      <c r="C1931" s="1">
        <v>45857</v>
      </c>
      <c r="D1931" t="s">
        <v>33</v>
      </c>
      <c r="E1931" t="s">
        <v>17</v>
      </c>
      <c r="F1931">
        <v>5</v>
      </c>
      <c r="G1931">
        <v>12</v>
      </c>
      <c r="H1931" t="s">
        <v>13</v>
      </c>
      <c r="I1931" t="s">
        <v>14</v>
      </c>
      <c r="J1931">
        <v>60</v>
      </c>
    </row>
    <row r="1932" spans="1:10" x14ac:dyDescent="0.3">
      <c r="A1932">
        <v>151</v>
      </c>
      <c r="B1932" t="s">
        <v>32</v>
      </c>
      <c r="C1932" s="1">
        <v>45880</v>
      </c>
      <c r="D1932" t="s">
        <v>33</v>
      </c>
      <c r="E1932" t="s">
        <v>17</v>
      </c>
      <c r="F1932">
        <v>2</v>
      </c>
      <c r="G1932">
        <v>12</v>
      </c>
      <c r="H1932" t="s">
        <v>23</v>
      </c>
      <c r="I1932" t="s">
        <v>18</v>
      </c>
      <c r="J1932">
        <v>24</v>
      </c>
    </row>
    <row r="1933" spans="1:10" x14ac:dyDescent="0.3">
      <c r="A1933">
        <v>1304</v>
      </c>
      <c r="B1933" t="s">
        <v>10</v>
      </c>
      <c r="C1933" s="1">
        <v>45869</v>
      </c>
      <c r="D1933" t="s">
        <v>11</v>
      </c>
      <c r="E1933" t="s">
        <v>17</v>
      </c>
      <c r="F1933">
        <v>1</v>
      </c>
      <c r="G1933">
        <v>12</v>
      </c>
      <c r="H1933" t="s">
        <v>21</v>
      </c>
      <c r="I1933" t="s">
        <v>14</v>
      </c>
      <c r="J1933">
        <v>12</v>
      </c>
    </row>
    <row r="1934" spans="1:10" x14ac:dyDescent="0.3">
      <c r="A1934">
        <v>464</v>
      </c>
      <c r="B1934" t="s">
        <v>24</v>
      </c>
      <c r="C1934" s="1">
        <v>45913</v>
      </c>
      <c r="D1934" t="s">
        <v>20</v>
      </c>
      <c r="E1934" t="s">
        <v>12</v>
      </c>
      <c r="F1934">
        <v>3</v>
      </c>
      <c r="G1934">
        <v>25</v>
      </c>
      <c r="H1934" t="s">
        <v>21</v>
      </c>
      <c r="I1934" t="s">
        <v>14</v>
      </c>
      <c r="J1934">
        <v>75</v>
      </c>
    </row>
    <row r="1935" spans="1:10" x14ac:dyDescent="0.3">
      <c r="A1935">
        <v>1743</v>
      </c>
      <c r="B1935" t="s">
        <v>26</v>
      </c>
      <c r="C1935" s="1">
        <v>45843</v>
      </c>
      <c r="D1935" t="s">
        <v>11</v>
      </c>
      <c r="E1935" t="s">
        <v>30</v>
      </c>
      <c r="F1935">
        <v>3</v>
      </c>
      <c r="G1935">
        <v>8</v>
      </c>
      <c r="H1935" t="s">
        <v>13</v>
      </c>
      <c r="I1935" t="s">
        <v>14</v>
      </c>
      <c r="J1935">
        <v>24</v>
      </c>
    </row>
    <row r="1936" spans="1:10" x14ac:dyDescent="0.3">
      <c r="A1936">
        <v>966</v>
      </c>
      <c r="B1936" t="s">
        <v>24</v>
      </c>
      <c r="C1936" s="1">
        <v>45892</v>
      </c>
      <c r="D1936" t="s">
        <v>11</v>
      </c>
      <c r="E1936" t="s">
        <v>30</v>
      </c>
      <c r="F1936">
        <v>3</v>
      </c>
      <c r="G1936">
        <v>8</v>
      </c>
      <c r="H1936" t="s">
        <v>21</v>
      </c>
      <c r="I1936" t="s">
        <v>14</v>
      </c>
      <c r="J1936">
        <v>24</v>
      </c>
    </row>
    <row r="1937" spans="1:10" x14ac:dyDescent="0.3">
      <c r="A1937">
        <v>445</v>
      </c>
      <c r="B1937" t="s">
        <v>31</v>
      </c>
      <c r="C1937" s="1">
        <v>45890</v>
      </c>
      <c r="D1937" t="s">
        <v>16</v>
      </c>
      <c r="E1937" t="s">
        <v>17</v>
      </c>
      <c r="F1937">
        <v>5</v>
      </c>
      <c r="G1937">
        <v>12</v>
      </c>
      <c r="H1937" t="s">
        <v>21</v>
      </c>
      <c r="I1937" t="s">
        <v>14</v>
      </c>
      <c r="J1937">
        <v>60</v>
      </c>
    </row>
    <row r="1938" spans="1:10" x14ac:dyDescent="0.3">
      <c r="A1938">
        <v>29</v>
      </c>
      <c r="B1938" t="s">
        <v>19</v>
      </c>
      <c r="C1938" s="1">
        <v>45877</v>
      </c>
      <c r="D1938" t="s">
        <v>20</v>
      </c>
      <c r="E1938" t="s">
        <v>17</v>
      </c>
      <c r="F1938">
        <v>4</v>
      </c>
      <c r="G1938">
        <v>12</v>
      </c>
      <c r="H1938" t="s">
        <v>13</v>
      </c>
      <c r="I1938" t="s">
        <v>18</v>
      </c>
      <c r="J1938">
        <v>48</v>
      </c>
    </row>
    <row r="1939" spans="1:10" x14ac:dyDescent="0.3">
      <c r="A1939">
        <v>205</v>
      </c>
      <c r="B1939" t="s">
        <v>31</v>
      </c>
      <c r="C1939" s="1">
        <v>45909</v>
      </c>
      <c r="D1939" t="s">
        <v>33</v>
      </c>
      <c r="E1939" t="s">
        <v>30</v>
      </c>
      <c r="F1939">
        <v>2</v>
      </c>
      <c r="G1939">
        <v>8</v>
      </c>
      <c r="H1939" t="s">
        <v>21</v>
      </c>
      <c r="I1939" t="s">
        <v>25</v>
      </c>
      <c r="J1939">
        <v>16</v>
      </c>
    </row>
    <row r="1940" spans="1:10" x14ac:dyDescent="0.3">
      <c r="A1940">
        <v>127</v>
      </c>
      <c r="B1940" t="s">
        <v>26</v>
      </c>
      <c r="C1940" s="1">
        <v>45906</v>
      </c>
      <c r="D1940" t="s">
        <v>33</v>
      </c>
      <c r="E1940" t="s">
        <v>12</v>
      </c>
      <c r="F1940">
        <v>4</v>
      </c>
      <c r="G1940">
        <v>25</v>
      </c>
      <c r="H1940" t="s">
        <v>13</v>
      </c>
      <c r="I1940" t="s">
        <v>25</v>
      </c>
      <c r="J1940">
        <v>100</v>
      </c>
    </row>
    <row r="1941" spans="1:10" x14ac:dyDescent="0.3">
      <c r="A1941">
        <v>531</v>
      </c>
      <c r="B1941" t="s">
        <v>24</v>
      </c>
      <c r="C1941" s="1">
        <v>45864</v>
      </c>
      <c r="D1941" t="s">
        <v>20</v>
      </c>
      <c r="E1941" t="s">
        <v>30</v>
      </c>
      <c r="F1941">
        <v>4</v>
      </c>
      <c r="G1941">
        <v>8</v>
      </c>
      <c r="H1941" t="s">
        <v>21</v>
      </c>
      <c r="I1941" t="s">
        <v>25</v>
      </c>
      <c r="J1941">
        <v>32</v>
      </c>
    </row>
    <row r="1942" spans="1:10" x14ac:dyDescent="0.3">
      <c r="A1942">
        <v>439</v>
      </c>
      <c r="B1942" t="s">
        <v>28</v>
      </c>
      <c r="C1942" s="1">
        <v>45864</v>
      </c>
      <c r="D1942" t="s">
        <v>11</v>
      </c>
      <c r="E1942" t="s">
        <v>12</v>
      </c>
      <c r="F1942">
        <v>4</v>
      </c>
      <c r="G1942">
        <v>25</v>
      </c>
      <c r="H1942" t="s">
        <v>23</v>
      </c>
      <c r="I1942" t="s">
        <v>18</v>
      </c>
      <c r="J1942">
        <v>100</v>
      </c>
    </row>
    <row r="1943" spans="1:10" x14ac:dyDescent="0.3">
      <c r="A1943">
        <v>673</v>
      </c>
      <c r="B1943" t="s">
        <v>10</v>
      </c>
      <c r="C1943" s="1">
        <v>45889</v>
      </c>
      <c r="D1943" t="s">
        <v>20</v>
      </c>
      <c r="E1943" t="s">
        <v>30</v>
      </c>
      <c r="F1943">
        <v>1</v>
      </c>
      <c r="G1943">
        <v>8</v>
      </c>
      <c r="H1943" t="s">
        <v>23</v>
      </c>
      <c r="I1943" t="s">
        <v>27</v>
      </c>
      <c r="J1943">
        <v>8</v>
      </c>
    </row>
    <row r="1944" spans="1:10" x14ac:dyDescent="0.3">
      <c r="A1944">
        <v>902</v>
      </c>
      <c r="B1944" t="s">
        <v>31</v>
      </c>
      <c r="C1944" s="1">
        <v>45919</v>
      </c>
      <c r="D1944" t="s">
        <v>20</v>
      </c>
      <c r="E1944" t="s">
        <v>30</v>
      </c>
      <c r="F1944">
        <v>2</v>
      </c>
      <c r="G1944">
        <v>8</v>
      </c>
      <c r="H1944" t="s">
        <v>23</v>
      </c>
      <c r="I1944" t="s">
        <v>18</v>
      </c>
      <c r="J1944">
        <v>16</v>
      </c>
    </row>
    <row r="1945" spans="1:10" x14ac:dyDescent="0.3">
      <c r="A1945">
        <v>1615</v>
      </c>
      <c r="B1945" t="s">
        <v>10</v>
      </c>
      <c r="C1945" s="1">
        <v>45925</v>
      </c>
      <c r="D1945" t="s">
        <v>16</v>
      </c>
      <c r="E1945" t="s">
        <v>17</v>
      </c>
      <c r="F1945">
        <v>5</v>
      </c>
      <c r="G1945">
        <v>12</v>
      </c>
      <c r="H1945" t="s">
        <v>13</v>
      </c>
      <c r="I1945" t="s">
        <v>18</v>
      </c>
      <c r="J1945">
        <v>60</v>
      </c>
    </row>
    <row r="1946" spans="1:10" x14ac:dyDescent="0.3">
      <c r="A1946">
        <v>1912</v>
      </c>
      <c r="B1946" t="s">
        <v>10</v>
      </c>
      <c r="C1946" s="1">
        <v>45843</v>
      </c>
      <c r="D1946" t="s">
        <v>20</v>
      </c>
      <c r="E1946" t="s">
        <v>17</v>
      </c>
      <c r="F1946">
        <v>1</v>
      </c>
      <c r="G1946">
        <v>12</v>
      </c>
      <c r="H1946" t="s">
        <v>21</v>
      </c>
      <c r="I1946" t="s">
        <v>27</v>
      </c>
      <c r="J1946">
        <v>12</v>
      </c>
    </row>
    <row r="1947" spans="1:10" x14ac:dyDescent="0.3">
      <c r="A1947">
        <v>1020</v>
      </c>
      <c r="B1947" t="s">
        <v>15</v>
      </c>
      <c r="C1947" s="1">
        <v>45873</v>
      </c>
      <c r="D1947" t="s">
        <v>11</v>
      </c>
      <c r="E1947" t="s">
        <v>30</v>
      </c>
      <c r="F1947">
        <v>4</v>
      </c>
      <c r="G1947">
        <v>8</v>
      </c>
      <c r="H1947" t="s">
        <v>23</v>
      </c>
      <c r="I1947" t="s">
        <v>18</v>
      </c>
      <c r="J1947">
        <v>32</v>
      </c>
    </row>
    <row r="1948" spans="1:10" x14ac:dyDescent="0.3">
      <c r="A1948">
        <v>1645</v>
      </c>
      <c r="B1948" t="s">
        <v>24</v>
      </c>
      <c r="C1948" s="1">
        <v>45871</v>
      </c>
      <c r="D1948" t="s">
        <v>20</v>
      </c>
      <c r="E1948" t="s">
        <v>30</v>
      </c>
      <c r="F1948">
        <v>4</v>
      </c>
      <c r="G1948">
        <v>8</v>
      </c>
      <c r="H1948" t="s">
        <v>23</v>
      </c>
      <c r="I1948" t="s">
        <v>14</v>
      </c>
      <c r="J1948">
        <v>32</v>
      </c>
    </row>
    <row r="1949" spans="1:10" x14ac:dyDescent="0.3">
      <c r="A1949">
        <v>1495</v>
      </c>
      <c r="B1949" t="s">
        <v>10</v>
      </c>
      <c r="C1949" s="1">
        <v>45845</v>
      </c>
      <c r="D1949" t="s">
        <v>11</v>
      </c>
      <c r="E1949" t="s">
        <v>30</v>
      </c>
      <c r="F1949">
        <v>3</v>
      </c>
      <c r="G1949">
        <v>8</v>
      </c>
      <c r="H1949" t="s">
        <v>21</v>
      </c>
      <c r="I1949" t="s">
        <v>25</v>
      </c>
      <c r="J1949">
        <v>24</v>
      </c>
    </row>
    <row r="1950" spans="1:10" x14ac:dyDescent="0.3">
      <c r="A1950">
        <v>709</v>
      </c>
      <c r="B1950" t="s">
        <v>19</v>
      </c>
      <c r="C1950" s="1">
        <v>45914</v>
      </c>
      <c r="D1950" t="s">
        <v>16</v>
      </c>
      <c r="E1950" t="s">
        <v>17</v>
      </c>
      <c r="F1950">
        <v>5</v>
      </c>
      <c r="G1950">
        <v>12</v>
      </c>
      <c r="H1950" t="s">
        <v>13</v>
      </c>
      <c r="I1950" t="s">
        <v>14</v>
      </c>
      <c r="J1950">
        <v>60</v>
      </c>
    </row>
    <row r="1951" spans="1:10" x14ac:dyDescent="0.3">
      <c r="A1951">
        <v>356</v>
      </c>
      <c r="B1951" t="s">
        <v>28</v>
      </c>
      <c r="C1951" s="1">
        <v>45913</v>
      </c>
      <c r="D1951" t="s">
        <v>11</v>
      </c>
      <c r="E1951" t="s">
        <v>17</v>
      </c>
      <c r="F1951">
        <v>2</v>
      </c>
      <c r="G1951">
        <v>12</v>
      </c>
      <c r="H1951" t="s">
        <v>21</v>
      </c>
      <c r="I1951" t="s">
        <v>27</v>
      </c>
      <c r="J1951">
        <v>24</v>
      </c>
    </row>
    <row r="1952" spans="1:10" x14ac:dyDescent="0.3">
      <c r="A1952">
        <v>1166</v>
      </c>
      <c r="B1952" t="s">
        <v>26</v>
      </c>
      <c r="C1952" s="1">
        <v>45857</v>
      </c>
      <c r="D1952" t="s">
        <v>33</v>
      </c>
      <c r="E1952" t="s">
        <v>17</v>
      </c>
      <c r="F1952">
        <v>2</v>
      </c>
      <c r="G1952">
        <v>12</v>
      </c>
      <c r="H1952" t="s">
        <v>23</v>
      </c>
      <c r="I1952" t="s">
        <v>25</v>
      </c>
      <c r="J1952">
        <v>24</v>
      </c>
    </row>
    <row r="1953" spans="1:10" x14ac:dyDescent="0.3">
      <c r="A1953">
        <v>468</v>
      </c>
      <c r="B1953" t="s">
        <v>24</v>
      </c>
      <c r="C1953" s="1">
        <v>45849</v>
      </c>
      <c r="D1953" t="s">
        <v>33</v>
      </c>
      <c r="E1953" t="s">
        <v>17</v>
      </c>
      <c r="F1953">
        <v>5</v>
      </c>
      <c r="G1953">
        <v>12</v>
      </c>
      <c r="H1953" t="s">
        <v>23</v>
      </c>
      <c r="I1953" t="s">
        <v>14</v>
      </c>
      <c r="J1953">
        <v>60</v>
      </c>
    </row>
    <row r="1954" spans="1:10" x14ac:dyDescent="0.3">
      <c r="A1954">
        <v>1971</v>
      </c>
      <c r="B1954" t="s">
        <v>24</v>
      </c>
      <c r="C1954" s="1">
        <v>45916</v>
      </c>
      <c r="D1954" t="s">
        <v>16</v>
      </c>
      <c r="E1954" t="s">
        <v>29</v>
      </c>
      <c r="F1954">
        <v>3</v>
      </c>
      <c r="G1954">
        <v>30</v>
      </c>
      <c r="H1954" t="s">
        <v>21</v>
      </c>
      <c r="I1954" t="s">
        <v>14</v>
      </c>
      <c r="J1954">
        <v>90</v>
      </c>
    </row>
    <row r="1955" spans="1:10" x14ac:dyDescent="0.3">
      <c r="A1955">
        <v>1704</v>
      </c>
      <c r="B1955" t="s">
        <v>32</v>
      </c>
      <c r="C1955" s="1">
        <v>45885</v>
      </c>
      <c r="D1955" t="s">
        <v>20</v>
      </c>
      <c r="E1955" t="s">
        <v>22</v>
      </c>
      <c r="F1955">
        <v>4</v>
      </c>
      <c r="G1955">
        <v>20</v>
      </c>
      <c r="H1955" t="s">
        <v>23</v>
      </c>
      <c r="I1955" t="s">
        <v>14</v>
      </c>
      <c r="J1955">
        <v>80</v>
      </c>
    </row>
    <row r="1956" spans="1:10" x14ac:dyDescent="0.3">
      <c r="A1956">
        <v>623</v>
      </c>
      <c r="B1956" t="s">
        <v>28</v>
      </c>
      <c r="C1956" s="1">
        <v>45844</v>
      </c>
      <c r="D1956" t="s">
        <v>16</v>
      </c>
      <c r="E1956" t="s">
        <v>17</v>
      </c>
      <c r="F1956">
        <v>5</v>
      </c>
      <c r="G1956">
        <v>12</v>
      </c>
      <c r="H1956" t="s">
        <v>23</v>
      </c>
      <c r="I1956" t="s">
        <v>14</v>
      </c>
      <c r="J1956">
        <v>60</v>
      </c>
    </row>
    <row r="1957" spans="1:10" x14ac:dyDescent="0.3">
      <c r="A1957">
        <v>757</v>
      </c>
      <c r="B1957" t="s">
        <v>26</v>
      </c>
      <c r="C1957" s="1">
        <v>45899</v>
      </c>
      <c r="D1957" t="s">
        <v>33</v>
      </c>
      <c r="E1957" t="s">
        <v>17</v>
      </c>
      <c r="F1957">
        <v>3</v>
      </c>
      <c r="G1957">
        <v>12</v>
      </c>
      <c r="H1957" t="s">
        <v>13</v>
      </c>
      <c r="I1957" t="s">
        <v>14</v>
      </c>
      <c r="J1957">
        <v>36</v>
      </c>
    </row>
    <row r="1958" spans="1:10" x14ac:dyDescent="0.3">
      <c r="A1958">
        <v>1691</v>
      </c>
      <c r="B1958" t="s">
        <v>10</v>
      </c>
      <c r="C1958" s="1">
        <v>45850</v>
      </c>
      <c r="D1958" t="s">
        <v>20</v>
      </c>
      <c r="E1958" t="s">
        <v>22</v>
      </c>
      <c r="F1958">
        <v>4</v>
      </c>
      <c r="G1958">
        <v>20</v>
      </c>
      <c r="H1958" t="s">
        <v>23</v>
      </c>
      <c r="I1958" t="s">
        <v>27</v>
      </c>
      <c r="J1958">
        <v>80</v>
      </c>
    </row>
    <row r="1959" spans="1:10" x14ac:dyDescent="0.3">
      <c r="A1959">
        <v>882</v>
      </c>
      <c r="B1959" t="s">
        <v>10</v>
      </c>
      <c r="C1959" s="1">
        <v>45843</v>
      </c>
      <c r="D1959" t="s">
        <v>33</v>
      </c>
      <c r="E1959" t="s">
        <v>22</v>
      </c>
      <c r="F1959">
        <v>1</v>
      </c>
      <c r="G1959">
        <v>20</v>
      </c>
      <c r="H1959" t="s">
        <v>21</v>
      </c>
      <c r="I1959" t="s">
        <v>14</v>
      </c>
      <c r="J1959">
        <v>20</v>
      </c>
    </row>
    <row r="1960" spans="1:10" x14ac:dyDescent="0.3">
      <c r="A1960">
        <v>641</v>
      </c>
      <c r="B1960" t="s">
        <v>10</v>
      </c>
      <c r="C1960" s="1">
        <v>45927</v>
      </c>
      <c r="D1960" t="s">
        <v>11</v>
      </c>
      <c r="E1960" t="s">
        <v>17</v>
      </c>
      <c r="F1960">
        <v>3</v>
      </c>
      <c r="G1960">
        <v>12</v>
      </c>
      <c r="H1960" t="s">
        <v>23</v>
      </c>
      <c r="I1960" t="s">
        <v>14</v>
      </c>
      <c r="J1960">
        <v>36</v>
      </c>
    </row>
    <row r="1961" spans="1:10" x14ac:dyDescent="0.3">
      <c r="A1961">
        <v>1091</v>
      </c>
      <c r="B1961" t="s">
        <v>31</v>
      </c>
      <c r="C1961" s="1">
        <v>45871</v>
      </c>
      <c r="D1961" t="s">
        <v>16</v>
      </c>
      <c r="E1961" t="s">
        <v>17</v>
      </c>
      <c r="F1961">
        <v>2</v>
      </c>
      <c r="G1961">
        <v>12</v>
      </c>
      <c r="H1961" t="s">
        <v>23</v>
      </c>
      <c r="I1961" t="s">
        <v>18</v>
      </c>
      <c r="J1961">
        <v>24</v>
      </c>
    </row>
    <row r="1962" spans="1:10" x14ac:dyDescent="0.3">
      <c r="A1962">
        <v>36</v>
      </c>
      <c r="B1962" t="s">
        <v>15</v>
      </c>
      <c r="C1962" s="1">
        <v>45914</v>
      </c>
      <c r="D1962" t="s">
        <v>20</v>
      </c>
      <c r="E1962" t="s">
        <v>17</v>
      </c>
      <c r="F1962">
        <v>3</v>
      </c>
      <c r="G1962">
        <v>12</v>
      </c>
      <c r="H1962" t="s">
        <v>21</v>
      </c>
      <c r="I1962" t="s">
        <v>27</v>
      </c>
      <c r="J1962">
        <v>36</v>
      </c>
    </row>
    <row r="1963" spans="1:10" x14ac:dyDescent="0.3">
      <c r="A1963">
        <v>81</v>
      </c>
      <c r="B1963" t="s">
        <v>28</v>
      </c>
      <c r="C1963" s="1">
        <v>45908</v>
      </c>
      <c r="D1963" t="s">
        <v>33</v>
      </c>
      <c r="E1963" t="s">
        <v>17</v>
      </c>
      <c r="F1963">
        <v>2</v>
      </c>
      <c r="G1963">
        <v>12</v>
      </c>
      <c r="H1963" t="s">
        <v>23</v>
      </c>
      <c r="I1963" t="s">
        <v>27</v>
      </c>
      <c r="J1963">
        <v>24</v>
      </c>
    </row>
    <row r="1964" spans="1:10" x14ac:dyDescent="0.3">
      <c r="A1964">
        <v>1075</v>
      </c>
      <c r="B1964" t="s">
        <v>24</v>
      </c>
      <c r="C1964" s="1">
        <v>45857</v>
      </c>
      <c r="D1964" t="s">
        <v>11</v>
      </c>
      <c r="E1964" t="s">
        <v>12</v>
      </c>
      <c r="F1964">
        <v>2</v>
      </c>
      <c r="G1964">
        <v>25</v>
      </c>
      <c r="H1964" t="s">
        <v>23</v>
      </c>
      <c r="I1964" t="s">
        <v>18</v>
      </c>
      <c r="J1964">
        <v>50</v>
      </c>
    </row>
    <row r="1965" spans="1:10" x14ac:dyDescent="0.3">
      <c r="A1965">
        <v>1911</v>
      </c>
      <c r="B1965" t="s">
        <v>31</v>
      </c>
      <c r="C1965" s="1">
        <v>45900</v>
      </c>
      <c r="D1965" t="s">
        <v>16</v>
      </c>
      <c r="E1965" t="s">
        <v>17</v>
      </c>
      <c r="F1965">
        <v>5</v>
      </c>
      <c r="G1965">
        <v>12</v>
      </c>
      <c r="H1965" t="s">
        <v>23</v>
      </c>
      <c r="I1965" t="s">
        <v>25</v>
      </c>
      <c r="J1965">
        <v>60</v>
      </c>
    </row>
    <row r="1966" spans="1:10" x14ac:dyDescent="0.3">
      <c r="A1966">
        <v>916</v>
      </c>
      <c r="B1966" t="s">
        <v>10</v>
      </c>
      <c r="C1966" s="1">
        <v>45899</v>
      </c>
      <c r="D1966" t="s">
        <v>33</v>
      </c>
      <c r="E1966" t="s">
        <v>30</v>
      </c>
      <c r="F1966">
        <v>5</v>
      </c>
      <c r="G1966">
        <v>8</v>
      </c>
      <c r="H1966" t="s">
        <v>13</v>
      </c>
      <c r="I1966" t="s">
        <v>14</v>
      </c>
      <c r="J1966">
        <v>40</v>
      </c>
    </row>
    <row r="1967" spans="1:10" x14ac:dyDescent="0.3">
      <c r="A1967">
        <v>1910</v>
      </c>
      <c r="B1967" t="s">
        <v>15</v>
      </c>
      <c r="C1967" s="1">
        <v>45885</v>
      </c>
      <c r="D1967" t="s">
        <v>33</v>
      </c>
      <c r="E1967" t="s">
        <v>17</v>
      </c>
      <c r="F1967">
        <v>5</v>
      </c>
      <c r="G1967">
        <v>12</v>
      </c>
      <c r="H1967" t="s">
        <v>23</v>
      </c>
      <c r="I1967" t="s">
        <v>18</v>
      </c>
      <c r="J1967">
        <v>60</v>
      </c>
    </row>
    <row r="1968" spans="1:10" x14ac:dyDescent="0.3">
      <c r="A1968">
        <v>416</v>
      </c>
      <c r="B1968" t="s">
        <v>24</v>
      </c>
      <c r="C1968" s="1">
        <v>45906</v>
      </c>
      <c r="D1968" t="s">
        <v>20</v>
      </c>
      <c r="E1968" t="s">
        <v>29</v>
      </c>
      <c r="F1968">
        <v>1</v>
      </c>
      <c r="G1968">
        <v>30</v>
      </c>
      <c r="H1968" t="s">
        <v>21</v>
      </c>
      <c r="I1968" t="s">
        <v>25</v>
      </c>
      <c r="J1968">
        <v>30</v>
      </c>
    </row>
    <row r="1969" spans="1:10" x14ac:dyDescent="0.3">
      <c r="A1969">
        <v>1375</v>
      </c>
      <c r="B1969" t="s">
        <v>32</v>
      </c>
      <c r="C1969" s="1">
        <v>45843</v>
      </c>
      <c r="D1969" t="s">
        <v>20</v>
      </c>
      <c r="E1969" t="s">
        <v>22</v>
      </c>
      <c r="F1969">
        <v>5</v>
      </c>
      <c r="G1969">
        <v>20</v>
      </c>
      <c r="H1969" t="s">
        <v>23</v>
      </c>
      <c r="I1969" t="s">
        <v>27</v>
      </c>
      <c r="J1969">
        <v>100</v>
      </c>
    </row>
    <row r="1970" spans="1:10" x14ac:dyDescent="0.3">
      <c r="A1970">
        <v>396</v>
      </c>
      <c r="B1970" t="s">
        <v>31</v>
      </c>
      <c r="C1970" s="1">
        <v>45926</v>
      </c>
      <c r="D1970" t="s">
        <v>16</v>
      </c>
      <c r="E1970" t="s">
        <v>17</v>
      </c>
      <c r="F1970">
        <v>2</v>
      </c>
      <c r="G1970">
        <v>12</v>
      </c>
      <c r="H1970" t="s">
        <v>13</v>
      </c>
      <c r="I1970" t="s">
        <v>18</v>
      </c>
      <c r="J1970">
        <v>24</v>
      </c>
    </row>
    <row r="1971" spans="1:10" x14ac:dyDescent="0.3">
      <c r="A1971">
        <v>1863</v>
      </c>
      <c r="B1971" t="s">
        <v>32</v>
      </c>
      <c r="C1971" s="1">
        <v>45850</v>
      </c>
      <c r="D1971" t="s">
        <v>11</v>
      </c>
      <c r="E1971" t="s">
        <v>17</v>
      </c>
      <c r="F1971">
        <v>2</v>
      </c>
      <c r="G1971">
        <v>12</v>
      </c>
      <c r="H1971" t="s">
        <v>13</v>
      </c>
      <c r="I1971" t="s">
        <v>18</v>
      </c>
      <c r="J1971">
        <v>24</v>
      </c>
    </row>
    <row r="1972" spans="1:10" x14ac:dyDescent="0.3">
      <c r="A1972">
        <v>1505</v>
      </c>
      <c r="B1972" t="s">
        <v>28</v>
      </c>
      <c r="C1972" s="1">
        <v>45875</v>
      </c>
      <c r="D1972" t="s">
        <v>33</v>
      </c>
      <c r="E1972" t="s">
        <v>22</v>
      </c>
      <c r="F1972">
        <v>4</v>
      </c>
      <c r="G1972">
        <v>20</v>
      </c>
      <c r="H1972" t="s">
        <v>21</v>
      </c>
      <c r="I1972" t="s">
        <v>25</v>
      </c>
      <c r="J1972">
        <v>80</v>
      </c>
    </row>
    <row r="1973" spans="1:10" x14ac:dyDescent="0.3">
      <c r="A1973">
        <v>1894</v>
      </c>
      <c r="B1973" t="s">
        <v>32</v>
      </c>
      <c r="C1973" s="1">
        <v>45857</v>
      </c>
      <c r="D1973" t="s">
        <v>33</v>
      </c>
      <c r="E1973" t="s">
        <v>17</v>
      </c>
      <c r="F1973">
        <v>4</v>
      </c>
      <c r="G1973">
        <v>12</v>
      </c>
      <c r="H1973" t="s">
        <v>23</v>
      </c>
      <c r="I1973" t="s">
        <v>25</v>
      </c>
      <c r="J1973">
        <v>48</v>
      </c>
    </row>
    <row r="1974" spans="1:10" x14ac:dyDescent="0.3">
      <c r="A1974">
        <v>1780</v>
      </c>
      <c r="B1974" t="s">
        <v>19</v>
      </c>
      <c r="C1974" s="1">
        <v>45887</v>
      </c>
      <c r="D1974" t="s">
        <v>16</v>
      </c>
      <c r="E1974" t="s">
        <v>22</v>
      </c>
      <c r="F1974">
        <v>4</v>
      </c>
      <c r="G1974">
        <v>20</v>
      </c>
      <c r="H1974" t="s">
        <v>13</v>
      </c>
      <c r="I1974" t="s">
        <v>25</v>
      </c>
      <c r="J1974">
        <v>80</v>
      </c>
    </row>
    <row r="1975" spans="1:10" x14ac:dyDescent="0.3">
      <c r="A1975">
        <v>349</v>
      </c>
      <c r="B1975" t="s">
        <v>19</v>
      </c>
      <c r="C1975" s="1">
        <v>45914</v>
      </c>
      <c r="D1975" t="s">
        <v>16</v>
      </c>
      <c r="E1975" t="s">
        <v>12</v>
      </c>
      <c r="F1975">
        <v>3</v>
      </c>
      <c r="G1975">
        <v>25</v>
      </c>
      <c r="H1975" t="s">
        <v>13</v>
      </c>
      <c r="I1975" t="s">
        <v>25</v>
      </c>
      <c r="J1975">
        <v>75</v>
      </c>
    </row>
    <row r="1976" spans="1:10" x14ac:dyDescent="0.3">
      <c r="A1976">
        <v>1991</v>
      </c>
      <c r="B1976" t="s">
        <v>31</v>
      </c>
      <c r="C1976" s="1">
        <v>45874</v>
      </c>
      <c r="D1976" t="s">
        <v>16</v>
      </c>
      <c r="E1976" t="s">
        <v>17</v>
      </c>
      <c r="F1976">
        <v>5</v>
      </c>
      <c r="G1976">
        <v>12</v>
      </c>
      <c r="H1976" t="s">
        <v>21</v>
      </c>
      <c r="I1976" t="s">
        <v>14</v>
      </c>
      <c r="J1976">
        <v>60</v>
      </c>
    </row>
    <row r="1977" spans="1:10" x14ac:dyDescent="0.3">
      <c r="A1977">
        <v>429</v>
      </c>
      <c r="B1977" t="s">
        <v>24</v>
      </c>
      <c r="C1977" s="1">
        <v>45902</v>
      </c>
      <c r="D1977" t="s">
        <v>33</v>
      </c>
      <c r="E1977" t="s">
        <v>17</v>
      </c>
      <c r="F1977">
        <v>3</v>
      </c>
      <c r="G1977">
        <v>12</v>
      </c>
      <c r="H1977" t="s">
        <v>21</v>
      </c>
      <c r="I1977" t="s">
        <v>25</v>
      </c>
      <c r="J1977">
        <v>36</v>
      </c>
    </row>
    <row r="1978" spans="1:10" x14ac:dyDescent="0.3">
      <c r="A1978">
        <v>1879</v>
      </c>
      <c r="B1978" t="s">
        <v>31</v>
      </c>
      <c r="C1978" s="1">
        <v>45844</v>
      </c>
      <c r="D1978" t="s">
        <v>20</v>
      </c>
      <c r="E1978" t="s">
        <v>12</v>
      </c>
      <c r="F1978">
        <v>3</v>
      </c>
      <c r="G1978">
        <v>25</v>
      </c>
      <c r="H1978" t="s">
        <v>23</v>
      </c>
      <c r="I1978" t="s">
        <v>14</v>
      </c>
      <c r="J1978">
        <v>75</v>
      </c>
    </row>
    <row r="1979" spans="1:10" x14ac:dyDescent="0.3">
      <c r="A1979">
        <v>538</v>
      </c>
      <c r="B1979" t="s">
        <v>28</v>
      </c>
      <c r="C1979" s="1">
        <v>45871</v>
      </c>
      <c r="D1979" t="s">
        <v>20</v>
      </c>
      <c r="E1979" t="s">
        <v>17</v>
      </c>
      <c r="F1979">
        <v>5</v>
      </c>
      <c r="G1979">
        <v>12</v>
      </c>
      <c r="H1979" t="s">
        <v>21</v>
      </c>
      <c r="I1979" t="s">
        <v>25</v>
      </c>
      <c r="J1979">
        <v>60</v>
      </c>
    </row>
    <row r="1980" spans="1:10" x14ac:dyDescent="0.3">
      <c r="A1980">
        <v>413</v>
      </c>
      <c r="B1980" t="s">
        <v>10</v>
      </c>
      <c r="C1980" s="1">
        <v>45854</v>
      </c>
      <c r="D1980" t="s">
        <v>20</v>
      </c>
      <c r="E1980" t="s">
        <v>17</v>
      </c>
      <c r="F1980">
        <v>5</v>
      </c>
      <c r="G1980">
        <v>12</v>
      </c>
      <c r="H1980" t="s">
        <v>13</v>
      </c>
      <c r="I1980" t="s">
        <v>25</v>
      </c>
      <c r="J1980">
        <v>60</v>
      </c>
    </row>
    <row r="1981" spans="1:10" x14ac:dyDescent="0.3">
      <c r="A1981">
        <v>713</v>
      </c>
      <c r="B1981" t="s">
        <v>24</v>
      </c>
      <c r="C1981" s="1">
        <v>45851</v>
      </c>
      <c r="D1981" t="s">
        <v>20</v>
      </c>
      <c r="E1981" t="s">
        <v>17</v>
      </c>
      <c r="F1981">
        <v>5</v>
      </c>
      <c r="G1981">
        <v>12</v>
      </c>
      <c r="H1981" t="s">
        <v>23</v>
      </c>
      <c r="I1981" t="s">
        <v>14</v>
      </c>
      <c r="J1981">
        <v>60</v>
      </c>
    </row>
    <row r="1982" spans="1:10" x14ac:dyDescent="0.3">
      <c r="A1982">
        <v>1120</v>
      </c>
      <c r="B1982" t="s">
        <v>10</v>
      </c>
      <c r="C1982" s="1">
        <v>45867</v>
      </c>
      <c r="D1982" t="s">
        <v>16</v>
      </c>
      <c r="E1982" t="s">
        <v>17</v>
      </c>
      <c r="F1982">
        <v>5</v>
      </c>
      <c r="G1982">
        <v>12</v>
      </c>
      <c r="H1982" t="s">
        <v>21</v>
      </c>
      <c r="I1982" t="s">
        <v>14</v>
      </c>
      <c r="J1982">
        <v>60</v>
      </c>
    </row>
    <row r="1983" spans="1:10" x14ac:dyDescent="0.3">
      <c r="A1983">
        <v>561</v>
      </c>
      <c r="B1983" t="s">
        <v>31</v>
      </c>
      <c r="C1983" s="1">
        <v>45921</v>
      </c>
      <c r="D1983" t="s">
        <v>20</v>
      </c>
      <c r="E1983" t="s">
        <v>30</v>
      </c>
      <c r="F1983">
        <v>1</v>
      </c>
      <c r="G1983">
        <v>8</v>
      </c>
      <c r="H1983" t="s">
        <v>21</v>
      </c>
      <c r="I1983" t="s">
        <v>25</v>
      </c>
      <c r="J1983">
        <v>8</v>
      </c>
    </row>
    <row r="1984" spans="1:10" x14ac:dyDescent="0.3">
      <c r="A1984">
        <v>1</v>
      </c>
      <c r="B1984" t="s">
        <v>28</v>
      </c>
      <c r="C1984" s="1">
        <v>45905</v>
      </c>
      <c r="D1984" t="s">
        <v>11</v>
      </c>
      <c r="E1984" t="s">
        <v>17</v>
      </c>
      <c r="F1984">
        <v>2</v>
      </c>
      <c r="G1984">
        <v>12</v>
      </c>
      <c r="H1984" t="s">
        <v>21</v>
      </c>
      <c r="I1984" t="s">
        <v>18</v>
      </c>
      <c r="J1984">
        <v>24</v>
      </c>
    </row>
    <row r="1985" spans="1:10" x14ac:dyDescent="0.3">
      <c r="A1985">
        <v>647</v>
      </c>
      <c r="B1985" t="s">
        <v>15</v>
      </c>
      <c r="C1985" s="1">
        <v>45921</v>
      </c>
      <c r="D1985" t="s">
        <v>20</v>
      </c>
      <c r="E1985" t="s">
        <v>29</v>
      </c>
      <c r="F1985">
        <v>3</v>
      </c>
      <c r="G1985">
        <v>30</v>
      </c>
      <c r="H1985" t="s">
        <v>13</v>
      </c>
      <c r="I1985" t="s">
        <v>27</v>
      </c>
      <c r="J1985">
        <v>90</v>
      </c>
    </row>
    <row r="1986" spans="1:10" x14ac:dyDescent="0.3">
      <c r="A1986">
        <v>1793</v>
      </c>
      <c r="B1986" t="s">
        <v>28</v>
      </c>
      <c r="C1986" s="1">
        <v>45899</v>
      </c>
      <c r="D1986" t="s">
        <v>11</v>
      </c>
      <c r="E1986" t="s">
        <v>12</v>
      </c>
      <c r="F1986">
        <v>3</v>
      </c>
      <c r="G1986">
        <v>25</v>
      </c>
      <c r="H1986" t="s">
        <v>13</v>
      </c>
      <c r="I1986" t="s">
        <v>14</v>
      </c>
      <c r="J1986">
        <v>75</v>
      </c>
    </row>
    <row r="1987" spans="1:10" x14ac:dyDescent="0.3">
      <c r="A1987">
        <v>1551</v>
      </c>
      <c r="B1987" t="s">
        <v>15</v>
      </c>
      <c r="C1987" s="1">
        <v>45841</v>
      </c>
      <c r="D1987" t="s">
        <v>33</v>
      </c>
      <c r="E1987" t="s">
        <v>22</v>
      </c>
      <c r="F1987">
        <v>2</v>
      </c>
      <c r="G1987">
        <v>20</v>
      </c>
      <c r="H1987" t="s">
        <v>21</v>
      </c>
      <c r="I1987" t="s">
        <v>25</v>
      </c>
      <c r="J1987">
        <v>40</v>
      </c>
    </row>
    <row r="1988" spans="1:10" x14ac:dyDescent="0.3">
      <c r="A1988">
        <v>195</v>
      </c>
      <c r="B1988" t="s">
        <v>28</v>
      </c>
      <c r="C1988" s="1">
        <v>45892</v>
      </c>
      <c r="D1988" t="s">
        <v>33</v>
      </c>
      <c r="E1988" t="s">
        <v>17</v>
      </c>
      <c r="F1988">
        <v>4</v>
      </c>
      <c r="G1988">
        <v>12</v>
      </c>
      <c r="H1988" t="s">
        <v>21</v>
      </c>
      <c r="I1988" t="s">
        <v>14</v>
      </c>
      <c r="J1988">
        <v>48</v>
      </c>
    </row>
    <row r="1989" spans="1:10" x14ac:dyDescent="0.3">
      <c r="A1989">
        <v>139</v>
      </c>
      <c r="B1989" t="s">
        <v>28</v>
      </c>
      <c r="C1989" s="1">
        <v>45842</v>
      </c>
      <c r="D1989" t="s">
        <v>20</v>
      </c>
      <c r="E1989" t="s">
        <v>17</v>
      </c>
      <c r="F1989">
        <v>4</v>
      </c>
      <c r="G1989">
        <v>12</v>
      </c>
      <c r="H1989" t="s">
        <v>21</v>
      </c>
      <c r="I1989" t="s">
        <v>27</v>
      </c>
      <c r="J1989">
        <v>48</v>
      </c>
    </row>
    <row r="1990" spans="1:10" x14ac:dyDescent="0.3">
      <c r="A1990">
        <v>1062</v>
      </c>
      <c r="B1990" t="s">
        <v>15</v>
      </c>
      <c r="C1990" s="1">
        <v>45872</v>
      </c>
      <c r="D1990" t="s">
        <v>20</v>
      </c>
      <c r="E1990" t="s">
        <v>17</v>
      </c>
      <c r="F1990">
        <v>1</v>
      </c>
      <c r="G1990">
        <v>12</v>
      </c>
      <c r="H1990" t="s">
        <v>21</v>
      </c>
      <c r="I1990" t="s">
        <v>14</v>
      </c>
      <c r="J1990">
        <v>12</v>
      </c>
    </row>
    <row r="1991" spans="1:10" x14ac:dyDescent="0.3">
      <c r="A1991">
        <v>1720</v>
      </c>
      <c r="B1991" t="s">
        <v>24</v>
      </c>
      <c r="C1991" s="1">
        <v>45853</v>
      </c>
      <c r="D1991" t="s">
        <v>20</v>
      </c>
      <c r="E1991" t="s">
        <v>17</v>
      </c>
      <c r="F1991">
        <v>1</v>
      </c>
      <c r="G1991">
        <v>12</v>
      </c>
      <c r="H1991" t="s">
        <v>21</v>
      </c>
      <c r="I1991" t="s">
        <v>14</v>
      </c>
      <c r="J1991">
        <v>12</v>
      </c>
    </row>
    <row r="1992" spans="1:10" x14ac:dyDescent="0.3">
      <c r="A1992">
        <v>235</v>
      </c>
      <c r="B1992" t="s">
        <v>31</v>
      </c>
      <c r="C1992" s="1">
        <v>45856</v>
      </c>
      <c r="D1992" t="s">
        <v>33</v>
      </c>
      <c r="E1992" t="s">
        <v>30</v>
      </c>
      <c r="F1992">
        <v>5</v>
      </c>
      <c r="G1992">
        <v>8</v>
      </c>
      <c r="H1992" t="s">
        <v>21</v>
      </c>
      <c r="I1992" t="s">
        <v>25</v>
      </c>
      <c r="J1992">
        <v>40</v>
      </c>
    </row>
    <row r="1993" spans="1:10" x14ac:dyDescent="0.3">
      <c r="A1993">
        <v>1488</v>
      </c>
      <c r="B1993" t="s">
        <v>24</v>
      </c>
      <c r="C1993" s="1">
        <v>45923</v>
      </c>
      <c r="D1993" t="s">
        <v>11</v>
      </c>
      <c r="E1993" t="s">
        <v>17</v>
      </c>
      <c r="F1993">
        <v>4</v>
      </c>
      <c r="G1993">
        <v>12</v>
      </c>
      <c r="H1993" t="s">
        <v>21</v>
      </c>
      <c r="I1993" t="s">
        <v>18</v>
      </c>
      <c r="J1993">
        <v>48</v>
      </c>
    </row>
    <row r="1994" spans="1:10" x14ac:dyDescent="0.3">
      <c r="A1994">
        <v>303</v>
      </c>
      <c r="B1994" t="s">
        <v>32</v>
      </c>
      <c r="C1994" s="1">
        <v>45866</v>
      </c>
      <c r="D1994" t="s">
        <v>11</v>
      </c>
      <c r="E1994" t="s">
        <v>12</v>
      </c>
      <c r="F1994">
        <v>5</v>
      </c>
      <c r="G1994">
        <v>25</v>
      </c>
      <c r="H1994" t="s">
        <v>23</v>
      </c>
      <c r="I1994" t="s">
        <v>18</v>
      </c>
      <c r="J1994">
        <v>125</v>
      </c>
    </row>
    <row r="1995" spans="1:10" x14ac:dyDescent="0.3">
      <c r="A1995">
        <v>604</v>
      </c>
      <c r="B1995" t="s">
        <v>10</v>
      </c>
      <c r="C1995" s="1">
        <v>45872</v>
      </c>
      <c r="D1995" t="s">
        <v>33</v>
      </c>
      <c r="E1995" t="s">
        <v>17</v>
      </c>
      <c r="F1995">
        <v>1</v>
      </c>
      <c r="G1995">
        <v>12</v>
      </c>
      <c r="H1995" t="s">
        <v>13</v>
      </c>
      <c r="I1995" t="s">
        <v>25</v>
      </c>
      <c r="J1995">
        <v>12</v>
      </c>
    </row>
    <row r="1996" spans="1:10" x14ac:dyDescent="0.3">
      <c r="A1996">
        <v>1751</v>
      </c>
      <c r="B1996" t="s">
        <v>31</v>
      </c>
      <c r="C1996" s="1">
        <v>45928</v>
      </c>
      <c r="D1996" t="s">
        <v>11</v>
      </c>
      <c r="E1996" t="s">
        <v>22</v>
      </c>
      <c r="F1996">
        <v>2</v>
      </c>
      <c r="G1996">
        <v>20</v>
      </c>
      <c r="H1996" t="s">
        <v>21</v>
      </c>
      <c r="I1996" t="s">
        <v>18</v>
      </c>
      <c r="J1996">
        <v>40</v>
      </c>
    </row>
    <row r="1997" spans="1:10" x14ac:dyDescent="0.3">
      <c r="A1997">
        <v>503</v>
      </c>
      <c r="B1997" t="s">
        <v>15</v>
      </c>
      <c r="C1997" s="1">
        <v>45880</v>
      </c>
      <c r="D1997" t="s">
        <v>33</v>
      </c>
      <c r="E1997" t="s">
        <v>12</v>
      </c>
      <c r="F1997">
        <v>1</v>
      </c>
      <c r="G1997">
        <v>25</v>
      </c>
      <c r="H1997" t="s">
        <v>21</v>
      </c>
      <c r="I1997" t="s">
        <v>18</v>
      </c>
      <c r="J1997">
        <v>25</v>
      </c>
    </row>
    <row r="1998" spans="1:10" x14ac:dyDescent="0.3">
      <c r="A1998">
        <v>1433</v>
      </c>
      <c r="B1998" t="s">
        <v>10</v>
      </c>
      <c r="C1998" s="1">
        <v>45903</v>
      </c>
      <c r="D1998" t="s">
        <v>33</v>
      </c>
      <c r="E1998" t="s">
        <v>30</v>
      </c>
      <c r="F1998">
        <v>5</v>
      </c>
      <c r="G1998">
        <v>8</v>
      </c>
      <c r="H1998" t="s">
        <v>13</v>
      </c>
      <c r="I1998" t="s">
        <v>27</v>
      </c>
      <c r="J1998">
        <v>40</v>
      </c>
    </row>
    <row r="1999" spans="1:10" x14ac:dyDescent="0.3">
      <c r="A1999">
        <v>1872</v>
      </c>
      <c r="B1999" t="s">
        <v>15</v>
      </c>
      <c r="C1999" s="1">
        <v>45872</v>
      </c>
      <c r="D1999" t="s">
        <v>11</v>
      </c>
      <c r="E1999" t="s">
        <v>17</v>
      </c>
      <c r="F1999">
        <v>4</v>
      </c>
      <c r="G1999">
        <v>12</v>
      </c>
      <c r="H1999" t="s">
        <v>21</v>
      </c>
      <c r="I1999" t="s">
        <v>18</v>
      </c>
      <c r="J1999">
        <v>48</v>
      </c>
    </row>
    <row r="2000" spans="1:10" x14ac:dyDescent="0.3">
      <c r="A2000">
        <v>600</v>
      </c>
      <c r="B2000" t="s">
        <v>10</v>
      </c>
      <c r="C2000" s="1">
        <v>45906</v>
      </c>
      <c r="D2000" t="s">
        <v>11</v>
      </c>
      <c r="E2000" t="s">
        <v>17</v>
      </c>
      <c r="F2000">
        <v>3</v>
      </c>
      <c r="G2000">
        <v>12</v>
      </c>
      <c r="H2000" t="s">
        <v>23</v>
      </c>
      <c r="I2000" t="s">
        <v>18</v>
      </c>
      <c r="J2000">
        <v>36</v>
      </c>
    </row>
    <row r="2001" spans="1:10" x14ac:dyDescent="0.3">
      <c r="A2001">
        <v>1885</v>
      </c>
      <c r="B2001" t="s">
        <v>24</v>
      </c>
      <c r="C2001" s="1">
        <v>45891</v>
      </c>
      <c r="D2001" t="s">
        <v>20</v>
      </c>
      <c r="E2001" t="s">
        <v>22</v>
      </c>
      <c r="F2001">
        <v>2</v>
      </c>
      <c r="G2001">
        <v>20</v>
      </c>
      <c r="H2001" t="s">
        <v>21</v>
      </c>
      <c r="I2001" t="s">
        <v>18</v>
      </c>
      <c r="J2001">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2C29-950D-470A-A2C9-78CDA6D7E1C2}">
  <dimension ref="A2:K85"/>
  <sheetViews>
    <sheetView topLeftCell="C53" zoomScale="92" zoomScaleNormal="92" workbookViewId="0">
      <selection activeCell="O77" sqref="O77"/>
    </sheetView>
  </sheetViews>
  <sheetFormatPr defaultRowHeight="14.4" x14ac:dyDescent="0.3"/>
  <cols>
    <col min="1" max="1" width="13.109375" bestFit="1" customWidth="1"/>
    <col min="2" max="2" width="20.5546875" bestFit="1" customWidth="1"/>
    <col min="3" max="3" width="18.109375" bestFit="1" customWidth="1"/>
    <col min="4" max="4" width="20.5546875" bestFit="1" customWidth="1"/>
    <col min="5" max="5" width="10.88671875" bestFit="1" customWidth="1"/>
  </cols>
  <sheetData>
    <row r="2" spans="1:11" ht="18" x14ac:dyDescent="0.35">
      <c r="A2" s="7" t="s">
        <v>50</v>
      </c>
      <c r="B2" s="8"/>
      <c r="C2" s="8"/>
      <c r="G2" t="s">
        <v>67</v>
      </c>
      <c r="H2" t="s">
        <v>68</v>
      </c>
      <c r="I2" t="s">
        <v>69</v>
      </c>
      <c r="J2" t="s">
        <v>70</v>
      </c>
    </row>
    <row r="3" spans="1:11" x14ac:dyDescent="0.3">
      <c r="A3" s="4" t="s">
        <v>36</v>
      </c>
      <c r="B3" t="s">
        <v>39</v>
      </c>
      <c r="C3" t="s">
        <v>37</v>
      </c>
      <c r="F3" t="s">
        <v>57</v>
      </c>
      <c r="G3" s="6">
        <f>A4</f>
        <v>95765</v>
      </c>
      <c r="H3">
        <f>D13</f>
        <v>0</v>
      </c>
      <c r="I3">
        <f>D12</f>
        <v>30761</v>
      </c>
      <c r="J3" s="12">
        <f>(H3-I3)/I3</f>
        <v>-1</v>
      </c>
      <c r="K3" t="str">
        <f>IF(J3&gt;0,"▲","▼")&amp;TEXT(ABS(J3),"0%")&amp;" MoM"</f>
        <v>▼100% MoM</v>
      </c>
    </row>
    <row r="4" spans="1:11" x14ac:dyDescent="0.3">
      <c r="A4" s="6">
        <v>95765</v>
      </c>
      <c r="B4" s="5">
        <v>642</v>
      </c>
      <c r="C4" s="5">
        <v>1925</v>
      </c>
      <c r="F4" t="s">
        <v>65</v>
      </c>
      <c r="G4" s="5">
        <f>B4</f>
        <v>642</v>
      </c>
      <c r="H4">
        <f>B13</f>
        <v>0</v>
      </c>
      <c r="I4">
        <f>B12</f>
        <v>642</v>
      </c>
      <c r="J4" s="12">
        <f t="shared" ref="J4:J5" si="0">(H4-I4)/I4</f>
        <v>-1</v>
      </c>
      <c r="K4" t="str">
        <f t="shared" ref="K4:K5" si="1">IF(J4&gt;0,"▲","▼")&amp;TEXT(ABS(J4),"0%")&amp;" MoM"</f>
        <v>▼100% MoM</v>
      </c>
    </row>
    <row r="5" spans="1:11" x14ac:dyDescent="0.3">
      <c r="F5" t="s">
        <v>66</v>
      </c>
      <c r="G5" s="5">
        <f>C4</f>
        <v>1925</v>
      </c>
      <c r="H5">
        <f>C13</f>
        <v>0</v>
      </c>
      <c r="I5">
        <f>C12</f>
        <v>1925</v>
      </c>
      <c r="J5" s="12">
        <f t="shared" si="0"/>
        <v>-1</v>
      </c>
      <c r="K5" t="str">
        <f t="shared" si="1"/>
        <v>▼100% MoM</v>
      </c>
    </row>
    <row r="9" spans="1:11" ht="18" x14ac:dyDescent="0.35">
      <c r="A9" s="7" t="s">
        <v>51</v>
      </c>
      <c r="H9" t="s">
        <v>71</v>
      </c>
      <c r="I9" t="s">
        <v>72</v>
      </c>
      <c r="J9" t="s">
        <v>70</v>
      </c>
    </row>
    <row r="10" spans="1:11" x14ac:dyDescent="0.3">
      <c r="A10" s="2" t="s">
        <v>34</v>
      </c>
      <c r="B10" t="s">
        <v>39</v>
      </c>
      <c r="C10" t="s">
        <v>37</v>
      </c>
      <c r="D10" t="s">
        <v>36</v>
      </c>
      <c r="F10" t="s">
        <v>57</v>
      </c>
      <c r="H10">
        <v>34915</v>
      </c>
      <c r="I10">
        <v>30089</v>
      </c>
      <c r="J10" s="12">
        <f>(H10-I10)/I10</f>
        <v>0.16039084050649738</v>
      </c>
      <c r="K10" t="str">
        <f>IF(J10&gt;0,"▲","▼")&amp;TEXT(ABS(J10),"0%")&amp;" MoM"</f>
        <v>▲16% MoM</v>
      </c>
    </row>
    <row r="11" spans="1:11" x14ac:dyDescent="0.3">
      <c r="A11" s="3" t="s">
        <v>38</v>
      </c>
      <c r="B11" s="15">
        <v>642</v>
      </c>
      <c r="C11" s="15">
        <v>1925</v>
      </c>
      <c r="D11" s="15">
        <v>30761</v>
      </c>
      <c r="F11" t="s">
        <v>65</v>
      </c>
      <c r="H11">
        <v>720</v>
      </c>
      <c r="I11">
        <v>638</v>
      </c>
      <c r="J11" s="12">
        <f t="shared" ref="J11:J12" si="2">(H11-I11)/I11</f>
        <v>0.12852664576802508</v>
      </c>
      <c r="K11" t="str">
        <f t="shared" ref="K11:K12" si="3">IF(J11&gt;0,"▲","▼")&amp;TEXT(ABS(J11),"0%")&amp;" MoM"</f>
        <v>▲13% MoM</v>
      </c>
    </row>
    <row r="12" spans="1:11" x14ac:dyDescent="0.3">
      <c r="A12" s="3" t="s">
        <v>35</v>
      </c>
      <c r="B12" s="15">
        <v>642</v>
      </c>
      <c r="C12" s="15">
        <v>1925</v>
      </c>
      <c r="D12" s="15">
        <v>30761</v>
      </c>
      <c r="F12" t="s">
        <v>66</v>
      </c>
      <c r="H12">
        <v>2169</v>
      </c>
      <c r="I12">
        <v>1932</v>
      </c>
      <c r="J12" s="12">
        <f t="shared" si="2"/>
        <v>0.12267080745341614</v>
      </c>
      <c r="K12" t="str">
        <f t="shared" si="3"/>
        <v>▲12% MoM</v>
      </c>
    </row>
    <row r="17" spans="1:6" ht="18" x14ac:dyDescent="0.35">
      <c r="A17" s="9" t="s">
        <v>52</v>
      </c>
    </row>
    <row r="18" spans="1:6" x14ac:dyDescent="0.3">
      <c r="A18" s="2" t="s">
        <v>34</v>
      </c>
      <c r="B18" t="s">
        <v>36</v>
      </c>
      <c r="D18" t="s">
        <v>42</v>
      </c>
      <c r="E18" t="s">
        <v>57</v>
      </c>
      <c r="F18" t="s">
        <v>58</v>
      </c>
    </row>
    <row r="19" spans="1:6" x14ac:dyDescent="0.3">
      <c r="A19" s="3" t="s">
        <v>43</v>
      </c>
      <c r="B19" s="15">
        <v>4406</v>
      </c>
      <c r="D19" t="str" cm="1">
        <f t="array" ref="D19:E25">A19:B25</f>
        <v>Mon</v>
      </c>
      <c r="E19">
        <v>4406</v>
      </c>
      <c r="F19">
        <v>1500</v>
      </c>
    </row>
    <row r="20" spans="1:6" x14ac:dyDescent="0.3">
      <c r="A20" s="3" t="s">
        <v>44</v>
      </c>
      <c r="B20" s="15">
        <v>3872</v>
      </c>
      <c r="D20" t="str">
        <v>Tue</v>
      </c>
      <c r="E20">
        <v>3872</v>
      </c>
      <c r="F20">
        <v>1500</v>
      </c>
    </row>
    <row r="21" spans="1:6" x14ac:dyDescent="0.3">
      <c r="A21" s="3" t="s">
        <v>45</v>
      </c>
      <c r="B21" s="15">
        <v>3027</v>
      </c>
      <c r="D21" t="str">
        <v>Wed</v>
      </c>
      <c r="E21">
        <v>3027</v>
      </c>
      <c r="F21">
        <v>1500</v>
      </c>
    </row>
    <row r="22" spans="1:6" x14ac:dyDescent="0.3">
      <c r="A22" s="3" t="s">
        <v>46</v>
      </c>
      <c r="B22" s="15">
        <v>3047</v>
      </c>
      <c r="D22" t="str">
        <v>Thu</v>
      </c>
      <c r="E22">
        <v>3047</v>
      </c>
      <c r="F22">
        <v>1500</v>
      </c>
    </row>
    <row r="23" spans="1:6" x14ac:dyDescent="0.3">
      <c r="A23" s="3" t="s">
        <v>47</v>
      </c>
      <c r="B23" s="15">
        <v>2952</v>
      </c>
      <c r="D23" t="str">
        <v>Fri</v>
      </c>
      <c r="E23">
        <v>2952</v>
      </c>
      <c r="F23">
        <v>1500</v>
      </c>
    </row>
    <row r="24" spans="1:6" x14ac:dyDescent="0.3">
      <c r="A24" s="3" t="s">
        <v>48</v>
      </c>
      <c r="B24" s="15">
        <v>6666</v>
      </c>
      <c r="D24" t="str">
        <v>Sat</v>
      </c>
      <c r="E24">
        <v>6666</v>
      </c>
      <c r="F24">
        <v>1500</v>
      </c>
    </row>
    <row r="25" spans="1:6" x14ac:dyDescent="0.3">
      <c r="A25" s="3" t="s">
        <v>49</v>
      </c>
      <c r="B25" s="15">
        <v>6791</v>
      </c>
      <c r="D25" t="str">
        <v>Sun</v>
      </c>
      <c r="E25">
        <v>6791</v>
      </c>
      <c r="F25">
        <v>1500</v>
      </c>
    </row>
    <row r="26" spans="1:6" x14ac:dyDescent="0.3">
      <c r="A26" s="3" t="s">
        <v>35</v>
      </c>
      <c r="B26" s="15">
        <v>30761</v>
      </c>
    </row>
    <row r="29" spans="1:6" ht="18" x14ac:dyDescent="0.35">
      <c r="A29" s="9" t="s">
        <v>53</v>
      </c>
    </row>
    <row r="30" spans="1:6" x14ac:dyDescent="0.3">
      <c r="A30" s="2" t="s">
        <v>34</v>
      </c>
      <c r="B30" t="s">
        <v>36</v>
      </c>
      <c r="D30" t="s">
        <v>59</v>
      </c>
      <c r="E30" t="s">
        <v>57</v>
      </c>
      <c r="F30" t="s">
        <v>58</v>
      </c>
    </row>
    <row r="31" spans="1:6" x14ac:dyDescent="0.3">
      <c r="A31" s="3" t="s">
        <v>31</v>
      </c>
      <c r="B31" s="15">
        <v>2743</v>
      </c>
      <c r="D31" t="str" cm="1">
        <f t="array" ref="D31:E38">A31:B38</f>
        <v>The Flash</v>
      </c>
      <c r="E31">
        <v>2743</v>
      </c>
      <c r="F31">
        <v>1500</v>
      </c>
    </row>
    <row r="32" spans="1:6" x14ac:dyDescent="0.3">
      <c r="A32" s="3" t="s">
        <v>28</v>
      </c>
      <c r="B32" s="15">
        <v>2760</v>
      </c>
      <c r="D32" t="str">
        <v>Fast X</v>
      </c>
      <c r="E32">
        <v>2760</v>
      </c>
      <c r="F32">
        <v>1500</v>
      </c>
    </row>
    <row r="33" spans="1:6" x14ac:dyDescent="0.3">
      <c r="A33" s="3" t="s">
        <v>15</v>
      </c>
      <c r="B33" s="15">
        <v>3297</v>
      </c>
      <c r="D33" t="str">
        <v>Oppenheimer</v>
      </c>
      <c r="E33">
        <v>3297</v>
      </c>
      <c r="F33">
        <v>1500</v>
      </c>
    </row>
    <row r="34" spans="1:6" x14ac:dyDescent="0.3">
      <c r="A34" s="3" t="s">
        <v>32</v>
      </c>
      <c r="B34" s="15">
        <v>3612</v>
      </c>
      <c r="D34" t="str">
        <v>Mission Impossible 8</v>
      </c>
      <c r="E34">
        <v>3612</v>
      </c>
      <c r="F34">
        <v>1500</v>
      </c>
    </row>
    <row r="35" spans="1:6" x14ac:dyDescent="0.3">
      <c r="A35" s="3" t="s">
        <v>19</v>
      </c>
      <c r="B35" s="15">
        <v>3773</v>
      </c>
      <c r="D35" t="str">
        <v>John Wick 5</v>
      </c>
      <c r="E35">
        <v>3773</v>
      </c>
      <c r="F35">
        <v>1500</v>
      </c>
    </row>
    <row r="36" spans="1:6" x14ac:dyDescent="0.3">
      <c r="A36" s="3" t="s">
        <v>10</v>
      </c>
      <c r="B36" s="15">
        <v>3991</v>
      </c>
      <c r="D36" t="str">
        <v>Barbie</v>
      </c>
      <c r="E36">
        <v>3991</v>
      </c>
      <c r="F36">
        <v>1500</v>
      </c>
    </row>
    <row r="37" spans="1:6" x14ac:dyDescent="0.3">
      <c r="A37" s="3" t="s">
        <v>26</v>
      </c>
      <c r="B37" s="15">
        <v>4390</v>
      </c>
      <c r="D37" t="str">
        <v>Avatar 3</v>
      </c>
      <c r="E37">
        <v>4390</v>
      </c>
      <c r="F37">
        <v>1500</v>
      </c>
    </row>
    <row r="38" spans="1:6" x14ac:dyDescent="0.3">
      <c r="A38" s="3" t="s">
        <v>24</v>
      </c>
      <c r="B38" s="15">
        <v>6195</v>
      </c>
      <c r="D38" t="str">
        <v>Guardians of the Galaxy Vol. 4</v>
      </c>
      <c r="E38">
        <v>6195</v>
      </c>
      <c r="F38">
        <v>1500</v>
      </c>
    </row>
    <row r="39" spans="1:6" x14ac:dyDescent="0.3">
      <c r="A39" s="3" t="s">
        <v>35</v>
      </c>
      <c r="B39" s="15">
        <v>30761</v>
      </c>
    </row>
    <row r="46" spans="1:6" ht="18" x14ac:dyDescent="0.35">
      <c r="A46" s="9" t="s">
        <v>54</v>
      </c>
    </row>
    <row r="47" spans="1:6" x14ac:dyDescent="0.3">
      <c r="A47" s="2" t="s">
        <v>34</v>
      </c>
      <c r="B47" t="s">
        <v>36</v>
      </c>
      <c r="D47" t="s">
        <v>60</v>
      </c>
      <c r="E47" t="s">
        <v>57</v>
      </c>
    </row>
    <row r="48" spans="1:6" x14ac:dyDescent="0.3">
      <c r="A48" s="3" t="s">
        <v>14</v>
      </c>
      <c r="B48" s="15">
        <v>7702</v>
      </c>
      <c r="D48" t="str" cm="1">
        <f t="array" ref="D48:E51">A48:B51</f>
        <v>California</v>
      </c>
      <c r="E48" s="10">
        <v>7702</v>
      </c>
    </row>
    <row r="49" spans="1:6" x14ac:dyDescent="0.3">
      <c r="A49" s="3" t="s">
        <v>27</v>
      </c>
      <c r="B49" s="15">
        <v>6263</v>
      </c>
      <c r="D49" t="str">
        <v>Florida</v>
      </c>
      <c r="E49" s="10">
        <v>6263</v>
      </c>
    </row>
    <row r="50" spans="1:6" x14ac:dyDescent="0.3">
      <c r="A50" s="3" t="s">
        <v>18</v>
      </c>
      <c r="B50" s="15">
        <v>10972</v>
      </c>
      <c r="D50" t="str">
        <v>New York</v>
      </c>
      <c r="E50" s="10">
        <v>10972</v>
      </c>
    </row>
    <row r="51" spans="1:6" x14ac:dyDescent="0.3">
      <c r="A51" s="3" t="s">
        <v>25</v>
      </c>
      <c r="B51" s="15">
        <v>5824</v>
      </c>
      <c r="D51" t="str">
        <v>Texas</v>
      </c>
      <c r="E51" s="10">
        <v>5824</v>
      </c>
    </row>
    <row r="52" spans="1:6" x14ac:dyDescent="0.3">
      <c r="A52" s="3" t="s">
        <v>35</v>
      </c>
      <c r="B52" s="15">
        <v>30761</v>
      </c>
    </row>
    <row r="60" spans="1:6" ht="18" x14ac:dyDescent="0.35">
      <c r="A60" s="9" t="s">
        <v>56</v>
      </c>
      <c r="F60" s="12">
        <f>MAX(E62:E66)*1.2</f>
        <v>0.45561530830679264</v>
      </c>
    </row>
    <row r="61" spans="1:6" x14ac:dyDescent="0.3">
      <c r="A61" s="2" t="s">
        <v>34</v>
      </c>
      <c r="B61" t="s">
        <v>36</v>
      </c>
      <c r="D61" t="s">
        <v>61</v>
      </c>
      <c r="E61" t="s">
        <v>62</v>
      </c>
      <c r="F61" t="s">
        <v>58</v>
      </c>
    </row>
    <row r="62" spans="1:6" x14ac:dyDescent="0.3">
      <c r="A62" s="3" t="s">
        <v>22</v>
      </c>
      <c r="B62" s="11">
        <v>0.13282514488591865</v>
      </c>
      <c r="D62" t="str" cm="1">
        <f t="array" ref="D62:E66">A62:B66</f>
        <v>Couple</v>
      </c>
      <c r="E62" s="12">
        <v>0.13282514488591865</v>
      </c>
      <c r="F62" s="13">
        <f>$F$60-E62</f>
        <v>0.32279016342087397</v>
      </c>
    </row>
    <row r="63" spans="1:6" x14ac:dyDescent="0.3">
      <c r="A63" s="3" t="s">
        <v>29</v>
      </c>
      <c r="B63" s="11">
        <v>0.18702031013418263</v>
      </c>
      <c r="D63" t="str">
        <v>Family</v>
      </c>
      <c r="E63" s="12">
        <v>0.18702031013418263</v>
      </c>
      <c r="F63" s="13">
        <f t="shared" ref="F63:F66" si="4">$F$60-E63</f>
        <v>0.26859499817261001</v>
      </c>
    </row>
    <row r="64" spans="1:6" x14ac:dyDescent="0.3">
      <c r="A64" s="3" t="s">
        <v>17</v>
      </c>
      <c r="B64" s="11">
        <v>0.37967942358899387</v>
      </c>
      <c r="D64" t="str">
        <v>Regular</v>
      </c>
      <c r="E64" s="12">
        <v>0.37967942358899387</v>
      </c>
      <c r="F64" s="13">
        <f t="shared" si="4"/>
        <v>7.5935884717798774E-2</v>
      </c>
    </row>
    <row r="65" spans="1:6" x14ac:dyDescent="0.3">
      <c r="A65" s="3" t="s">
        <v>30</v>
      </c>
      <c r="B65" s="11">
        <v>7.5184044275048295E-2</v>
      </c>
      <c r="D65" t="str">
        <v>Student</v>
      </c>
      <c r="E65" s="12">
        <v>7.5184044275048295E-2</v>
      </c>
      <c r="F65" s="13">
        <f t="shared" si="4"/>
        <v>0.38043126403174432</v>
      </c>
    </row>
    <row r="66" spans="1:6" x14ac:dyDescent="0.3">
      <c r="A66" s="3" t="s">
        <v>12</v>
      </c>
      <c r="B66" s="11">
        <v>0.22529107711585653</v>
      </c>
      <c r="D66" t="str">
        <v>VIP</v>
      </c>
      <c r="E66" s="12">
        <v>0.22529107711585653</v>
      </c>
      <c r="F66" s="13">
        <f t="shared" si="4"/>
        <v>0.23032423119093612</v>
      </c>
    </row>
    <row r="67" spans="1:6" x14ac:dyDescent="0.3">
      <c r="A67" s="3" t="s">
        <v>35</v>
      </c>
      <c r="B67" s="11">
        <v>1</v>
      </c>
    </row>
    <row r="68" spans="1:6" x14ac:dyDescent="0.3">
      <c r="A68" s="3"/>
    </row>
    <row r="69" spans="1:6" x14ac:dyDescent="0.3">
      <c r="A69" s="3"/>
    </row>
    <row r="70" spans="1:6" x14ac:dyDescent="0.3">
      <c r="A70" s="3"/>
    </row>
    <row r="71" spans="1:6" x14ac:dyDescent="0.3">
      <c r="A71" s="3"/>
    </row>
    <row r="72" spans="1:6" x14ac:dyDescent="0.3">
      <c r="A72" s="3"/>
    </row>
    <row r="74" spans="1:6" ht="18" x14ac:dyDescent="0.35">
      <c r="A74" s="9" t="s">
        <v>55</v>
      </c>
    </row>
    <row r="75" spans="1:6" x14ac:dyDescent="0.3">
      <c r="A75" s="2" t="s">
        <v>34</v>
      </c>
      <c r="B75" t="s">
        <v>39</v>
      </c>
      <c r="D75" t="s">
        <v>63</v>
      </c>
      <c r="E75" t="s">
        <v>64</v>
      </c>
    </row>
    <row r="76" spans="1:6" x14ac:dyDescent="0.3">
      <c r="A76" s="3" t="s">
        <v>11</v>
      </c>
      <c r="B76">
        <v>978</v>
      </c>
      <c r="D76" t="str" cm="1">
        <f t="array" ref="D76:E79">A76:B79</f>
        <v>Evening</v>
      </c>
      <c r="E76">
        <v>978</v>
      </c>
    </row>
    <row r="77" spans="1:6" x14ac:dyDescent="0.3">
      <c r="A77" s="3" t="s">
        <v>16</v>
      </c>
      <c r="B77">
        <v>373</v>
      </c>
      <c r="D77" t="str">
        <v>Late Night</v>
      </c>
      <c r="E77">
        <v>373</v>
      </c>
    </row>
    <row r="78" spans="1:6" x14ac:dyDescent="0.3">
      <c r="A78" s="3" t="s">
        <v>20</v>
      </c>
      <c r="B78">
        <v>353</v>
      </c>
      <c r="D78" t="str">
        <v>Afternoon</v>
      </c>
      <c r="E78">
        <v>353</v>
      </c>
    </row>
    <row r="79" spans="1:6" x14ac:dyDescent="0.3">
      <c r="A79" s="3" t="s">
        <v>33</v>
      </c>
      <c r="B79">
        <v>296</v>
      </c>
      <c r="D79" t="str">
        <v>Morning</v>
      </c>
      <c r="E79">
        <v>296</v>
      </c>
    </row>
    <row r="80" spans="1:6" x14ac:dyDescent="0.3">
      <c r="A80" s="3" t="s">
        <v>35</v>
      </c>
      <c r="B80">
        <v>2000</v>
      </c>
    </row>
    <row r="81" spans="1:1" x14ac:dyDescent="0.3">
      <c r="A81" s="3"/>
    </row>
    <row r="82" spans="1:1" x14ac:dyDescent="0.3">
      <c r="A82" s="3"/>
    </row>
    <row r="83" spans="1:1" x14ac:dyDescent="0.3">
      <c r="A83" s="3"/>
    </row>
    <row r="84" spans="1:1" x14ac:dyDescent="0.3">
      <c r="A84" s="3"/>
    </row>
    <row r="85" spans="1:1" x14ac:dyDescent="0.3">
      <c r="A85" s="3"/>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1E98E-3C7D-4199-94B6-44817C9B66F3}">
  <dimension ref="A1"/>
  <sheetViews>
    <sheetView showGridLines="0" tabSelected="1" topLeftCell="D1" zoomScale="71" zoomScaleNormal="71" workbookViewId="0">
      <selection activeCell="S40" sqref="S40"/>
    </sheetView>
  </sheetViews>
  <sheetFormatPr defaultColWidth="8.77734375" defaultRowHeight="14.4" x14ac:dyDescent="0.3"/>
  <cols>
    <col min="1" max="16384" width="8.777343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C368D-BFB6-4E24-BA1A-316C09A13C56}">
  <dimension ref="A1:B4"/>
  <sheetViews>
    <sheetView workbookViewId="0"/>
  </sheetViews>
  <sheetFormatPr defaultRowHeight="14.4" x14ac:dyDescent="0.3"/>
  <cols>
    <col min="1" max="1" width="19.6640625" bestFit="1" customWidth="1"/>
    <col min="2" max="2" width="8.33203125" bestFit="1" customWidth="1"/>
    <col min="3" max="3" width="17.6640625" bestFit="1" customWidth="1"/>
  </cols>
  <sheetData>
    <row r="1" spans="1:2" x14ac:dyDescent="0.3">
      <c r="A1" s="2" t="s">
        <v>41</v>
      </c>
    </row>
    <row r="2" spans="1:2" x14ac:dyDescent="0.3">
      <c r="A2" s="3" t="s">
        <v>36</v>
      </c>
      <c r="B2" s="6">
        <v>95765</v>
      </c>
    </row>
    <row r="3" spans="1:2" x14ac:dyDescent="0.3">
      <c r="A3" s="3" t="s">
        <v>39</v>
      </c>
      <c r="B3" s="5">
        <v>2000</v>
      </c>
    </row>
    <row r="4" spans="1:2" x14ac:dyDescent="0.3">
      <c r="A4" s="3" t="s">
        <v>37</v>
      </c>
      <c r="B4" s="5">
        <v>6026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4934-CDB3-409C-AC93-A4770E32236B}">
  <dimension ref="A1:L2001"/>
  <sheetViews>
    <sheetView workbookViewId="0">
      <selection activeCell="D2" sqref="D2"/>
    </sheetView>
  </sheetViews>
  <sheetFormatPr defaultRowHeight="14.4" x14ac:dyDescent="0.3"/>
  <cols>
    <col min="1" max="1" width="10.88671875" customWidth="1"/>
    <col min="2" max="2" width="26.21875" bestFit="1" customWidth="1"/>
    <col min="3" max="3" width="12.33203125" style="1" customWidth="1"/>
    <col min="4" max="5" width="16.5546875" style="1" customWidth="1"/>
    <col min="6" max="6" width="12.44140625" customWidth="1"/>
    <col min="7" max="7" width="16.21875" customWidth="1"/>
    <col min="8" max="8" width="13.21875" customWidth="1"/>
    <col min="9" max="9" width="12.88671875" customWidth="1"/>
    <col min="10" max="10" width="18" customWidth="1"/>
    <col min="11" max="11" width="15.88671875" customWidth="1"/>
    <col min="12" max="12" width="15.21875" customWidth="1"/>
  </cols>
  <sheetData>
    <row r="1" spans="1:12" x14ac:dyDescent="0.3">
      <c r="A1" t="s">
        <v>0</v>
      </c>
      <c r="B1" t="s">
        <v>1</v>
      </c>
      <c r="C1" s="1" t="s">
        <v>2</v>
      </c>
      <c r="D1" s="1" t="s">
        <v>40</v>
      </c>
      <c r="E1" s="1" t="s">
        <v>42</v>
      </c>
      <c r="F1" t="s">
        <v>3</v>
      </c>
      <c r="G1" t="s">
        <v>4</v>
      </c>
      <c r="H1" t="s">
        <v>5</v>
      </c>
      <c r="I1" t="s">
        <v>6</v>
      </c>
      <c r="J1" t="s">
        <v>7</v>
      </c>
      <c r="K1" t="s">
        <v>8</v>
      </c>
      <c r="L1" t="s">
        <v>9</v>
      </c>
    </row>
    <row r="2" spans="1:12" x14ac:dyDescent="0.3">
      <c r="A2">
        <v>1354</v>
      </c>
      <c r="B2" t="s">
        <v>10</v>
      </c>
      <c r="C2" s="1">
        <v>45886</v>
      </c>
      <c r="D2" s="1" t="str">
        <f>TEXT(FMData[[#This Row],[Show_Date]],"mmm")</f>
        <v>Aug</v>
      </c>
      <c r="E2" s="1" t="str">
        <f>TEXT(FMData[[#This Row],[Show_Date]],"ddd")</f>
        <v>Sun</v>
      </c>
      <c r="F2" t="s">
        <v>11</v>
      </c>
      <c r="G2" t="s">
        <v>12</v>
      </c>
      <c r="H2">
        <v>4</v>
      </c>
      <c r="I2">
        <v>25</v>
      </c>
      <c r="J2" t="s">
        <v>13</v>
      </c>
      <c r="K2" t="s">
        <v>14</v>
      </c>
      <c r="L2">
        <v>100</v>
      </c>
    </row>
    <row r="3" spans="1:12" x14ac:dyDescent="0.3">
      <c r="A3">
        <v>1890</v>
      </c>
      <c r="B3" t="s">
        <v>15</v>
      </c>
      <c r="C3" s="1">
        <v>45849</v>
      </c>
      <c r="D3" s="1" t="str">
        <f>TEXT(FMData[[#This Row],[Show_Date]],"mmm")</f>
        <v>Jul</v>
      </c>
      <c r="E3" s="1" t="str">
        <f>TEXT(FMData[[#This Row],[Show_Date]],"ddd")</f>
        <v>Fri</v>
      </c>
      <c r="F3" t="s">
        <v>16</v>
      </c>
      <c r="G3" t="s">
        <v>17</v>
      </c>
      <c r="H3">
        <v>5</v>
      </c>
      <c r="I3">
        <v>12</v>
      </c>
      <c r="J3" t="s">
        <v>13</v>
      </c>
      <c r="K3" t="s">
        <v>18</v>
      </c>
      <c r="L3">
        <v>60</v>
      </c>
    </row>
    <row r="4" spans="1:12" x14ac:dyDescent="0.3">
      <c r="A4">
        <v>386</v>
      </c>
      <c r="B4" t="s">
        <v>19</v>
      </c>
      <c r="C4" s="1">
        <v>45906</v>
      </c>
      <c r="D4" s="1" t="str">
        <f>TEXT(FMData[[#This Row],[Show_Date]],"mmm")</f>
        <v>Sep</v>
      </c>
      <c r="E4" s="1" t="str">
        <f>TEXT(FMData[[#This Row],[Show_Date]],"ddd")</f>
        <v>Sat</v>
      </c>
      <c r="F4" t="s">
        <v>20</v>
      </c>
      <c r="G4" t="s">
        <v>12</v>
      </c>
      <c r="H4">
        <v>1</v>
      </c>
      <c r="I4">
        <v>25</v>
      </c>
      <c r="J4" t="s">
        <v>21</v>
      </c>
      <c r="K4" t="s">
        <v>18</v>
      </c>
      <c r="L4">
        <v>25</v>
      </c>
    </row>
    <row r="5" spans="1:12" x14ac:dyDescent="0.3">
      <c r="A5">
        <v>1406</v>
      </c>
      <c r="B5" t="s">
        <v>19</v>
      </c>
      <c r="C5" s="1">
        <v>45881</v>
      </c>
      <c r="D5" s="1" t="str">
        <f>TEXT(FMData[[#This Row],[Show_Date]],"mmm")</f>
        <v>Aug</v>
      </c>
      <c r="E5" s="1" t="str">
        <f>TEXT(FMData[[#This Row],[Show_Date]],"ddd")</f>
        <v>Tue</v>
      </c>
      <c r="F5" t="s">
        <v>11</v>
      </c>
      <c r="G5" t="s">
        <v>22</v>
      </c>
      <c r="H5">
        <v>5</v>
      </c>
      <c r="I5">
        <v>20</v>
      </c>
      <c r="J5" t="s">
        <v>23</v>
      </c>
      <c r="K5" t="s">
        <v>18</v>
      </c>
      <c r="L5">
        <v>100</v>
      </c>
    </row>
    <row r="6" spans="1:12" x14ac:dyDescent="0.3">
      <c r="A6">
        <v>1425</v>
      </c>
      <c r="B6" t="s">
        <v>19</v>
      </c>
      <c r="C6" s="1">
        <v>45891</v>
      </c>
      <c r="D6" s="1" t="str">
        <f>TEXT(FMData[[#This Row],[Show_Date]],"mmm")</f>
        <v>Aug</v>
      </c>
      <c r="E6" s="1" t="str">
        <f>TEXT(FMData[[#This Row],[Show_Date]],"ddd")</f>
        <v>Fri</v>
      </c>
      <c r="F6" t="s">
        <v>11</v>
      </c>
      <c r="G6" t="s">
        <v>22</v>
      </c>
      <c r="H6">
        <v>2</v>
      </c>
      <c r="I6">
        <v>20</v>
      </c>
      <c r="J6" t="s">
        <v>21</v>
      </c>
      <c r="K6" t="s">
        <v>14</v>
      </c>
      <c r="L6">
        <v>40</v>
      </c>
    </row>
    <row r="7" spans="1:12" x14ac:dyDescent="0.3">
      <c r="A7">
        <v>39</v>
      </c>
      <c r="B7" t="s">
        <v>24</v>
      </c>
      <c r="C7" s="1">
        <v>45859</v>
      </c>
      <c r="D7" s="1" t="str">
        <f>TEXT(FMData[[#This Row],[Show_Date]],"mmm")</f>
        <v>Jul</v>
      </c>
      <c r="E7" s="1" t="str">
        <f>TEXT(FMData[[#This Row],[Show_Date]],"ddd")</f>
        <v>Mon</v>
      </c>
      <c r="F7" t="s">
        <v>20</v>
      </c>
      <c r="G7" t="s">
        <v>17</v>
      </c>
      <c r="H7">
        <v>4</v>
      </c>
      <c r="I7">
        <v>12</v>
      </c>
      <c r="J7" t="s">
        <v>13</v>
      </c>
      <c r="K7" t="s">
        <v>25</v>
      </c>
      <c r="L7">
        <v>48</v>
      </c>
    </row>
    <row r="8" spans="1:12" x14ac:dyDescent="0.3">
      <c r="A8">
        <v>1412</v>
      </c>
      <c r="B8" t="s">
        <v>26</v>
      </c>
      <c r="C8" s="1">
        <v>45906</v>
      </c>
      <c r="D8" s="1" t="str">
        <f>TEXT(FMData[[#This Row],[Show_Date]],"mmm")</f>
        <v>Sep</v>
      </c>
      <c r="E8" s="1" t="str">
        <f>TEXT(FMData[[#This Row],[Show_Date]],"ddd")</f>
        <v>Sat</v>
      </c>
      <c r="F8" t="s">
        <v>11</v>
      </c>
      <c r="G8" t="s">
        <v>17</v>
      </c>
      <c r="H8">
        <v>2</v>
      </c>
      <c r="I8">
        <v>12</v>
      </c>
      <c r="J8" t="s">
        <v>23</v>
      </c>
      <c r="K8" t="s">
        <v>25</v>
      </c>
      <c r="L8">
        <v>24</v>
      </c>
    </row>
    <row r="9" spans="1:12" x14ac:dyDescent="0.3">
      <c r="A9">
        <v>1845</v>
      </c>
      <c r="B9" t="s">
        <v>10</v>
      </c>
      <c r="C9" s="1">
        <v>45862</v>
      </c>
      <c r="D9" s="1" t="str">
        <f>TEXT(FMData[[#This Row],[Show_Date]],"mmm")</f>
        <v>Jul</v>
      </c>
      <c r="E9" s="1" t="str">
        <f>TEXT(FMData[[#This Row],[Show_Date]],"ddd")</f>
        <v>Thu</v>
      </c>
      <c r="F9" t="s">
        <v>20</v>
      </c>
      <c r="G9" t="s">
        <v>17</v>
      </c>
      <c r="H9">
        <v>1</v>
      </c>
      <c r="I9">
        <v>12</v>
      </c>
      <c r="J9" t="s">
        <v>21</v>
      </c>
      <c r="K9" t="s">
        <v>27</v>
      </c>
      <c r="L9">
        <v>12</v>
      </c>
    </row>
    <row r="10" spans="1:12" x14ac:dyDescent="0.3">
      <c r="A10">
        <v>1285</v>
      </c>
      <c r="B10" t="s">
        <v>28</v>
      </c>
      <c r="C10" s="1">
        <v>45846</v>
      </c>
      <c r="D10" s="1" t="str">
        <f>TEXT(FMData[[#This Row],[Show_Date]],"mmm")</f>
        <v>Jul</v>
      </c>
      <c r="E10" s="1" t="str">
        <f>TEXT(FMData[[#This Row],[Show_Date]],"ddd")</f>
        <v>Tue</v>
      </c>
      <c r="F10" t="s">
        <v>20</v>
      </c>
      <c r="G10" t="s">
        <v>17</v>
      </c>
      <c r="H10">
        <v>4</v>
      </c>
      <c r="I10">
        <v>12</v>
      </c>
      <c r="J10" t="s">
        <v>21</v>
      </c>
      <c r="K10" t="s">
        <v>27</v>
      </c>
      <c r="L10">
        <v>48</v>
      </c>
    </row>
    <row r="11" spans="1:12" x14ac:dyDescent="0.3">
      <c r="A11">
        <v>1223</v>
      </c>
      <c r="B11" t="s">
        <v>24</v>
      </c>
      <c r="C11" s="1">
        <v>45871</v>
      </c>
      <c r="D11" s="1" t="str">
        <f>TEXT(FMData[[#This Row],[Show_Date]],"mmm")</f>
        <v>Aug</v>
      </c>
      <c r="E11" s="1" t="str">
        <f>TEXT(FMData[[#This Row],[Show_Date]],"ddd")</f>
        <v>Sat</v>
      </c>
      <c r="F11" t="s">
        <v>20</v>
      </c>
      <c r="G11" t="s">
        <v>17</v>
      </c>
      <c r="H11">
        <v>5</v>
      </c>
      <c r="I11">
        <v>12</v>
      </c>
      <c r="J11" t="s">
        <v>23</v>
      </c>
      <c r="K11" t="s">
        <v>18</v>
      </c>
      <c r="L11">
        <v>60</v>
      </c>
    </row>
    <row r="12" spans="1:12" x14ac:dyDescent="0.3">
      <c r="A12">
        <v>1471</v>
      </c>
      <c r="B12" t="s">
        <v>15</v>
      </c>
      <c r="C12" s="1">
        <v>45892</v>
      </c>
      <c r="D12" s="1" t="str">
        <f>TEXT(FMData[[#This Row],[Show_Date]],"mmm")</f>
        <v>Aug</v>
      </c>
      <c r="E12" s="1" t="str">
        <f>TEXT(FMData[[#This Row],[Show_Date]],"ddd")</f>
        <v>Sat</v>
      </c>
      <c r="F12" t="s">
        <v>16</v>
      </c>
      <c r="G12" t="s">
        <v>17</v>
      </c>
      <c r="H12">
        <v>1</v>
      </c>
      <c r="I12">
        <v>12</v>
      </c>
      <c r="J12" t="s">
        <v>21</v>
      </c>
      <c r="K12" t="s">
        <v>14</v>
      </c>
      <c r="L12">
        <v>12</v>
      </c>
    </row>
    <row r="13" spans="1:12" x14ac:dyDescent="0.3">
      <c r="A13">
        <v>506</v>
      </c>
      <c r="B13" t="s">
        <v>24</v>
      </c>
      <c r="C13" s="1">
        <v>45914</v>
      </c>
      <c r="D13" s="1" t="str">
        <f>TEXT(FMData[[#This Row],[Show_Date]],"mmm")</f>
        <v>Sep</v>
      </c>
      <c r="E13" s="1" t="str">
        <f>TEXT(FMData[[#This Row],[Show_Date]],"ddd")</f>
        <v>Sun</v>
      </c>
      <c r="F13" t="s">
        <v>11</v>
      </c>
      <c r="G13" t="s">
        <v>17</v>
      </c>
      <c r="H13">
        <v>4</v>
      </c>
      <c r="I13">
        <v>12</v>
      </c>
      <c r="J13" t="s">
        <v>13</v>
      </c>
      <c r="K13" t="s">
        <v>27</v>
      </c>
      <c r="L13">
        <v>48</v>
      </c>
    </row>
    <row r="14" spans="1:12" x14ac:dyDescent="0.3">
      <c r="A14">
        <v>357</v>
      </c>
      <c r="B14" t="s">
        <v>24</v>
      </c>
      <c r="C14" s="1">
        <v>45866</v>
      </c>
      <c r="D14" s="1" t="str">
        <f>TEXT(FMData[[#This Row],[Show_Date]],"mmm")</f>
        <v>Jul</v>
      </c>
      <c r="E14" s="1" t="str">
        <f>TEXT(FMData[[#This Row],[Show_Date]],"ddd")</f>
        <v>Mon</v>
      </c>
      <c r="F14" t="s">
        <v>11</v>
      </c>
      <c r="G14" t="s">
        <v>29</v>
      </c>
      <c r="H14">
        <v>4</v>
      </c>
      <c r="I14">
        <v>30</v>
      </c>
      <c r="J14" t="s">
        <v>21</v>
      </c>
      <c r="K14" t="s">
        <v>18</v>
      </c>
      <c r="L14">
        <v>120</v>
      </c>
    </row>
    <row r="15" spans="1:12" x14ac:dyDescent="0.3">
      <c r="A15">
        <v>774</v>
      </c>
      <c r="B15" t="s">
        <v>24</v>
      </c>
      <c r="C15" s="1">
        <v>45923</v>
      </c>
      <c r="D15" s="1" t="str">
        <f>TEXT(FMData[[#This Row],[Show_Date]],"mmm")</f>
        <v>Sep</v>
      </c>
      <c r="E15" s="1" t="str">
        <f>TEXT(FMData[[#This Row],[Show_Date]],"ddd")</f>
        <v>Tue</v>
      </c>
      <c r="F15" t="s">
        <v>11</v>
      </c>
      <c r="G15" t="s">
        <v>17</v>
      </c>
      <c r="H15">
        <v>1</v>
      </c>
      <c r="I15">
        <v>12</v>
      </c>
      <c r="J15" t="s">
        <v>23</v>
      </c>
      <c r="K15" t="s">
        <v>14</v>
      </c>
      <c r="L15">
        <v>12</v>
      </c>
    </row>
    <row r="16" spans="1:12" x14ac:dyDescent="0.3">
      <c r="A16">
        <v>639</v>
      </c>
      <c r="B16" t="s">
        <v>24</v>
      </c>
      <c r="C16" s="1">
        <v>45916</v>
      </c>
      <c r="D16" s="1" t="str">
        <f>TEXT(FMData[[#This Row],[Show_Date]],"mmm")</f>
        <v>Sep</v>
      </c>
      <c r="E16" s="1" t="str">
        <f>TEXT(FMData[[#This Row],[Show_Date]],"ddd")</f>
        <v>Tue</v>
      </c>
      <c r="F16" t="s">
        <v>11</v>
      </c>
      <c r="G16" t="s">
        <v>29</v>
      </c>
      <c r="H16">
        <v>5</v>
      </c>
      <c r="I16">
        <v>30</v>
      </c>
      <c r="J16" t="s">
        <v>23</v>
      </c>
      <c r="K16" t="s">
        <v>27</v>
      </c>
      <c r="L16">
        <v>150</v>
      </c>
    </row>
    <row r="17" spans="1:12" x14ac:dyDescent="0.3">
      <c r="A17">
        <v>1153</v>
      </c>
      <c r="B17" t="s">
        <v>24</v>
      </c>
      <c r="C17" s="1">
        <v>45851</v>
      </c>
      <c r="D17" s="1" t="str">
        <f>TEXT(FMData[[#This Row],[Show_Date]],"mmm")</f>
        <v>Jul</v>
      </c>
      <c r="E17" s="1" t="str">
        <f>TEXT(FMData[[#This Row],[Show_Date]],"ddd")</f>
        <v>Sun</v>
      </c>
      <c r="F17" t="s">
        <v>11</v>
      </c>
      <c r="G17" t="s">
        <v>30</v>
      </c>
      <c r="H17">
        <v>2</v>
      </c>
      <c r="I17">
        <v>8</v>
      </c>
      <c r="J17" t="s">
        <v>23</v>
      </c>
      <c r="K17" t="s">
        <v>14</v>
      </c>
      <c r="L17">
        <v>16</v>
      </c>
    </row>
    <row r="18" spans="1:12" x14ac:dyDescent="0.3">
      <c r="A18">
        <v>1016</v>
      </c>
      <c r="B18" t="s">
        <v>24</v>
      </c>
      <c r="C18" s="1">
        <v>45880</v>
      </c>
      <c r="D18" s="1" t="str">
        <f>TEXT(FMData[[#This Row],[Show_Date]],"mmm")</f>
        <v>Aug</v>
      </c>
      <c r="E18" s="1" t="str">
        <f>TEXT(FMData[[#This Row],[Show_Date]],"ddd")</f>
        <v>Mon</v>
      </c>
      <c r="F18" t="s">
        <v>16</v>
      </c>
      <c r="G18" t="s">
        <v>17</v>
      </c>
      <c r="H18">
        <v>1</v>
      </c>
      <c r="I18">
        <v>12</v>
      </c>
      <c r="J18" t="s">
        <v>23</v>
      </c>
      <c r="K18" t="s">
        <v>14</v>
      </c>
      <c r="L18">
        <v>12</v>
      </c>
    </row>
    <row r="19" spans="1:12" x14ac:dyDescent="0.3">
      <c r="A19">
        <v>1098</v>
      </c>
      <c r="B19" t="s">
        <v>24</v>
      </c>
      <c r="C19" s="1">
        <v>45872</v>
      </c>
      <c r="D19" s="1" t="str">
        <f>TEXT(FMData[[#This Row],[Show_Date]],"mmm")</f>
        <v>Aug</v>
      </c>
      <c r="E19" s="1" t="str">
        <f>TEXT(FMData[[#This Row],[Show_Date]],"ddd")</f>
        <v>Sun</v>
      </c>
      <c r="F19" t="s">
        <v>16</v>
      </c>
      <c r="G19" t="s">
        <v>17</v>
      </c>
      <c r="H19">
        <v>4</v>
      </c>
      <c r="I19">
        <v>12</v>
      </c>
      <c r="J19" t="s">
        <v>13</v>
      </c>
      <c r="K19" t="s">
        <v>14</v>
      </c>
      <c r="L19">
        <v>48</v>
      </c>
    </row>
    <row r="20" spans="1:12" x14ac:dyDescent="0.3">
      <c r="A20">
        <v>352</v>
      </c>
      <c r="B20" t="s">
        <v>24</v>
      </c>
      <c r="C20" s="1">
        <v>45851</v>
      </c>
      <c r="D20" s="1" t="str">
        <f>TEXT(FMData[[#This Row],[Show_Date]],"mmm")</f>
        <v>Jul</v>
      </c>
      <c r="E20" s="1" t="str">
        <f>TEXT(FMData[[#This Row],[Show_Date]],"ddd")</f>
        <v>Sun</v>
      </c>
      <c r="F20" t="s">
        <v>11</v>
      </c>
      <c r="G20" t="s">
        <v>29</v>
      </c>
      <c r="H20">
        <v>1</v>
      </c>
      <c r="I20">
        <v>30</v>
      </c>
      <c r="J20" t="s">
        <v>23</v>
      </c>
      <c r="K20" t="s">
        <v>27</v>
      </c>
      <c r="L20">
        <v>30</v>
      </c>
    </row>
    <row r="21" spans="1:12" x14ac:dyDescent="0.3">
      <c r="A21">
        <v>9</v>
      </c>
      <c r="B21" t="s">
        <v>28</v>
      </c>
      <c r="C21" s="1">
        <v>45925</v>
      </c>
      <c r="D21" s="1" t="str">
        <f>TEXT(FMData[[#This Row],[Show_Date]],"mmm")</f>
        <v>Sep</v>
      </c>
      <c r="E21" s="1" t="str">
        <f>TEXT(FMData[[#This Row],[Show_Date]],"ddd")</f>
        <v>Thu</v>
      </c>
      <c r="F21" t="s">
        <v>11</v>
      </c>
      <c r="G21" t="s">
        <v>17</v>
      </c>
      <c r="H21">
        <v>4</v>
      </c>
      <c r="I21">
        <v>12</v>
      </c>
      <c r="J21" t="s">
        <v>23</v>
      </c>
      <c r="K21" t="s">
        <v>18</v>
      </c>
      <c r="L21">
        <v>48</v>
      </c>
    </row>
    <row r="22" spans="1:12" x14ac:dyDescent="0.3">
      <c r="A22">
        <v>182</v>
      </c>
      <c r="B22" t="s">
        <v>28</v>
      </c>
      <c r="C22" s="1">
        <v>45893</v>
      </c>
      <c r="D22" s="1" t="str">
        <f>TEXT(FMData[[#This Row],[Show_Date]],"mmm")</f>
        <v>Aug</v>
      </c>
      <c r="E22" s="1" t="str">
        <f>TEXT(FMData[[#This Row],[Show_Date]],"ddd")</f>
        <v>Sun</v>
      </c>
      <c r="F22" t="s">
        <v>11</v>
      </c>
      <c r="G22" t="s">
        <v>17</v>
      </c>
      <c r="H22">
        <v>1</v>
      </c>
      <c r="I22">
        <v>12</v>
      </c>
      <c r="J22" t="s">
        <v>21</v>
      </c>
      <c r="K22" t="s">
        <v>14</v>
      </c>
      <c r="L22">
        <v>12</v>
      </c>
    </row>
    <row r="23" spans="1:12" x14ac:dyDescent="0.3">
      <c r="A23">
        <v>1353</v>
      </c>
      <c r="B23" t="s">
        <v>28</v>
      </c>
      <c r="C23" s="1">
        <v>45886</v>
      </c>
      <c r="D23" s="1" t="str">
        <f>TEXT(FMData[[#This Row],[Show_Date]],"mmm")</f>
        <v>Aug</v>
      </c>
      <c r="E23" s="1" t="str">
        <f>TEXT(FMData[[#This Row],[Show_Date]],"ddd")</f>
        <v>Sun</v>
      </c>
      <c r="F23" t="s">
        <v>11</v>
      </c>
      <c r="G23" t="s">
        <v>29</v>
      </c>
      <c r="H23">
        <v>1</v>
      </c>
      <c r="I23">
        <v>30</v>
      </c>
      <c r="J23" t="s">
        <v>13</v>
      </c>
      <c r="K23" t="s">
        <v>18</v>
      </c>
      <c r="L23">
        <v>30</v>
      </c>
    </row>
    <row r="24" spans="1:12" x14ac:dyDescent="0.3">
      <c r="A24">
        <v>1724</v>
      </c>
      <c r="B24" t="s">
        <v>26</v>
      </c>
      <c r="C24" s="1">
        <v>45924</v>
      </c>
      <c r="D24" s="1" t="str">
        <f>TEXT(FMData[[#This Row],[Show_Date]],"mmm")</f>
        <v>Sep</v>
      </c>
      <c r="E24" s="1" t="str">
        <f>TEXT(FMData[[#This Row],[Show_Date]],"ddd")</f>
        <v>Wed</v>
      </c>
      <c r="F24" t="s">
        <v>11</v>
      </c>
      <c r="G24" t="s">
        <v>17</v>
      </c>
      <c r="H24">
        <v>4</v>
      </c>
      <c r="I24">
        <v>12</v>
      </c>
      <c r="J24" t="s">
        <v>23</v>
      </c>
      <c r="K24" t="s">
        <v>25</v>
      </c>
      <c r="L24">
        <v>48</v>
      </c>
    </row>
    <row r="25" spans="1:12" x14ac:dyDescent="0.3">
      <c r="A25">
        <v>884</v>
      </c>
      <c r="B25" t="s">
        <v>19</v>
      </c>
      <c r="C25" s="1">
        <v>45881</v>
      </c>
      <c r="D25" s="1" t="str">
        <f>TEXT(FMData[[#This Row],[Show_Date]],"mmm")</f>
        <v>Aug</v>
      </c>
      <c r="E25" s="1" t="str">
        <f>TEXT(FMData[[#This Row],[Show_Date]],"ddd")</f>
        <v>Tue</v>
      </c>
      <c r="F25" t="s">
        <v>11</v>
      </c>
      <c r="G25" t="s">
        <v>17</v>
      </c>
      <c r="H25">
        <v>1</v>
      </c>
      <c r="I25">
        <v>12</v>
      </c>
      <c r="J25" t="s">
        <v>23</v>
      </c>
      <c r="K25" t="s">
        <v>18</v>
      </c>
      <c r="L25">
        <v>12</v>
      </c>
    </row>
    <row r="26" spans="1:12" x14ac:dyDescent="0.3">
      <c r="A26">
        <v>958</v>
      </c>
      <c r="B26" t="s">
        <v>24</v>
      </c>
      <c r="C26" s="1">
        <v>45887</v>
      </c>
      <c r="D26" s="1" t="str">
        <f>TEXT(FMData[[#This Row],[Show_Date]],"mmm")</f>
        <v>Aug</v>
      </c>
      <c r="E26" s="1" t="str">
        <f>TEXT(FMData[[#This Row],[Show_Date]],"ddd")</f>
        <v>Mon</v>
      </c>
      <c r="F26" t="s">
        <v>11</v>
      </c>
      <c r="G26" t="s">
        <v>22</v>
      </c>
      <c r="H26">
        <v>2</v>
      </c>
      <c r="I26">
        <v>20</v>
      </c>
      <c r="J26" t="s">
        <v>13</v>
      </c>
      <c r="K26" t="s">
        <v>18</v>
      </c>
      <c r="L26">
        <v>40</v>
      </c>
    </row>
    <row r="27" spans="1:12" x14ac:dyDescent="0.3">
      <c r="A27">
        <v>267</v>
      </c>
      <c r="B27" t="s">
        <v>31</v>
      </c>
      <c r="C27" s="1">
        <v>45851</v>
      </c>
      <c r="D27" s="1" t="str">
        <f>TEXT(FMData[[#This Row],[Show_Date]],"mmm")</f>
        <v>Jul</v>
      </c>
      <c r="E27" s="1" t="str">
        <f>TEXT(FMData[[#This Row],[Show_Date]],"ddd")</f>
        <v>Sun</v>
      </c>
      <c r="F27" t="s">
        <v>16</v>
      </c>
      <c r="G27" t="s">
        <v>12</v>
      </c>
      <c r="H27">
        <v>1</v>
      </c>
      <c r="I27">
        <v>25</v>
      </c>
      <c r="J27" t="s">
        <v>23</v>
      </c>
      <c r="K27" t="s">
        <v>25</v>
      </c>
      <c r="L27">
        <v>25</v>
      </c>
    </row>
    <row r="28" spans="1:12" x14ac:dyDescent="0.3">
      <c r="A28">
        <v>1192</v>
      </c>
      <c r="B28" t="s">
        <v>32</v>
      </c>
      <c r="C28" s="1">
        <v>45847</v>
      </c>
      <c r="D28" s="1" t="str">
        <f>TEXT(FMData[[#This Row],[Show_Date]],"mmm")</f>
        <v>Jul</v>
      </c>
      <c r="E28" s="1" t="str">
        <f>TEXT(FMData[[#This Row],[Show_Date]],"ddd")</f>
        <v>Wed</v>
      </c>
      <c r="F28" t="s">
        <v>16</v>
      </c>
      <c r="G28" t="s">
        <v>29</v>
      </c>
      <c r="H28">
        <v>3</v>
      </c>
      <c r="I28">
        <v>30</v>
      </c>
      <c r="J28" t="s">
        <v>13</v>
      </c>
      <c r="K28" t="s">
        <v>18</v>
      </c>
      <c r="L28">
        <v>90</v>
      </c>
    </row>
    <row r="29" spans="1:12" x14ac:dyDescent="0.3">
      <c r="A29">
        <v>1009</v>
      </c>
      <c r="B29" t="s">
        <v>31</v>
      </c>
      <c r="C29" s="1">
        <v>45926</v>
      </c>
      <c r="D29" s="1" t="str">
        <f>TEXT(FMData[[#This Row],[Show_Date]],"mmm")</f>
        <v>Sep</v>
      </c>
      <c r="E29" s="1" t="str">
        <f>TEXT(FMData[[#This Row],[Show_Date]],"ddd")</f>
        <v>Fri</v>
      </c>
      <c r="F29" t="s">
        <v>16</v>
      </c>
      <c r="G29" t="s">
        <v>30</v>
      </c>
      <c r="H29">
        <v>2</v>
      </c>
      <c r="I29">
        <v>8</v>
      </c>
      <c r="J29" t="s">
        <v>13</v>
      </c>
      <c r="K29" t="s">
        <v>25</v>
      </c>
      <c r="L29">
        <v>16</v>
      </c>
    </row>
    <row r="30" spans="1:12" x14ac:dyDescent="0.3">
      <c r="A30">
        <v>94</v>
      </c>
      <c r="B30" t="s">
        <v>10</v>
      </c>
      <c r="C30" s="1">
        <v>45862</v>
      </c>
      <c r="D30" s="1" t="str">
        <f>TEXT(FMData[[#This Row],[Show_Date]],"mmm")</f>
        <v>Jul</v>
      </c>
      <c r="E30" s="1" t="str">
        <f>TEXT(FMData[[#This Row],[Show_Date]],"ddd")</f>
        <v>Thu</v>
      </c>
      <c r="F30" t="s">
        <v>20</v>
      </c>
      <c r="G30" t="s">
        <v>12</v>
      </c>
      <c r="H30">
        <v>3</v>
      </c>
      <c r="I30">
        <v>25</v>
      </c>
      <c r="J30" t="s">
        <v>21</v>
      </c>
      <c r="K30" t="s">
        <v>27</v>
      </c>
      <c r="L30">
        <v>75</v>
      </c>
    </row>
    <row r="31" spans="1:12" x14ac:dyDescent="0.3">
      <c r="A31">
        <v>1041</v>
      </c>
      <c r="B31" t="s">
        <v>15</v>
      </c>
      <c r="C31" s="1">
        <v>45907</v>
      </c>
      <c r="D31" s="1" t="str">
        <f>TEXT(FMData[[#This Row],[Show_Date]],"mmm")</f>
        <v>Sep</v>
      </c>
      <c r="E31" s="1" t="str">
        <f>TEXT(FMData[[#This Row],[Show_Date]],"ddd")</f>
        <v>Sun</v>
      </c>
      <c r="F31" t="s">
        <v>11</v>
      </c>
      <c r="G31" t="s">
        <v>17</v>
      </c>
      <c r="H31">
        <v>2</v>
      </c>
      <c r="I31">
        <v>12</v>
      </c>
      <c r="J31" t="s">
        <v>21</v>
      </c>
      <c r="K31" t="s">
        <v>25</v>
      </c>
      <c r="L31">
        <v>24</v>
      </c>
    </row>
    <row r="32" spans="1:12" x14ac:dyDescent="0.3">
      <c r="A32">
        <v>1244</v>
      </c>
      <c r="B32" t="s">
        <v>28</v>
      </c>
      <c r="C32" s="1">
        <v>45871</v>
      </c>
      <c r="D32" s="1" t="str">
        <f>TEXT(FMData[[#This Row],[Show_Date]],"mmm")</f>
        <v>Aug</v>
      </c>
      <c r="E32" s="1" t="str">
        <f>TEXT(FMData[[#This Row],[Show_Date]],"ddd")</f>
        <v>Sat</v>
      </c>
      <c r="F32" t="s">
        <v>20</v>
      </c>
      <c r="G32" t="s">
        <v>30</v>
      </c>
      <c r="H32">
        <v>5</v>
      </c>
      <c r="I32">
        <v>8</v>
      </c>
      <c r="J32" t="s">
        <v>13</v>
      </c>
      <c r="K32" t="s">
        <v>27</v>
      </c>
      <c r="L32">
        <v>40</v>
      </c>
    </row>
    <row r="33" spans="1:12" x14ac:dyDescent="0.3">
      <c r="A33">
        <v>1147</v>
      </c>
      <c r="B33" t="s">
        <v>28</v>
      </c>
      <c r="C33" s="1">
        <v>45887</v>
      </c>
      <c r="D33" s="1" t="str">
        <f>TEXT(FMData[[#This Row],[Show_Date]],"mmm")</f>
        <v>Aug</v>
      </c>
      <c r="E33" s="1" t="str">
        <f>TEXT(FMData[[#This Row],[Show_Date]],"ddd")</f>
        <v>Mon</v>
      </c>
      <c r="F33" t="s">
        <v>20</v>
      </c>
      <c r="G33" t="s">
        <v>22</v>
      </c>
      <c r="H33">
        <v>1</v>
      </c>
      <c r="I33">
        <v>20</v>
      </c>
      <c r="J33" t="s">
        <v>13</v>
      </c>
      <c r="K33" t="s">
        <v>14</v>
      </c>
      <c r="L33">
        <v>20</v>
      </c>
    </row>
    <row r="34" spans="1:12" x14ac:dyDescent="0.3">
      <c r="A34">
        <v>163</v>
      </c>
      <c r="B34" t="s">
        <v>19</v>
      </c>
      <c r="C34" s="1">
        <v>45899</v>
      </c>
      <c r="D34" s="1" t="str">
        <f>TEXT(FMData[[#This Row],[Show_Date]],"mmm")</f>
        <v>Aug</v>
      </c>
      <c r="E34" s="1" t="str">
        <f>TEXT(FMData[[#This Row],[Show_Date]],"ddd")</f>
        <v>Sat</v>
      </c>
      <c r="F34" t="s">
        <v>20</v>
      </c>
      <c r="G34" t="s">
        <v>17</v>
      </c>
      <c r="H34">
        <v>1</v>
      </c>
      <c r="I34">
        <v>12</v>
      </c>
      <c r="J34" t="s">
        <v>13</v>
      </c>
      <c r="K34" t="s">
        <v>14</v>
      </c>
      <c r="L34">
        <v>12</v>
      </c>
    </row>
    <row r="35" spans="1:12" x14ac:dyDescent="0.3">
      <c r="A35">
        <v>1052</v>
      </c>
      <c r="B35" t="s">
        <v>24</v>
      </c>
      <c r="C35" s="1">
        <v>45858</v>
      </c>
      <c r="D35" s="1" t="str">
        <f>TEXT(FMData[[#This Row],[Show_Date]],"mmm")</f>
        <v>Jul</v>
      </c>
      <c r="E35" s="1" t="str">
        <f>TEXT(FMData[[#This Row],[Show_Date]],"ddd")</f>
        <v>Sun</v>
      </c>
      <c r="F35" t="s">
        <v>20</v>
      </c>
      <c r="G35" t="s">
        <v>17</v>
      </c>
      <c r="H35">
        <v>5</v>
      </c>
      <c r="I35">
        <v>12</v>
      </c>
      <c r="J35" t="s">
        <v>13</v>
      </c>
      <c r="K35" t="s">
        <v>25</v>
      </c>
      <c r="L35">
        <v>60</v>
      </c>
    </row>
    <row r="36" spans="1:12" x14ac:dyDescent="0.3">
      <c r="A36">
        <v>507</v>
      </c>
      <c r="B36" t="s">
        <v>19</v>
      </c>
      <c r="C36" s="1">
        <v>45913</v>
      </c>
      <c r="D36" s="1" t="str">
        <f>TEXT(FMData[[#This Row],[Show_Date]],"mmm")</f>
        <v>Sep</v>
      </c>
      <c r="E36" s="1" t="str">
        <f>TEXT(FMData[[#This Row],[Show_Date]],"ddd")</f>
        <v>Sat</v>
      </c>
      <c r="F36" t="s">
        <v>20</v>
      </c>
      <c r="G36" t="s">
        <v>22</v>
      </c>
      <c r="H36">
        <v>1</v>
      </c>
      <c r="I36">
        <v>20</v>
      </c>
      <c r="J36" t="s">
        <v>13</v>
      </c>
      <c r="K36" t="s">
        <v>14</v>
      </c>
      <c r="L36">
        <v>20</v>
      </c>
    </row>
    <row r="37" spans="1:12" x14ac:dyDescent="0.3">
      <c r="A37">
        <v>370</v>
      </c>
      <c r="B37" t="s">
        <v>28</v>
      </c>
      <c r="C37" s="1">
        <v>45841</v>
      </c>
      <c r="D37" s="1" t="str">
        <f>TEXT(FMData[[#This Row],[Show_Date]],"mmm")</f>
        <v>Jul</v>
      </c>
      <c r="E37" s="1" t="str">
        <f>TEXT(FMData[[#This Row],[Show_Date]],"ddd")</f>
        <v>Thu</v>
      </c>
      <c r="F37" t="s">
        <v>20</v>
      </c>
      <c r="G37" t="s">
        <v>30</v>
      </c>
      <c r="H37">
        <v>4</v>
      </c>
      <c r="I37">
        <v>8</v>
      </c>
      <c r="J37" t="s">
        <v>23</v>
      </c>
      <c r="K37" t="s">
        <v>27</v>
      </c>
      <c r="L37">
        <v>32</v>
      </c>
    </row>
    <row r="38" spans="1:12" x14ac:dyDescent="0.3">
      <c r="A38">
        <v>1191</v>
      </c>
      <c r="B38" t="s">
        <v>32</v>
      </c>
      <c r="C38" s="1">
        <v>45921</v>
      </c>
      <c r="D38" s="1" t="str">
        <f>TEXT(FMData[[#This Row],[Show_Date]],"mmm")</f>
        <v>Sep</v>
      </c>
      <c r="E38" s="1" t="str">
        <f>TEXT(FMData[[#This Row],[Show_Date]],"ddd")</f>
        <v>Sun</v>
      </c>
      <c r="F38" t="s">
        <v>20</v>
      </c>
      <c r="G38" t="s">
        <v>17</v>
      </c>
      <c r="H38">
        <v>1</v>
      </c>
      <c r="I38">
        <v>12</v>
      </c>
      <c r="J38" t="s">
        <v>23</v>
      </c>
      <c r="K38" t="s">
        <v>27</v>
      </c>
      <c r="L38">
        <v>12</v>
      </c>
    </row>
    <row r="39" spans="1:12" x14ac:dyDescent="0.3">
      <c r="A39">
        <v>316</v>
      </c>
      <c r="B39" t="s">
        <v>19</v>
      </c>
      <c r="C39" s="1">
        <v>45856</v>
      </c>
      <c r="D39" s="1" t="str">
        <f>TEXT(FMData[[#This Row],[Show_Date]],"mmm")</f>
        <v>Jul</v>
      </c>
      <c r="E39" s="1" t="str">
        <f>TEXT(FMData[[#This Row],[Show_Date]],"ddd")</f>
        <v>Fri</v>
      </c>
      <c r="F39" t="s">
        <v>33</v>
      </c>
      <c r="G39" t="s">
        <v>17</v>
      </c>
      <c r="H39">
        <v>3</v>
      </c>
      <c r="I39">
        <v>12</v>
      </c>
      <c r="J39" t="s">
        <v>23</v>
      </c>
      <c r="K39" t="s">
        <v>18</v>
      </c>
      <c r="L39">
        <v>36</v>
      </c>
    </row>
    <row r="40" spans="1:12" x14ac:dyDescent="0.3">
      <c r="A40">
        <v>1172</v>
      </c>
      <c r="B40" t="s">
        <v>32</v>
      </c>
      <c r="C40" s="1">
        <v>45843</v>
      </c>
      <c r="D40" s="1" t="str">
        <f>TEXT(FMData[[#This Row],[Show_Date]],"mmm")</f>
        <v>Jul</v>
      </c>
      <c r="E40" s="1" t="str">
        <f>TEXT(FMData[[#This Row],[Show_Date]],"ddd")</f>
        <v>Sat</v>
      </c>
      <c r="F40" t="s">
        <v>11</v>
      </c>
      <c r="G40" t="s">
        <v>17</v>
      </c>
      <c r="H40">
        <v>1</v>
      </c>
      <c r="I40">
        <v>12</v>
      </c>
      <c r="J40" t="s">
        <v>23</v>
      </c>
      <c r="K40" t="s">
        <v>18</v>
      </c>
      <c r="L40">
        <v>12</v>
      </c>
    </row>
    <row r="41" spans="1:12" x14ac:dyDescent="0.3">
      <c r="A41">
        <v>184</v>
      </c>
      <c r="B41" t="s">
        <v>32</v>
      </c>
      <c r="C41" s="1">
        <v>45928</v>
      </c>
      <c r="D41" s="1" t="str">
        <f>TEXT(FMData[[#This Row],[Show_Date]],"mmm")</f>
        <v>Sep</v>
      </c>
      <c r="E41" s="1" t="str">
        <f>TEXT(FMData[[#This Row],[Show_Date]],"ddd")</f>
        <v>Sun</v>
      </c>
      <c r="F41" t="s">
        <v>11</v>
      </c>
      <c r="G41" t="s">
        <v>17</v>
      </c>
      <c r="H41">
        <v>2</v>
      </c>
      <c r="I41">
        <v>12</v>
      </c>
      <c r="J41" t="s">
        <v>23</v>
      </c>
      <c r="K41" t="s">
        <v>25</v>
      </c>
      <c r="L41">
        <v>24</v>
      </c>
    </row>
    <row r="42" spans="1:12" x14ac:dyDescent="0.3">
      <c r="A42">
        <v>1766</v>
      </c>
      <c r="B42" t="s">
        <v>19</v>
      </c>
      <c r="C42" s="1">
        <v>45918</v>
      </c>
      <c r="D42" s="1" t="str">
        <f>TEXT(FMData[[#This Row],[Show_Date]],"mmm")</f>
        <v>Sep</v>
      </c>
      <c r="E42" s="1" t="str">
        <f>TEXT(FMData[[#This Row],[Show_Date]],"ddd")</f>
        <v>Thu</v>
      </c>
      <c r="F42" t="s">
        <v>11</v>
      </c>
      <c r="G42" t="s">
        <v>17</v>
      </c>
      <c r="H42">
        <v>1</v>
      </c>
      <c r="I42">
        <v>12</v>
      </c>
      <c r="J42" t="s">
        <v>23</v>
      </c>
      <c r="K42" t="s">
        <v>14</v>
      </c>
      <c r="L42">
        <v>12</v>
      </c>
    </row>
    <row r="43" spans="1:12" x14ac:dyDescent="0.3">
      <c r="A43">
        <v>1073</v>
      </c>
      <c r="B43" t="s">
        <v>26</v>
      </c>
      <c r="C43" s="1">
        <v>45885</v>
      </c>
      <c r="D43" s="1" t="str">
        <f>TEXT(FMData[[#This Row],[Show_Date]],"mmm")</f>
        <v>Aug</v>
      </c>
      <c r="E43" s="1" t="str">
        <f>TEXT(FMData[[#This Row],[Show_Date]],"ddd")</f>
        <v>Sat</v>
      </c>
      <c r="F43" t="s">
        <v>11</v>
      </c>
      <c r="G43" t="s">
        <v>17</v>
      </c>
      <c r="H43">
        <v>2</v>
      </c>
      <c r="I43">
        <v>12</v>
      </c>
      <c r="J43" t="s">
        <v>21</v>
      </c>
      <c r="K43" t="s">
        <v>14</v>
      </c>
      <c r="L43">
        <v>24</v>
      </c>
    </row>
    <row r="44" spans="1:12" x14ac:dyDescent="0.3">
      <c r="A44">
        <v>826</v>
      </c>
      <c r="B44" t="s">
        <v>31</v>
      </c>
      <c r="C44" s="1">
        <v>45865</v>
      </c>
      <c r="D44" s="1" t="str">
        <f>TEXT(FMData[[#This Row],[Show_Date]],"mmm")</f>
        <v>Jul</v>
      </c>
      <c r="E44" s="1" t="str">
        <f>TEXT(FMData[[#This Row],[Show_Date]],"ddd")</f>
        <v>Sun</v>
      </c>
      <c r="F44" t="s">
        <v>11</v>
      </c>
      <c r="G44" t="s">
        <v>22</v>
      </c>
      <c r="H44">
        <v>1</v>
      </c>
      <c r="I44">
        <v>20</v>
      </c>
      <c r="J44" t="s">
        <v>13</v>
      </c>
      <c r="K44" t="s">
        <v>14</v>
      </c>
      <c r="L44">
        <v>20</v>
      </c>
    </row>
    <row r="45" spans="1:12" x14ac:dyDescent="0.3">
      <c r="A45">
        <v>1446</v>
      </c>
      <c r="B45" t="s">
        <v>24</v>
      </c>
      <c r="C45" s="1">
        <v>45883</v>
      </c>
      <c r="D45" s="1" t="str">
        <f>TEXT(FMData[[#This Row],[Show_Date]],"mmm")</f>
        <v>Aug</v>
      </c>
      <c r="E45" s="1" t="str">
        <f>TEXT(FMData[[#This Row],[Show_Date]],"ddd")</f>
        <v>Thu</v>
      </c>
      <c r="F45" t="s">
        <v>11</v>
      </c>
      <c r="G45" t="s">
        <v>12</v>
      </c>
      <c r="H45">
        <v>5</v>
      </c>
      <c r="I45">
        <v>25</v>
      </c>
      <c r="J45" t="s">
        <v>23</v>
      </c>
      <c r="K45" t="s">
        <v>18</v>
      </c>
      <c r="L45">
        <v>125</v>
      </c>
    </row>
    <row r="46" spans="1:12" x14ac:dyDescent="0.3">
      <c r="A46">
        <v>50</v>
      </c>
      <c r="B46" t="s">
        <v>10</v>
      </c>
      <c r="C46" s="1">
        <v>45899</v>
      </c>
      <c r="D46" s="1" t="str">
        <f>TEXT(FMData[[#This Row],[Show_Date]],"mmm")</f>
        <v>Aug</v>
      </c>
      <c r="E46" s="1" t="str">
        <f>TEXT(FMData[[#This Row],[Show_Date]],"ddd")</f>
        <v>Sat</v>
      </c>
      <c r="F46" t="s">
        <v>11</v>
      </c>
      <c r="G46" t="s">
        <v>17</v>
      </c>
      <c r="H46">
        <v>3</v>
      </c>
      <c r="I46">
        <v>12</v>
      </c>
      <c r="J46" t="s">
        <v>21</v>
      </c>
      <c r="K46" t="s">
        <v>18</v>
      </c>
      <c r="L46">
        <v>36</v>
      </c>
    </row>
    <row r="47" spans="1:12" x14ac:dyDescent="0.3">
      <c r="A47">
        <v>874</v>
      </c>
      <c r="B47" t="s">
        <v>24</v>
      </c>
      <c r="C47" s="1">
        <v>45886</v>
      </c>
      <c r="D47" s="1" t="str">
        <f>TEXT(FMData[[#This Row],[Show_Date]],"mmm")</f>
        <v>Aug</v>
      </c>
      <c r="E47" s="1" t="str">
        <f>TEXT(FMData[[#This Row],[Show_Date]],"ddd")</f>
        <v>Sun</v>
      </c>
      <c r="F47" t="s">
        <v>11</v>
      </c>
      <c r="G47" t="s">
        <v>17</v>
      </c>
      <c r="H47">
        <v>4</v>
      </c>
      <c r="I47">
        <v>12</v>
      </c>
      <c r="J47" t="s">
        <v>13</v>
      </c>
      <c r="K47" t="s">
        <v>18</v>
      </c>
      <c r="L47">
        <v>48</v>
      </c>
    </row>
    <row r="48" spans="1:12" x14ac:dyDescent="0.3">
      <c r="A48">
        <v>749</v>
      </c>
      <c r="B48" t="s">
        <v>24</v>
      </c>
      <c r="C48" s="1">
        <v>45920</v>
      </c>
      <c r="D48" s="1" t="str">
        <f>TEXT(FMData[[#This Row],[Show_Date]],"mmm")</f>
        <v>Sep</v>
      </c>
      <c r="E48" s="1" t="str">
        <f>TEXT(FMData[[#This Row],[Show_Date]],"ddd")</f>
        <v>Sat</v>
      </c>
      <c r="F48" t="s">
        <v>11</v>
      </c>
      <c r="G48" t="s">
        <v>22</v>
      </c>
      <c r="H48">
        <v>5</v>
      </c>
      <c r="I48">
        <v>20</v>
      </c>
      <c r="J48" t="s">
        <v>13</v>
      </c>
      <c r="K48" t="s">
        <v>14</v>
      </c>
      <c r="L48">
        <v>100</v>
      </c>
    </row>
    <row r="49" spans="1:12" x14ac:dyDescent="0.3">
      <c r="A49">
        <v>1011</v>
      </c>
      <c r="B49" t="s">
        <v>15</v>
      </c>
      <c r="C49" s="1">
        <v>45900</v>
      </c>
      <c r="D49" s="1" t="str">
        <f>TEXT(FMData[[#This Row],[Show_Date]],"mmm")</f>
        <v>Aug</v>
      </c>
      <c r="E49" s="1" t="str">
        <f>TEXT(FMData[[#This Row],[Show_Date]],"ddd")</f>
        <v>Sun</v>
      </c>
      <c r="F49" t="s">
        <v>11</v>
      </c>
      <c r="G49" t="s">
        <v>12</v>
      </c>
      <c r="H49">
        <v>1</v>
      </c>
      <c r="I49">
        <v>25</v>
      </c>
      <c r="J49" t="s">
        <v>21</v>
      </c>
      <c r="K49" t="s">
        <v>27</v>
      </c>
      <c r="L49">
        <v>25</v>
      </c>
    </row>
    <row r="50" spans="1:12" x14ac:dyDescent="0.3">
      <c r="A50">
        <v>897</v>
      </c>
      <c r="B50" t="s">
        <v>10</v>
      </c>
      <c r="C50" s="1">
        <v>45886</v>
      </c>
      <c r="D50" s="1" t="str">
        <f>TEXT(FMData[[#This Row],[Show_Date]],"mmm")</f>
        <v>Aug</v>
      </c>
      <c r="E50" s="1" t="str">
        <f>TEXT(FMData[[#This Row],[Show_Date]],"ddd")</f>
        <v>Sun</v>
      </c>
      <c r="F50" t="s">
        <v>11</v>
      </c>
      <c r="G50" t="s">
        <v>12</v>
      </c>
      <c r="H50">
        <v>5</v>
      </c>
      <c r="I50">
        <v>25</v>
      </c>
      <c r="J50" t="s">
        <v>21</v>
      </c>
      <c r="K50" t="s">
        <v>14</v>
      </c>
      <c r="L50">
        <v>125</v>
      </c>
    </row>
    <row r="51" spans="1:12" x14ac:dyDescent="0.3">
      <c r="A51">
        <v>38</v>
      </c>
      <c r="B51" t="s">
        <v>24</v>
      </c>
      <c r="C51" s="1">
        <v>45865</v>
      </c>
      <c r="D51" s="1" t="str">
        <f>TEXT(FMData[[#This Row],[Show_Date]],"mmm")</f>
        <v>Jul</v>
      </c>
      <c r="E51" s="1" t="str">
        <f>TEXT(FMData[[#This Row],[Show_Date]],"ddd")</f>
        <v>Sun</v>
      </c>
      <c r="F51" t="s">
        <v>11</v>
      </c>
      <c r="G51" t="s">
        <v>17</v>
      </c>
      <c r="H51">
        <v>2</v>
      </c>
      <c r="I51">
        <v>12</v>
      </c>
      <c r="J51" t="s">
        <v>21</v>
      </c>
      <c r="K51" t="s">
        <v>27</v>
      </c>
      <c r="L51">
        <v>24</v>
      </c>
    </row>
    <row r="52" spans="1:12" x14ac:dyDescent="0.3">
      <c r="A52">
        <v>406</v>
      </c>
      <c r="B52" t="s">
        <v>24</v>
      </c>
      <c r="C52" s="1">
        <v>45898</v>
      </c>
      <c r="D52" s="1" t="str">
        <f>TEXT(FMData[[#This Row],[Show_Date]],"mmm")</f>
        <v>Aug</v>
      </c>
      <c r="E52" s="1" t="str">
        <f>TEXT(FMData[[#This Row],[Show_Date]],"ddd")</f>
        <v>Fri</v>
      </c>
      <c r="F52" t="s">
        <v>11</v>
      </c>
      <c r="G52" t="s">
        <v>12</v>
      </c>
      <c r="H52">
        <v>5</v>
      </c>
      <c r="I52">
        <v>25</v>
      </c>
      <c r="J52" t="s">
        <v>23</v>
      </c>
      <c r="K52" t="s">
        <v>27</v>
      </c>
      <c r="L52">
        <v>125</v>
      </c>
    </row>
    <row r="53" spans="1:12" x14ac:dyDescent="0.3">
      <c r="A53">
        <v>337</v>
      </c>
      <c r="B53" t="s">
        <v>24</v>
      </c>
      <c r="C53" s="1">
        <v>45908</v>
      </c>
      <c r="D53" s="1" t="str">
        <f>TEXT(FMData[[#This Row],[Show_Date]],"mmm")</f>
        <v>Sep</v>
      </c>
      <c r="E53" s="1" t="str">
        <f>TEXT(FMData[[#This Row],[Show_Date]],"ddd")</f>
        <v>Mon</v>
      </c>
      <c r="F53" t="s">
        <v>11</v>
      </c>
      <c r="G53" t="s">
        <v>17</v>
      </c>
      <c r="H53">
        <v>2</v>
      </c>
      <c r="I53">
        <v>12</v>
      </c>
      <c r="J53" t="s">
        <v>13</v>
      </c>
      <c r="K53" t="s">
        <v>14</v>
      </c>
      <c r="L53">
        <v>24</v>
      </c>
    </row>
    <row r="54" spans="1:12" x14ac:dyDescent="0.3">
      <c r="A54">
        <v>912</v>
      </c>
      <c r="B54" t="s">
        <v>24</v>
      </c>
      <c r="C54" s="1">
        <v>45893</v>
      </c>
      <c r="D54" s="1" t="str">
        <f>TEXT(FMData[[#This Row],[Show_Date]],"mmm")</f>
        <v>Aug</v>
      </c>
      <c r="E54" s="1" t="str">
        <f>TEXT(FMData[[#This Row],[Show_Date]],"ddd")</f>
        <v>Sun</v>
      </c>
      <c r="F54" t="s">
        <v>33</v>
      </c>
      <c r="G54" t="s">
        <v>17</v>
      </c>
      <c r="H54">
        <v>1</v>
      </c>
      <c r="I54">
        <v>12</v>
      </c>
      <c r="J54" t="s">
        <v>21</v>
      </c>
      <c r="K54" t="s">
        <v>14</v>
      </c>
      <c r="L54">
        <v>12</v>
      </c>
    </row>
    <row r="55" spans="1:12" x14ac:dyDescent="0.3">
      <c r="A55">
        <v>1492</v>
      </c>
      <c r="B55" t="s">
        <v>24</v>
      </c>
      <c r="C55" s="1">
        <v>45927</v>
      </c>
      <c r="D55" s="1" t="str">
        <f>TEXT(FMData[[#This Row],[Show_Date]],"mmm")</f>
        <v>Sep</v>
      </c>
      <c r="E55" s="1" t="str">
        <f>TEXT(FMData[[#This Row],[Show_Date]],"ddd")</f>
        <v>Sat</v>
      </c>
      <c r="F55" t="s">
        <v>33</v>
      </c>
      <c r="G55" t="s">
        <v>12</v>
      </c>
      <c r="H55">
        <v>5</v>
      </c>
      <c r="I55">
        <v>25</v>
      </c>
      <c r="J55" t="s">
        <v>21</v>
      </c>
      <c r="K55" t="s">
        <v>14</v>
      </c>
      <c r="L55">
        <v>125</v>
      </c>
    </row>
    <row r="56" spans="1:12" x14ac:dyDescent="0.3">
      <c r="A56">
        <v>736</v>
      </c>
      <c r="B56" t="s">
        <v>24</v>
      </c>
      <c r="C56" s="1">
        <v>45901</v>
      </c>
      <c r="D56" s="1" t="str">
        <f>TEXT(FMData[[#This Row],[Show_Date]],"mmm")</f>
        <v>Sep</v>
      </c>
      <c r="E56" s="1" t="str">
        <f>TEXT(FMData[[#This Row],[Show_Date]],"ddd")</f>
        <v>Mon</v>
      </c>
      <c r="F56" t="s">
        <v>20</v>
      </c>
      <c r="G56" t="s">
        <v>30</v>
      </c>
      <c r="H56">
        <v>5</v>
      </c>
      <c r="I56">
        <v>8</v>
      </c>
      <c r="J56" t="s">
        <v>21</v>
      </c>
      <c r="K56" t="s">
        <v>25</v>
      </c>
      <c r="L56">
        <v>40</v>
      </c>
    </row>
    <row r="57" spans="1:12" x14ac:dyDescent="0.3">
      <c r="A57">
        <v>1742</v>
      </c>
      <c r="B57" t="s">
        <v>24</v>
      </c>
      <c r="C57" s="1">
        <v>45928</v>
      </c>
      <c r="D57" s="1" t="str">
        <f>TEXT(FMData[[#This Row],[Show_Date]],"mmm")</f>
        <v>Sep</v>
      </c>
      <c r="E57" s="1" t="str">
        <f>TEXT(FMData[[#This Row],[Show_Date]],"ddd")</f>
        <v>Sun</v>
      </c>
      <c r="F57" t="s">
        <v>20</v>
      </c>
      <c r="G57" t="s">
        <v>22</v>
      </c>
      <c r="H57">
        <v>2</v>
      </c>
      <c r="I57">
        <v>20</v>
      </c>
      <c r="J57" t="s">
        <v>21</v>
      </c>
      <c r="K57" t="s">
        <v>25</v>
      </c>
      <c r="L57">
        <v>40</v>
      </c>
    </row>
    <row r="58" spans="1:12" x14ac:dyDescent="0.3">
      <c r="A58">
        <v>164</v>
      </c>
      <c r="B58" t="s">
        <v>24</v>
      </c>
      <c r="C58" s="1">
        <v>45878</v>
      </c>
      <c r="D58" s="1" t="str">
        <f>TEXT(FMData[[#This Row],[Show_Date]],"mmm")</f>
        <v>Aug</v>
      </c>
      <c r="E58" s="1" t="str">
        <f>TEXT(FMData[[#This Row],[Show_Date]],"ddd")</f>
        <v>Sat</v>
      </c>
      <c r="F58" t="s">
        <v>16</v>
      </c>
      <c r="G58" t="s">
        <v>22</v>
      </c>
      <c r="H58">
        <v>5</v>
      </c>
      <c r="I58">
        <v>20</v>
      </c>
      <c r="J58" t="s">
        <v>23</v>
      </c>
      <c r="K58" t="s">
        <v>14</v>
      </c>
      <c r="L58">
        <v>100</v>
      </c>
    </row>
    <row r="59" spans="1:12" x14ac:dyDescent="0.3">
      <c r="A59">
        <v>1987</v>
      </c>
      <c r="B59" t="s">
        <v>24</v>
      </c>
      <c r="C59" s="1">
        <v>45904</v>
      </c>
      <c r="D59" s="1" t="str">
        <f>TEXT(FMData[[#This Row],[Show_Date]],"mmm")</f>
        <v>Sep</v>
      </c>
      <c r="E59" s="1" t="str">
        <f>TEXT(FMData[[#This Row],[Show_Date]],"ddd")</f>
        <v>Thu</v>
      </c>
      <c r="F59" t="s">
        <v>16</v>
      </c>
      <c r="G59" t="s">
        <v>17</v>
      </c>
      <c r="H59">
        <v>2</v>
      </c>
      <c r="I59">
        <v>12</v>
      </c>
      <c r="J59" t="s">
        <v>13</v>
      </c>
      <c r="K59" t="s">
        <v>14</v>
      </c>
      <c r="L59">
        <v>24</v>
      </c>
    </row>
    <row r="60" spans="1:12" x14ac:dyDescent="0.3">
      <c r="A60">
        <v>85</v>
      </c>
      <c r="B60" t="s">
        <v>24</v>
      </c>
      <c r="C60" s="1">
        <v>45912</v>
      </c>
      <c r="D60" s="1" t="str">
        <f>TEXT(FMData[[#This Row],[Show_Date]],"mmm")</f>
        <v>Sep</v>
      </c>
      <c r="E60" s="1" t="str">
        <f>TEXT(FMData[[#This Row],[Show_Date]],"ddd")</f>
        <v>Fri</v>
      </c>
      <c r="F60" t="s">
        <v>16</v>
      </c>
      <c r="G60" t="s">
        <v>12</v>
      </c>
      <c r="H60">
        <v>3</v>
      </c>
      <c r="I60">
        <v>25</v>
      </c>
      <c r="J60" t="s">
        <v>23</v>
      </c>
      <c r="K60" t="s">
        <v>18</v>
      </c>
      <c r="L60">
        <v>75</v>
      </c>
    </row>
    <row r="61" spans="1:12" x14ac:dyDescent="0.3">
      <c r="A61">
        <v>1892</v>
      </c>
      <c r="B61" t="s">
        <v>24</v>
      </c>
      <c r="C61" s="1">
        <v>45898</v>
      </c>
      <c r="D61" s="1" t="str">
        <f>TEXT(FMData[[#This Row],[Show_Date]],"mmm")</f>
        <v>Aug</v>
      </c>
      <c r="E61" s="1" t="str">
        <f>TEXT(FMData[[#This Row],[Show_Date]],"ddd")</f>
        <v>Fri</v>
      </c>
      <c r="F61" t="s">
        <v>11</v>
      </c>
      <c r="G61" t="s">
        <v>12</v>
      </c>
      <c r="H61">
        <v>2</v>
      </c>
      <c r="I61">
        <v>25</v>
      </c>
      <c r="J61" t="s">
        <v>13</v>
      </c>
      <c r="K61" t="s">
        <v>14</v>
      </c>
      <c r="L61">
        <v>50</v>
      </c>
    </row>
    <row r="62" spans="1:12" x14ac:dyDescent="0.3">
      <c r="A62">
        <v>1518</v>
      </c>
      <c r="B62" t="s">
        <v>24</v>
      </c>
      <c r="C62" s="1">
        <v>45902</v>
      </c>
      <c r="D62" s="1" t="str">
        <f>TEXT(FMData[[#This Row],[Show_Date]],"mmm")</f>
        <v>Sep</v>
      </c>
      <c r="E62" s="1" t="str">
        <f>TEXT(FMData[[#This Row],[Show_Date]],"ddd")</f>
        <v>Tue</v>
      </c>
      <c r="F62" t="s">
        <v>11</v>
      </c>
      <c r="G62" t="s">
        <v>17</v>
      </c>
      <c r="H62">
        <v>1</v>
      </c>
      <c r="I62">
        <v>12</v>
      </c>
      <c r="J62" t="s">
        <v>21</v>
      </c>
      <c r="K62" t="s">
        <v>14</v>
      </c>
      <c r="L62">
        <v>12</v>
      </c>
    </row>
    <row r="63" spans="1:12" x14ac:dyDescent="0.3">
      <c r="A63">
        <v>326</v>
      </c>
      <c r="B63" t="s">
        <v>24</v>
      </c>
      <c r="C63" s="1">
        <v>45853</v>
      </c>
      <c r="D63" s="1" t="str">
        <f>TEXT(FMData[[#This Row],[Show_Date]],"mmm")</f>
        <v>Jul</v>
      </c>
      <c r="E63" s="1" t="str">
        <f>TEXT(FMData[[#This Row],[Show_Date]],"ddd")</f>
        <v>Tue</v>
      </c>
      <c r="F63" t="s">
        <v>11</v>
      </c>
      <c r="G63" t="s">
        <v>29</v>
      </c>
      <c r="H63">
        <v>1</v>
      </c>
      <c r="I63">
        <v>30</v>
      </c>
      <c r="J63" t="s">
        <v>21</v>
      </c>
      <c r="K63" t="s">
        <v>25</v>
      </c>
      <c r="L63">
        <v>30</v>
      </c>
    </row>
    <row r="64" spans="1:12" x14ac:dyDescent="0.3">
      <c r="A64">
        <v>792</v>
      </c>
      <c r="B64" t="s">
        <v>24</v>
      </c>
      <c r="C64" s="1">
        <v>45858</v>
      </c>
      <c r="D64" s="1" t="str">
        <f>TEXT(FMData[[#This Row],[Show_Date]],"mmm")</f>
        <v>Jul</v>
      </c>
      <c r="E64" s="1" t="str">
        <f>TEXT(FMData[[#This Row],[Show_Date]],"ddd")</f>
        <v>Sun</v>
      </c>
      <c r="F64" t="s">
        <v>11</v>
      </c>
      <c r="G64" t="s">
        <v>29</v>
      </c>
      <c r="H64">
        <v>1</v>
      </c>
      <c r="I64">
        <v>30</v>
      </c>
      <c r="J64" t="s">
        <v>13</v>
      </c>
      <c r="K64" t="s">
        <v>27</v>
      </c>
      <c r="L64">
        <v>30</v>
      </c>
    </row>
    <row r="65" spans="1:12" x14ac:dyDescent="0.3">
      <c r="A65">
        <v>1532</v>
      </c>
      <c r="B65" t="s">
        <v>24</v>
      </c>
      <c r="C65" s="1">
        <v>45921</v>
      </c>
      <c r="D65" s="1" t="str">
        <f>TEXT(FMData[[#This Row],[Show_Date]],"mmm")</f>
        <v>Sep</v>
      </c>
      <c r="E65" s="1" t="str">
        <f>TEXT(FMData[[#This Row],[Show_Date]],"ddd")</f>
        <v>Sun</v>
      </c>
      <c r="F65" t="s">
        <v>11</v>
      </c>
      <c r="G65" t="s">
        <v>30</v>
      </c>
      <c r="H65">
        <v>2</v>
      </c>
      <c r="I65">
        <v>8</v>
      </c>
      <c r="J65" t="s">
        <v>23</v>
      </c>
      <c r="K65" t="s">
        <v>14</v>
      </c>
      <c r="L65">
        <v>16</v>
      </c>
    </row>
    <row r="66" spans="1:12" x14ac:dyDescent="0.3">
      <c r="A66">
        <v>910</v>
      </c>
      <c r="B66" t="s">
        <v>24</v>
      </c>
      <c r="C66" s="1">
        <v>45862</v>
      </c>
      <c r="D66" s="1" t="str">
        <f>TEXT(FMData[[#This Row],[Show_Date]],"mmm")</f>
        <v>Jul</v>
      </c>
      <c r="E66" s="1" t="str">
        <f>TEXT(FMData[[#This Row],[Show_Date]],"ddd")</f>
        <v>Thu</v>
      </c>
      <c r="F66" t="s">
        <v>11</v>
      </c>
      <c r="G66" t="s">
        <v>17</v>
      </c>
      <c r="H66">
        <v>2</v>
      </c>
      <c r="I66">
        <v>12</v>
      </c>
      <c r="J66" t="s">
        <v>21</v>
      </c>
      <c r="K66" t="s">
        <v>27</v>
      </c>
      <c r="L66">
        <v>24</v>
      </c>
    </row>
    <row r="67" spans="1:12" x14ac:dyDescent="0.3">
      <c r="A67">
        <v>760</v>
      </c>
      <c r="B67" t="s">
        <v>24</v>
      </c>
      <c r="C67" s="1">
        <v>45880</v>
      </c>
      <c r="D67" s="1" t="str">
        <f>TEXT(FMData[[#This Row],[Show_Date]],"mmm")</f>
        <v>Aug</v>
      </c>
      <c r="E67" s="1" t="str">
        <f>TEXT(FMData[[#This Row],[Show_Date]],"ddd")</f>
        <v>Mon</v>
      </c>
      <c r="F67" t="s">
        <v>11</v>
      </c>
      <c r="G67" t="s">
        <v>17</v>
      </c>
      <c r="H67">
        <v>3</v>
      </c>
      <c r="I67">
        <v>12</v>
      </c>
      <c r="J67" t="s">
        <v>21</v>
      </c>
      <c r="K67" t="s">
        <v>18</v>
      </c>
      <c r="L67">
        <v>36</v>
      </c>
    </row>
    <row r="68" spans="1:12" x14ac:dyDescent="0.3">
      <c r="A68">
        <v>1854</v>
      </c>
      <c r="B68" t="s">
        <v>24</v>
      </c>
      <c r="C68" s="1">
        <v>45878</v>
      </c>
      <c r="D68" s="1" t="str">
        <f>TEXT(FMData[[#This Row],[Show_Date]],"mmm")</f>
        <v>Aug</v>
      </c>
      <c r="E68" s="1" t="str">
        <f>TEXT(FMData[[#This Row],[Show_Date]],"ddd")</f>
        <v>Sat</v>
      </c>
      <c r="F68" t="s">
        <v>11</v>
      </c>
      <c r="G68" t="s">
        <v>29</v>
      </c>
      <c r="H68">
        <v>4</v>
      </c>
      <c r="I68">
        <v>30</v>
      </c>
      <c r="J68" t="s">
        <v>23</v>
      </c>
      <c r="K68" t="s">
        <v>27</v>
      </c>
      <c r="L68">
        <v>120</v>
      </c>
    </row>
    <row r="69" spans="1:12" x14ac:dyDescent="0.3">
      <c r="A69">
        <v>225</v>
      </c>
      <c r="B69" t="s">
        <v>26</v>
      </c>
      <c r="C69" s="1">
        <v>45887</v>
      </c>
      <c r="D69" s="1" t="str">
        <f>TEXT(FMData[[#This Row],[Show_Date]],"mmm")</f>
        <v>Aug</v>
      </c>
      <c r="E69" s="1" t="str">
        <f>TEXT(FMData[[#This Row],[Show_Date]],"ddd")</f>
        <v>Mon</v>
      </c>
      <c r="F69" t="s">
        <v>16</v>
      </c>
      <c r="G69" t="s">
        <v>17</v>
      </c>
      <c r="H69">
        <v>1</v>
      </c>
      <c r="I69">
        <v>12</v>
      </c>
      <c r="J69" t="s">
        <v>23</v>
      </c>
      <c r="K69" t="s">
        <v>25</v>
      </c>
      <c r="L69">
        <v>12</v>
      </c>
    </row>
    <row r="70" spans="1:12" x14ac:dyDescent="0.3">
      <c r="A70">
        <v>31</v>
      </c>
      <c r="B70" t="s">
        <v>15</v>
      </c>
      <c r="C70" s="1">
        <v>45894</v>
      </c>
      <c r="D70" s="1" t="str">
        <f>TEXT(FMData[[#This Row],[Show_Date]],"mmm")</f>
        <v>Aug</v>
      </c>
      <c r="E70" s="1" t="str">
        <f>TEXT(FMData[[#This Row],[Show_Date]],"ddd")</f>
        <v>Mon</v>
      </c>
      <c r="F70" t="s">
        <v>11</v>
      </c>
      <c r="G70" t="s">
        <v>17</v>
      </c>
      <c r="H70">
        <v>4</v>
      </c>
      <c r="I70">
        <v>12</v>
      </c>
      <c r="J70" t="s">
        <v>23</v>
      </c>
      <c r="K70" t="s">
        <v>27</v>
      </c>
      <c r="L70">
        <v>48</v>
      </c>
    </row>
    <row r="71" spans="1:12" x14ac:dyDescent="0.3">
      <c r="A71">
        <v>1501</v>
      </c>
      <c r="B71" t="s">
        <v>32</v>
      </c>
      <c r="C71" s="1">
        <v>45907</v>
      </c>
      <c r="D71" s="1" t="str">
        <f>TEXT(FMData[[#This Row],[Show_Date]],"mmm")</f>
        <v>Sep</v>
      </c>
      <c r="E71" s="1" t="str">
        <f>TEXT(FMData[[#This Row],[Show_Date]],"ddd")</f>
        <v>Sun</v>
      </c>
      <c r="F71" t="s">
        <v>11</v>
      </c>
      <c r="G71" t="s">
        <v>17</v>
      </c>
      <c r="H71">
        <v>2</v>
      </c>
      <c r="I71">
        <v>12</v>
      </c>
      <c r="J71" t="s">
        <v>23</v>
      </c>
      <c r="K71" t="s">
        <v>27</v>
      </c>
      <c r="L71">
        <v>24</v>
      </c>
    </row>
    <row r="72" spans="1:12" x14ac:dyDescent="0.3">
      <c r="A72">
        <v>1818</v>
      </c>
      <c r="B72" t="s">
        <v>28</v>
      </c>
      <c r="C72" s="1">
        <v>45890</v>
      </c>
      <c r="D72" s="1" t="str">
        <f>TEXT(FMData[[#This Row],[Show_Date]],"mmm")</f>
        <v>Aug</v>
      </c>
      <c r="E72" s="1" t="str">
        <f>TEXT(FMData[[#This Row],[Show_Date]],"ddd")</f>
        <v>Thu</v>
      </c>
      <c r="F72" t="s">
        <v>16</v>
      </c>
      <c r="G72" t="s">
        <v>22</v>
      </c>
      <c r="H72">
        <v>2</v>
      </c>
      <c r="I72">
        <v>20</v>
      </c>
      <c r="J72" t="s">
        <v>23</v>
      </c>
      <c r="K72" t="s">
        <v>27</v>
      </c>
      <c r="L72">
        <v>40</v>
      </c>
    </row>
    <row r="73" spans="1:12" x14ac:dyDescent="0.3">
      <c r="A73">
        <v>129</v>
      </c>
      <c r="B73" t="s">
        <v>31</v>
      </c>
      <c r="C73" s="1">
        <v>45905</v>
      </c>
      <c r="D73" s="1" t="str">
        <f>TEXT(FMData[[#This Row],[Show_Date]],"mmm")</f>
        <v>Sep</v>
      </c>
      <c r="E73" s="1" t="str">
        <f>TEXT(FMData[[#This Row],[Show_Date]],"ddd")</f>
        <v>Fri</v>
      </c>
      <c r="F73" t="s">
        <v>11</v>
      </c>
      <c r="G73" t="s">
        <v>22</v>
      </c>
      <c r="H73">
        <v>1</v>
      </c>
      <c r="I73">
        <v>20</v>
      </c>
      <c r="J73" t="s">
        <v>23</v>
      </c>
      <c r="K73" t="s">
        <v>25</v>
      </c>
      <c r="L73">
        <v>20</v>
      </c>
    </row>
    <row r="74" spans="1:12" x14ac:dyDescent="0.3">
      <c r="A74">
        <v>345</v>
      </c>
      <c r="B74" t="s">
        <v>32</v>
      </c>
      <c r="C74" s="1">
        <v>45882</v>
      </c>
      <c r="D74" s="1" t="str">
        <f>TEXT(FMData[[#This Row],[Show_Date]],"mmm")</f>
        <v>Aug</v>
      </c>
      <c r="E74" s="1" t="str">
        <f>TEXT(FMData[[#This Row],[Show_Date]],"ddd")</f>
        <v>Wed</v>
      </c>
      <c r="F74" t="s">
        <v>33</v>
      </c>
      <c r="G74" t="s">
        <v>29</v>
      </c>
      <c r="H74">
        <v>2</v>
      </c>
      <c r="I74">
        <v>30</v>
      </c>
      <c r="J74" t="s">
        <v>23</v>
      </c>
      <c r="K74" t="s">
        <v>14</v>
      </c>
      <c r="L74">
        <v>60</v>
      </c>
    </row>
    <row r="75" spans="1:12" x14ac:dyDescent="0.3">
      <c r="A75">
        <v>648</v>
      </c>
      <c r="B75" t="s">
        <v>24</v>
      </c>
      <c r="C75" s="1">
        <v>45893</v>
      </c>
      <c r="D75" s="1" t="str">
        <f>TEXT(FMData[[#This Row],[Show_Date]],"mmm")</f>
        <v>Aug</v>
      </c>
      <c r="E75" s="1" t="str">
        <f>TEXT(FMData[[#This Row],[Show_Date]],"ddd")</f>
        <v>Sun</v>
      </c>
      <c r="F75" t="s">
        <v>11</v>
      </c>
      <c r="G75" t="s">
        <v>12</v>
      </c>
      <c r="H75">
        <v>2</v>
      </c>
      <c r="I75">
        <v>25</v>
      </c>
      <c r="J75" t="s">
        <v>21</v>
      </c>
      <c r="K75" t="s">
        <v>18</v>
      </c>
      <c r="L75">
        <v>50</v>
      </c>
    </row>
    <row r="76" spans="1:12" x14ac:dyDescent="0.3">
      <c r="A76">
        <v>1646</v>
      </c>
      <c r="B76" t="s">
        <v>32</v>
      </c>
      <c r="C76" s="1">
        <v>45871</v>
      </c>
      <c r="D76" s="1" t="str">
        <f>TEXT(FMData[[#This Row],[Show_Date]],"mmm")</f>
        <v>Aug</v>
      </c>
      <c r="E76" s="1" t="str">
        <f>TEXT(FMData[[#This Row],[Show_Date]],"ddd")</f>
        <v>Sat</v>
      </c>
      <c r="F76" t="s">
        <v>16</v>
      </c>
      <c r="G76" t="s">
        <v>17</v>
      </c>
      <c r="H76">
        <v>4</v>
      </c>
      <c r="I76">
        <v>12</v>
      </c>
      <c r="J76" t="s">
        <v>21</v>
      </c>
      <c r="K76" t="s">
        <v>25</v>
      </c>
      <c r="L76">
        <v>48</v>
      </c>
    </row>
    <row r="77" spans="1:12" x14ac:dyDescent="0.3">
      <c r="A77">
        <v>426</v>
      </c>
      <c r="B77" t="s">
        <v>15</v>
      </c>
      <c r="C77" s="1">
        <v>45878</v>
      </c>
      <c r="D77" s="1" t="str">
        <f>TEXT(FMData[[#This Row],[Show_Date]],"mmm")</f>
        <v>Aug</v>
      </c>
      <c r="E77" s="1" t="str">
        <f>TEXT(FMData[[#This Row],[Show_Date]],"ddd")</f>
        <v>Sat</v>
      </c>
      <c r="F77" t="s">
        <v>11</v>
      </c>
      <c r="G77" t="s">
        <v>29</v>
      </c>
      <c r="H77">
        <v>4</v>
      </c>
      <c r="I77">
        <v>30</v>
      </c>
      <c r="J77" t="s">
        <v>13</v>
      </c>
      <c r="K77" t="s">
        <v>18</v>
      </c>
      <c r="L77">
        <v>120</v>
      </c>
    </row>
    <row r="78" spans="1:12" x14ac:dyDescent="0.3">
      <c r="A78">
        <v>1545</v>
      </c>
      <c r="B78" t="s">
        <v>19</v>
      </c>
      <c r="C78" s="1">
        <v>45913</v>
      </c>
      <c r="D78" s="1" t="str">
        <f>TEXT(FMData[[#This Row],[Show_Date]],"mmm")</f>
        <v>Sep</v>
      </c>
      <c r="E78" s="1" t="str">
        <f>TEXT(FMData[[#This Row],[Show_Date]],"ddd")</f>
        <v>Sat</v>
      </c>
      <c r="F78" t="s">
        <v>11</v>
      </c>
      <c r="G78" t="s">
        <v>22</v>
      </c>
      <c r="H78">
        <v>1</v>
      </c>
      <c r="I78">
        <v>20</v>
      </c>
      <c r="J78" t="s">
        <v>13</v>
      </c>
      <c r="K78" t="s">
        <v>14</v>
      </c>
      <c r="L78">
        <v>20</v>
      </c>
    </row>
    <row r="79" spans="1:12" x14ac:dyDescent="0.3">
      <c r="A79">
        <v>488</v>
      </c>
      <c r="B79" t="s">
        <v>31</v>
      </c>
      <c r="C79" s="1">
        <v>45870</v>
      </c>
      <c r="D79" s="1" t="str">
        <f>TEXT(FMData[[#This Row],[Show_Date]],"mmm")</f>
        <v>Aug</v>
      </c>
      <c r="E79" s="1" t="str">
        <f>TEXT(FMData[[#This Row],[Show_Date]],"ddd")</f>
        <v>Fri</v>
      </c>
      <c r="F79" t="s">
        <v>20</v>
      </c>
      <c r="G79" t="s">
        <v>22</v>
      </c>
      <c r="H79">
        <v>5</v>
      </c>
      <c r="I79">
        <v>20</v>
      </c>
      <c r="J79" t="s">
        <v>23</v>
      </c>
      <c r="K79" t="s">
        <v>14</v>
      </c>
      <c r="L79">
        <v>100</v>
      </c>
    </row>
    <row r="80" spans="1:12" x14ac:dyDescent="0.3">
      <c r="A80">
        <v>422</v>
      </c>
      <c r="B80" t="s">
        <v>26</v>
      </c>
      <c r="C80" s="1">
        <v>45858</v>
      </c>
      <c r="D80" s="1" t="str">
        <f>TEXT(FMData[[#This Row],[Show_Date]],"mmm")</f>
        <v>Jul</v>
      </c>
      <c r="E80" s="1" t="str">
        <f>TEXT(FMData[[#This Row],[Show_Date]],"ddd")</f>
        <v>Sun</v>
      </c>
      <c r="F80" t="s">
        <v>11</v>
      </c>
      <c r="G80" t="s">
        <v>17</v>
      </c>
      <c r="H80">
        <v>5</v>
      </c>
      <c r="I80">
        <v>12</v>
      </c>
      <c r="J80" t="s">
        <v>13</v>
      </c>
      <c r="K80" t="s">
        <v>27</v>
      </c>
      <c r="L80">
        <v>60</v>
      </c>
    </row>
    <row r="81" spans="1:12" x14ac:dyDescent="0.3">
      <c r="A81">
        <v>384</v>
      </c>
      <c r="B81" t="s">
        <v>15</v>
      </c>
      <c r="C81" s="1">
        <v>45913</v>
      </c>
      <c r="D81" s="1" t="str">
        <f>TEXT(FMData[[#This Row],[Show_Date]],"mmm")</f>
        <v>Sep</v>
      </c>
      <c r="E81" s="1" t="str">
        <f>TEXT(FMData[[#This Row],[Show_Date]],"ddd")</f>
        <v>Sat</v>
      </c>
      <c r="F81" t="s">
        <v>20</v>
      </c>
      <c r="G81" t="s">
        <v>17</v>
      </c>
      <c r="H81">
        <v>4</v>
      </c>
      <c r="I81">
        <v>12</v>
      </c>
      <c r="J81" t="s">
        <v>13</v>
      </c>
      <c r="K81" t="s">
        <v>18</v>
      </c>
      <c r="L81">
        <v>48</v>
      </c>
    </row>
    <row r="82" spans="1:12" x14ac:dyDescent="0.3">
      <c r="A82">
        <v>1103</v>
      </c>
      <c r="B82" t="s">
        <v>31</v>
      </c>
      <c r="C82" s="1">
        <v>45911</v>
      </c>
      <c r="D82" s="1" t="str">
        <f>TEXT(FMData[[#This Row],[Show_Date]],"mmm")</f>
        <v>Sep</v>
      </c>
      <c r="E82" s="1" t="str">
        <f>TEXT(FMData[[#This Row],[Show_Date]],"ddd")</f>
        <v>Thu</v>
      </c>
      <c r="F82" t="s">
        <v>11</v>
      </c>
      <c r="G82" t="s">
        <v>29</v>
      </c>
      <c r="H82">
        <v>1</v>
      </c>
      <c r="I82">
        <v>30</v>
      </c>
      <c r="J82" t="s">
        <v>23</v>
      </c>
      <c r="K82" t="s">
        <v>25</v>
      </c>
      <c r="L82">
        <v>30</v>
      </c>
    </row>
    <row r="83" spans="1:12" x14ac:dyDescent="0.3">
      <c r="A83">
        <v>185</v>
      </c>
      <c r="B83" t="s">
        <v>24</v>
      </c>
      <c r="C83" s="1">
        <v>45872</v>
      </c>
      <c r="D83" s="1" t="str">
        <f>TEXT(FMData[[#This Row],[Show_Date]],"mmm")</f>
        <v>Aug</v>
      </c>
      <c r="E83" s="1" t="str">
        <f>TEXT(FMData[[#This Row],[Show_Date]],"ddd")</f>
        <v>Sun</v>
      </c>
      <c r="F83" t="s">
        <v>33</v>
      </c>
      <c r="G83" t="s">
        <v>30</v>
      </c>
      <c r="H83">
        <v>5</v>
      </c>
      <c r="I83">
        <v>8</v>
      </c>
      <c r="J83" t="s">
        <v>13</v>
      </c>
      <c r="K83" t="s">
        <v>18</v>
      </c>
      <c r="L83">
        <v>40</v>
      </c>
    </row>
    <row r="84" spans="1:12" x14ac:dyDescent="0.3">
      <c r="A84">
        <v>567</v>
      </c>
      <c r="B84" t="s">
        <v>26</v>
      </c>
      <c r="C84" s="1">
        <v>45854</v>
      </c>
      <c r="D84" s="1" t="str">
        <f>TEXT(FMData[[#This Row],[Show_Date]],"mmm")</f>
        <v>Jul</v>
      </c>
      <c r="E84" s="1" t="str">
        <f>TEXT(FMData[[#This Row],[Show_Date]],"ddd")</f>
        <v>Wed</v>
      </c>
      <c r="F84" t="s">
        <v>16</v>
      </c>
      <c r="G84" t="s">
        <v>17</v>
      </c>
      <c r="H84">
        <v>4</v>
      </c>
      <c r="I84">
        <v>12</v>
      </c>
      <c r="J84" t="s">
        <v>21</v>
      </c>
      <c r="K84" t="s">
        <v>18</v>
      </c>
      <c r="L84">
        <v>48</v>
      </c>
    </row>
    <row r="85" spans="1:12" x14ac:dyDescent="0.3">
      <c r="A85">
        <v>230</v>
      </c>
      <c r="B85" t="s">
        <v>15</v>
      </c>
      <c r="C85" s="1">
        <v>45860</v>
      </c>
      <c r="D85" s="1" t="str">
        <f>TEXT(FMData[[#This Row],[Show_Date]],"mmm")</f>
        <v>Jul</v>
      </c>
      <c r="E85" s="1" t="str">
        <f>TEXT(FMData[[#This Row],[Show_Date]],"ddd")</f>
        <v>Tue</v>
      </c>
      <c r="F85" t="s">
        <v>16</v>
      </c>
      <c r="G85" t="s">
        <v>17</v>
      </c>
      <c r="H85">
        <v>3</v>
      </c>
      <c r="I85">
        <v>12</v>
      </c>
      <c r="J85" t="s">
        <v>21</v>
      </c>
      <c r="K85" t="s">
        <v>18</v>
      </c>
      <c r="L85">
        <v>36</v>
      </c>
    </row>
    <row r="86" spans="1:12" x14ac:dyDescent="0.3">
      <c r="A86">
        <v>23</v>
      </c>
      <c r="B86" t="s">
        <v>26</v>
      </c>
      <c r="C86" s="1">
        <v>45927</v>
      </c>
      <c r="D86" s="1" t="str">
        <f>TEXT(FMData[[#This Row],[Show_Date]],"mmm")</f>
        <v>Sep</v>
      </c>
      <c r="E86" s="1" t="str">
        <f>TEXT(FMData[[#This Row],[Show_Date]],"ddd")</f>
        <v>Sat</v>
      </c>
      <c r="F86" t="s">
        <v>20</v>
      </c>
      <c r="G86" t="s">
        <v>29</v>
      </c>
      <c r="H86">
        <v>4</v>
      </c>
      <c r="I86">
        <v>30</v>
      </c>
      <c r="J86" t="s">
        <v>23</v>
      </c>
      <c r="K86" t="s">
        <v>27</v>
      </c>
      <c r="L86">
        <v>120</v>
      </c>
    </row>
    <row r="87" spans="1:12" x14ac:dyDescent="0.3">
      <c r="A87">
        <v>973</v>
      </c>
      <c r="B87" t="s">
        <v>24</v>
      </c>
      <c r="C87" s="1">
        <v>45857</v>
      </c>
      <c r="D87" s="1" t="str">
        <f>TEXT(FMData[[#This Row],[Show_Date]],"mmm")</f>
        <v>Jul</v>
      </c>
      <c r="E87" s="1" t="str">
        <f>TEXT(FMData[[#This Row],[Show_Date]],"ddd")</f>
        <v>Sat</v>
      </c>
      <c r="F87" t="s">
        <v>11</v>
      </c>
      <c r="G87" t="s">
        <v>30</v>
      </c>
      <c r="H87">
        <v>3</v>
      </c>
      <c r="I87">
        <v>8</v>
      </c>
      <c r="J87" t="s">
        <v>21</v>
      </c>
      <c r="K87" t="s">
        <v>27</v>
      </c>
      <c r="L87">
        <v>24</v>
      </c>
    </row>
    <row r="88" spans="1:12" x14ac:dyDescent="0.3">
      <c r="A88">
        <v>1228</v>
      </c>
      <c r="B88" t="s">
        <v>19</v>
      </c>
      <c r="C88" s="1">
        <v>45874</v>
      </c>
      <c r="D88" s="1" t="str">
        <f>TEXT(FMData[[#This Row],[Show_Date]],"mmm")</f>
        <v>Aug</v>
      </c>
      <c r="E88" s="1" t="str">
        <f>TEXT(FMData[[#This Row],[Show_Date]],"ddd")</f>
        <v>Tue</v>
      </c>
      <c r="F88" t="s">
        <v>20</v>
      </c>
      <c r="G88" t="s">
        <v>17</v>
      </c>
      <c r="H88">
        <v>4</v>
      </c>
      <c r="I88">
        <v>12</v>
      </c>
      <c r="J88" t="s">
        <v>13</v>
      </c>
      <c r="K88" t="s">
        <v>25</v>
      </c>
      <c r="L88">
        <v>48</v>
      </c>
    </row>
    <row r="89" spans="1:12" x14ac:dyDescent="0.3">
      <c r="A89">
        <v>1252</v>
      </c>
      <c r="B89" t="s">
        <v>10</v>
      </c>
      <c r="C89" s="1">
        <v>45870</v>
      </c>
      <c r="D89" s="1" t="str">
        <f>TEXT(FMData[[#This Row],[Show_Date]],"mmm")</f>
        <v>Aug</v>
      </c>
      <c r="E89" s="1" t="str">
        <f>TEXT(FMData[[#This Row],[Show_Date]],"ddd")</f>
        <v>Fri</v>
      </c>
      <c r="F89" t="s">
        <v>11</v>
      </c>
      <c r="G89" t="s">
        <v>17</v>
      </c>
      <c r="H89">
        <v>3</v>
      </c>
      <c r="I89">
        <v>12</v>
      </c>
      <c r="J89" t="s">
        <v>13</v>
      </c>
      <c r="K89" t="s">
        <v>25</v>
      </c>
      <c r="L89">
        <v>36</v>
      </c>
    </row>
    <row r="90" spans="1:12" x14ac:dyDescent="0.3">
      <c r="A90">
        <v>898</v>
      </c>
      <c r="B90" t="s">
        <v>31</v>
      </c>
      <c r="C90" s="1">
        <v>45852</v>
      </c>
      <c r="D90" s="1" t="str">
        <f>TEXT(FMData[[#This Row],[Show_Date]],"mmm")</f>
        <v>Jul</v>
      </c>
      <c r="E90" s="1" t="str">
        <f>TEXT(FMData[[#This Row],[Show_Date]],"ddd")</f>
        <v>Mon</v>
      </c>
      <c r="F90" t="s">
        <v>11</v>
      </c>
      <c r="G90" t="s">
        <v>17</v>
      </c>
      <c r="H90">
        <v>1</v>
      </c>
      <c r="I90">
        <v>12</v>
      </c>
      <c r="J90" t="s">
        <v>21</v>
      </c>
      <c r="K90" t="s">
        <v>18</v>
      </c>
      <c r="L90">
        <v>12</v>
      </c>
    </row>
    <row r="91" spans="1:12" x14ac:dyDescent="0.3">
      <c r="A91">
        <v>750</v>
      </c>
      <c r="B91" t="s">
        <v>26</v>
      </c>
      <c r="C91" s="1">
        <v>45920</v>
      </c>
      <c r="D91" s="1" t="str">
        <f>TEXT(FMData[[#This Row],[Show_Date]],"mmm")</f>
        <v>Sep</v>
      </c>
      <c r="E91" s="1" t="str">
        <f>TEXT(FMData[[#This Row],[Show_Date]],"ddd")</f>
        <v>Sat</v>
      </c>
      <c r="F91" t="s">
        <v>20</v>
      </c>
      <c r="G91" t="s">
        <v>12</v>
      </c>
      <c r="H91">
        <v>2</v>
      </c>
      <c r="I91">
        <v>25</v>
      </c>
      <c r="J91" t="s">
        <v>13</v>
      </c>
      <c r="K91" t="s">
        <v>18</v>
      </c>
      <c r="L91">
        <v>50</v>
      </c>
    </row>
    <row r="92" spans="1:12" x14ac:dyDescent="0.3">
      <c r="A92">
        <v>41</v>
      </c>
      <c r="B92" t="s">
        <v>32</v>
      </c>
      <c r="C92" s="1">
        <v>45914</v>
      </c>
      <c r="D92" s="1" t="str">
        <f>TEXT(FMData[[#This Row],[Show_Date]],"mmm")</f>
        <v>Sep</v>
      </c>
      <c r="E92" s="1" t="str">
        <f>TEXT(FMData[[#This Row],[Show_Date]],"ddd")</f>
        <v>Sun</v>
      </c>
      <c r="F92" t="s">
        <v>33</v>
      </c>
      <c r="G92" t="s">
        <v>22</v>
      </c>
      <c r="H92">
        <v>4</v>
      </c>
      <c r="I92">
        <v>20</v>
      </c>
      <c r="J92" t="s">
        <v>21</v>
      </c>
      <c r="K92" t="s">
        <v>14</v>
      </c>
      <c r="L92">
        <v>80</v>
      </c>
    </row>
    <row r="93" spans="1:12" x14ac:dyDescent="0.3">
      <c r="A93">
        <v>1853</v>
      </c>
      <c r="B93" t="s">
        <v>10</v>
      </c>
      <c r="C93" s="1">
        <v>45893</v>
      </c>
      <c r="D93" s="1" t="str">
        <f>TEXT(FMData[[#This Row],[Show_Date]],"mmm")</f>
        <v>Aug</v>
      </c>
      <c r="E93" s="1" t="str">
        <f>TEXT(FMData[[#This Row],[Show_Date]],"ddd")</f>
        <v>Sun</v>
      </c>
      <c r="F93" t="s">
        <v>11</v>
      </c>
      <c r="G93" t="s">
        <v>12</v>
      </c>
      <c r="H93">
        <v>2</v>
      </c>
      <c r="I93">
        <v>25</v>
      </c>
      <c r="J93" t="s">
        <v>13</v>
      </c>
      <c r="K93" t="s">
        <v>25</v>
      </c>
      <c r="L93">
        <v>50</v>
      </c>
    </row>
    <row r="94" spans="1:12" x14ac:dyDescent="0.3">
      <c r="A94">
        <v>822</v>
      </c>
      <c r="B94" t="s">
        <v>31</v>
      </c>
      <c r="C94" s="1">
        <v>45839</v>
      </c>
      <c r="D94" s="1" t="str">
        <f>TEXT(FMData[[#This Row],[Show_Date]],"mmm")</f>
        <v>Jul</v>
      </c>
      <c r="E94" s="1" t="str">
        <f>TEXT(FMData[[#This Row],[Show_Date]],"ddd")</f>
        <v>Tue</v>
      </c>
      <c r="F94" t="s">
        <v>11</v>
      </c>
      <c r="G94" t="s">
        <v>17</v>
      </c>
      <c r="H94">
        <v>3</v>
      </c>
      <c r="I94">
        <v>12</v>
      </c>
      <c r="J94" t="s">
        <v>23</v>
      </c>
      <c r="K94" t="s">
        <v>18</v>
      </c>
      <c r="L94">
        <v>36</v>
      </c>
    </row>
    <row r="95" spans="1:12" x14ac:dyDescent="0.3">
      <c r="A95">
        <v>177</v>
      </c>
      <c r="B95" t="s">
        <v>32</v>
      </c>
      <c r="C95" s="1">
        <v>45851</v>
      </c>
      <c r="D95" s="1" t="str">
        <f>TEXT(FMData[[#This Row],[Show_Date]],"mmm")</f>
        <v>Jul</v>
      </c>
      <c r="E95" s="1" t="str">
        <f>TEXT(FMData[[#This Row],[Show_Date]],"ddd")</f>
        <v>Sun</v>
      </c>
      <c r="F95" t="s">
        <v>16</v>
      </c>
      <c r="G95" t="s">
        <v>17</v>
      </c>
      <c r="H95">
        <v>1</v>
      </c>
      <c r="I95">
        <v>12</v>
      </c>
      <c r="J95" t="s">
        <v>13</v>
      </c>
      <c r="K95" t="s">
        <v>18</v>
      </c>
      <c r="L95">
        <v>12</v>
      </c>
    </row>
    <row r="96" spans="1:12" x14ac:dyDescent="0.3">
      <c r="A96">
        <v>754</v>
      </c>
      <c r="B96" t="s">
        <v>26</v>
      </c>
      <c r="C96" s="1">
        <v>45879</v>
      </c>
      <c r="D96" s="1" t="str">
        <f>TEXT(FMData[[#This Row],[Show_Date]],"mmm")</f>
        <v>Aug</v>
      </c>
      <c r="E96" s="1" t="str">
        <f>TEXT(FMData[[#This Row],[Show_Date]],"ddd")</f>
        <v>Sun</v>
      </c>
      <c r="F96" t="s">
        <v>20</v>
      </c>
      <c r="G96" t="s">
        <v>17</v>
      </c>
      <c r="H96">
        <v>2</v>
      </c>
      <c r="I96">
        <v>12</v>
      </c>
      <c r="J96" t="s">
        <v>23</v>
      </c>
      <c r="K96" t="s">
        <v>25</v>
      </c>
      <c r="L96">
        <v>24</v>
      </c>
    </row>
    <row r="97" spans="1:12" x14ac:dyDescent="0.3">
      <c r="A97">
        <v>432</v>
      </c>
      <c r="B97" t="s">
        <v>10</v>
      </c>
      <c r="C97" s="1">
        <v>45853</v>
      </c>
      <c r="D97" s="1" t="str">
        <f>TEXT(FMData[[#This Row],[Show_Date]],"mmm")</f>
        <v>Jul</v>
      </c>
      <c r="E97" s="1" t="str">
        <f>TEXT(FMData[[#This Row],[Show_Date]],"ddd")</f>
        <v>Tue</v>
      </c>
      <c r="F97" t="s">
        <v>16</v>
      </c>
      <c r="G97" t="s">
        <v>22</v>
      </c>
      <c r="H97">
        <v>5</v>
      </c>
      <c r="I97">
        <v>20</v>
      </c>
      <c r="J97" t="s">
        <v>23</v>
      </c>
      <c r="K97" t="s">
        <v>14</v>
      </c>
      <c r="L97">
        <v>100</v>
      </c>
    </row>
    <row r="98" spans="1:12" x14ac:dyDescent="0.3">
      <c r="A98">
        <v>1027</v>
      </c>
      <c r="B98" t="s">
        <v>26</v>
      </c>
      <c r="C98" s="1">
        <v>45890</v>
      </c>
      <c r="D98" s="1" t="str">
        <f>TEXT(FMData[[#This Row],[Show_Date]],"mmm")</f>
        <v>Aug</v>
      </c>
      <c r="E98" s="1" t="str">
        <f>TEXT(FMData[[#This Row],[Show_Date]],"ddd")</f>
        <v>Thu</v>
      </c>
      <c r="F98" t="s">
        <v>33</v>
      </c>
      <c r="G98" t="s">
        <v>29</v>
      </c>
      <c r="H98">
        <v>2</v>
      </c>
      <c r="I98">
        <v>30</v>
      </c>
      <c r="J98" t="s">
        <v>23</v>
      </c>
      <c r="K98" t="s">
        <v>27</v>
      </c>
      <c r="L98">
        <v>60</v>
      </c>
    </row>
    <row r="99" spans="1:12" x14ac:dyDescent="0.3">
      <c r="A99">
        <v>777</v>
      </c>
      <c r="B99" t="s">
        <v>24</v>
      </c>
      <c r="C99" s="1">
        <v>45844</v>
      </c>
      <c r="D99" s="1" t="str">
        <f>TEXT(FMData[[#This Row],[Show_Date]],"mmm")</f>
        <v>Jul</v>
      </c>
      <c r="E99" s="1" t="str">
        <f>TEXT(FMData[[#This Row],[Show_Date]],"ddd")</f>
        <v>Sun</v>
      </c>
      <c r="F99" t="s">
        <v>33</v>
      </c>
      <c r="G99" t="s">
        <v>17</v>
      </c>
      <c r="H99">
        <v>4</v>
      </c>
      <c r="I99">
        <v>12</v>
      </c>
      <c r="J99" t="s">
        <v>21</v>
      </c>
      <c r="K99" t="s">
        <v>14</v>
      </c>
      <c r="L99">
        <v>48</v>
      </c>
    </row>
    <row r="100" spans="1:12" x14ac:dyDescent="0.3">
      <c r="A100">
        <v>262</v>
      </c>
      <c r="B100" t="s">
        <v>24</v>
      </c>
      <c r="C100" s="1">
        <v>45907</v>
      </c>
      <c r="D100" s="1" t="str">
        <f>TEXT(FMData[[#This Row],[Show_Date]],"mmm")</f>
        <v>Sep</v>
      </c>
      <c r="E100" s="1" t="str">
        <f>TEXT(FMData[[#This Row],[Show_Date]],"ddd")</f>
        <v>Sun</v>
      </c>
      <c r="F100" t="s">
        <v>16</v>
      </c>
      <c r="G100" t="s">
        <v>12</v>
      </c>
      <c r="H100">
        <v>3</v>
      </c>
      <c r="I100">
        <v>25</v>
      </c>
      <c r="J100" t="s">
        <v>23</v>
      </c>
      <c r="K100" t="s">
        <v>18</v>
      </c>
      <c r="L100">
        <v>75</v>
      </c>
    </row>
    <row r="101" spans="1:12" x14ac:dyDescent="0.3">
      <c r="A101">
        <v>722</v>
      </c>
      <c r="B101" t="s">
        <v>24</v>
      </c>
      <c r="C101" s="1">
        <v>45908</v>
      </c>
      <c r="D101" s="1" t="str">
        <f>TEXT(FMData[[#This Row],[Show_Date]],"mmm")</f>
        <v>Sep</v>
      </c>
      <c r="E101" s="1" t="str">
        <f>TEXT(FMData[[#This Row],[Show_Date]],"ddd")</f>
        <v>Mon</v>
      </c>
      <c r="F101" t="s">
        <v>33</v>
      </c>
      <c r="G101" t="s">
        <v>30</v>
      </c>
      <c r="H101">
        <v>5</v>
      </c>
      <c r="I101">
        <v>8</v>
      </c>
      <c r="J101" t="s">
        <v>21</v>
      </c>
      <c r="K101" t="s">
        <v>25</v>
      </c>
      <c r="L101">
        <v>40</v>
      </c>
    </row>
    <row r="102" spans="1:12" x14ac:dyDescent="0.3">
      <c r="A102">
        <v>56</v>
      </c>
      <c r="B102" t="s">
        <v>24</v>
      </c>
      <c r="C102" s="1">
        <v>45858</v>
      </c>
      <c r="D102" s="1" t="str">
        <f>TEXT(FMData[[#This Row],[Show_Date]],"mmm")</f>
        <v>Jul</v>
      </c>
      <c r="E102" s="1" t="str">
        <f>TEXT(FMData[[#This Row],[Show_Date]],"ddd")</f>
        <v>Sun</v>
      </c>
      <c r="F102" t="s">
        <v>11</v>
      </c>
      <c r="G102" t="s">
        <v>30</v>
      </c>
      <c r="H102">
        <v>2</v>
      </c>
      <c r="I102">
        <v>8</v>
      </c>
      <c r="J102" t="s">
        <v>21</v>
      </c>
      <c r="K102" t="s">
        <v>25</v>
      </c>
      <c r="L102">
        <v>16</v>
      </c>
    </row>
    <row r="103" spans="1:12" x14ac:dyDescent="0.3">
      <c r="A103">
        <v>1556</v>
      </c>
      <c r="B103" t="s">
        <v>24</v>
      </c>
      <c r="C103" s="1">
        <v>45885</v>
      </c>
      <c r="D103" s="1" t="str">
        <f>TEXT(FMData[[#This Row],[Show_Date]],"mmm")</f>
        <v>Aug</v>
      </c>
      <c r="E103" s="1" t="str">
        <f>TEXT(FMData[[#This Row],[Show_Date]],"ddd")</f>
        <v>Sat</v>
      </c>
      <c r="F103" t="s">
        <v>16</v>
      </c>
      <c r="G103" t="s">
        <v>12</v>
      </c>
      <c r="H103">
        <v>5</v>
      </c>
      <c r="I103">
        <v>25</v>
      </c>
      <c r="J103" t="s">
        <v>23</v>
      </c>
      <c r="K103" t="s">
        <v>27</v>
      </c>
      <c r="L103">
        <v>125</v>
      </c>
    </row>
    <row r="104" spans="1:12" x14ac:dyDescent="0.3">
      <c r="A104">
        <v>1835</v>
      </c>
      <c r="B104" t="s">
        <v>24</v>
      </c>
      <c r="C104" s="1">
        <v>45840</v>
      </c>
      <c r="D104" s="1" t="str">
        <f>TEXT(FMData[[#This Row],[Show_Date]],"mmm")</f>
        <v>Jul</v>
      </c>
      <c r="E104" s="1" t="str">
        <f>TEXT(FMData[[#This Row],[Show_Date]],"ddd")</f>
        <v>Wed</v>
      </c>
      <c r="F104" t="s">
        <v>11</v>
      </c>
      <c r="G104" t="s">
        <v>17</v>
      </c>
      <c r="H104">
        <v>5</v>
      </c>
      <c r="I104">
        <v>12</v>
      </c>
      <c r="J104" t="s">
        <v>21</v>
      </c>
      <c r="K104" t="s">
        <v>25</v>
      </c>
      <c r="L104">
        <v>60</v>
      </c>
    </row>
    <row r="105" spans="1:12" x14ac:dyDescent="0.3">
      <c r="A105">
        <v>631</v>
      </c>
      <c r="B105" t="s">
        <v>24</v>
      </c>
      <c r="C105" s="1">
        <v>45840</v>
      </c>
      <c r="D105" s="1" t="str">
        <f>TEXT(FMData[[#This Row],[Show_Date]],"mmm")</f>
        <v>Jul</v>
      </c>
      <c r="E105" s="1" t="str">
        <f>TEXT(FMData[[#This Row],[Show_Date]],"ddd")</f>
        <v>Wed</v>
      </c>
      <c r="F105" t="s">
        <v>11</v>
      </c>
      <c r="G105" t="s">
        <v>12</v>
      </c>
      <c r="H105">
        <v>1</v>
      </c>
      <c r="I105">
        <v>25</v>
      </c>
      <c r="J105" t="s">
        <v>21</v>
      </c>
      <c r="K105" t="s">
        <v>25</v>
      </c>
      <c r="L105">
        <v>25</v>
      </c>
    </row>
    <row r="106" spans="1:12" x14ac:dyDescent="0.3">
      <c r="A106">
        <v>974</v>
      </c>
      <c r="B106" t="s">
        <v>32</v>
      </c>
      <c r="C106" s="1">
        <v>45925</v>
      </c>
      <c r="D106" s="1" t="str">
        <f>TEXT(FMData[[#This Row],[Show_Date]],"mmm")</f>
        <v>Sep</v>
      </c>
      <c r="E106" s="1" t="str">
        <f>TEXT(FMData[[#This Row],[Show_Date]],"ddd")</f>
        <v>Thu</v>
      </c>
      <c r="F106" t="s">
        <v>11</v>
      </c>
      <c r="G106" t="s">
        <v>30</v>
      </c>
      <c r="H106">
        <v>5</v>
      </c>
      <c r="I106">
        <v>8</v>
      </c>
      <c r="J106" t="s">
        <v>21</v>
      </c>
      <c r="K106" t="s">
        <v>18</v>
      </c>
      <c r="L106">
        <v>40</v>
      </c>
    </row>
    <row r="107" spans="1:12" x14ac:dyDescent="0.3">
      <c r="A107">
        <v>1478</v>
      </c>
      <c r="B107" t="s">
        <v>19</v>
      </c>
      <c r="C107" s="1">
        <v>45868</v>
      </c>
      <c r="D107" s="1" t="str">
        <f>TEXT(FMData[[#This Row],[Show_Date]],"mmm")</f>
        <v>Jul</v>
      </c>
      <c r="E107" s="1" t="str">
        <f>TEXT(FMData[[#This Row],[Show_Date]],"ddd")</f>
        <v>Wed</v>
      </c>
      <c r="F107" t="s">
        <v>11</v>
      </c>
      <c r="G107" t="s">
        <v>12</v>
      </c>
      <c r="H107">
        <v>3</v>
      </c>
      <c r="I107">
        <v>25</v>
      </c>
      <c r="J107" t="s">
        <v>13</v>
      </c>
      <c r="K107" t="s">
        <v>14</v>
      </c>
      <c r="L107">
        <v>75</v>
      </c>
    </row>
    <row r="108" spans="1:12" x14ac:dyDescent="0.3">
      <c r="A108">
        <v>781</v>
      </c>
      <c r="B108" t="s">
        <v>24</v>
      </c>
      <c r="C108" s="1">
        <v>45851</v>
      </c>
      <c r="D108" s="1" t="str">
        <f>TEXT(FMData[[#This Row],[Show_Date]],"mmm")</f>
        <v>Jul</v>
      </c>
      <c r="E108" s="1" t="str">
        <f>TEXT(FMData[[#This Row],[Show_Date]],"ddd")</f>
        <v>Sun</v>
      </c>
      <c r="F108" t="s">
        <v>11</v>
      </c>
      <c r="G108" t="s">
        <v>17</v>
      </c>
      <c r="H108">
        <v>1</v>
      </c>
      <c r="I108">
        <v>12</v>
      </c>
      <c r="J108" t="s">
        <v>21</v>
      </c>
      <c r="K108" t="s">
        <v>25</v>
      </c>
      <c r="L108">
        <v>12</v>
      </c>
    </row>
    <row r="109" spans="1:12" x14ac:dyDescent="0.3">
      <c r="A109">
        <v>1740</v>
      </c>
      <c r="B109" t="s">
        <v>32</v>
      </c>
      <c r="C109" s="1">
        <v>45869</v>
      </c>
      <c r="D109" s="1" t="str">
        <f>TEXT(FMData[[#This Row],[Show_Date]],"mmm")</f>
        <v>Jul</v>
      </c>
      <c r="E109" s="1" t="str">
        <f>TEXT(FMData[[#This Row],[Show_Date]],"ddd")</f>
        <v>Thu</v>
      </c>
      <c r="F109" t="s">
        <v>16</v>
      </c>
      <c r="G109" t="s">
        <v>12</v>
      </c>
      <c r="H109">
        <v>3</v>
      </c>
      <c r="I109">
        <v>25</v>
      </c>
      <c r="J109" t="s">
        <v>21</v>
      </c>
      <c r="K109" t="s">
        <v>25</v>
      </c>
      <c r="L109">
        <v>75</v>
      </c>
    </row>
    <row r="110" spans="1:12" x14ac:dyDescent="0.3">
      <c r="A110">
        <v>1448</v>
      </c>
      <c r="B110" t="s">
        <v>19</v>
      </c>
      <c r="C110" s="1">
        <v>45851</v>
      </c>
      <c r="D110" s="1" t="str">
        <f>TEXT(FMData[[#This Row],[Show_Date]],"mmm")</f>
        <v>Jul</v>
      </c>
      <c r="E110" s="1" t="str">
        <f>TEXT(FMData[[#This Row],[Show_Date]],"ddd")</f>
        <v>Sun</v>
      </c>
      <c r="F110" t="s">
        <v>11</v>
      </c>
      <c r="G110" t="s">
        <v>30</v>
      </c>
      <c r="H110">
        <v>4</v>
      </c>
      <c r="I110">
        <v>8</v>
      </c>
      <c r="J110" t="s">
        <v>13</v>
      </c>
      <c r="K110" t="s">
        <v>25</v>
      </c>
      <c r="L110">
        <v>32</v>
      </c>
    </row>
    <row r="111" spans="1:12" x14ac:dyDescent="0.3">
      <c r="A111">
        <v>1813</v>
      </c>
      <c r="B111" t="s">
        <v>28</v>
      </c>
      <c r="C111" s="1">
        <v>45918</v>
      </c>
      <c r="D111" s="1" t="str">
        <f>TEXT(FMData[[#This Row],[Show_Date]],"mmm")</f>
        <v>Sep</v>
      </c>
      <c r="E111" s="1" t="str">
        <f>TEXT(FMData[[#This Row],[Show_Date]],"ddd")</f>
        <v>Thu</v>
      </c>
      <c r="F111" t="s">
        <v>20</v>
      </c>
      <c r="G111" t="s">
        <v>17</v>
      </c>
      <c r="H111">
        <v>5</v>
      </c>
      <c r="I111">
        <v>12</v>
      </c>
      <c r="J111" t="s">
        <v>21</v>
      </c>
      <c r="K111" t="s">
        <v>25</v>
      </c>
      <c r="L111">
        <v>60</v>
      </c>
    </row>
    <row r="112" spans="1:12" x14ac:dyDescent="0.3">
      <c r="A112">
        <v>1443</v>
      </c>
      <c r="B112" t="s">
        <v>31</v>
      </c>
      <c r="C112" s="1">
        <v>45879</v>
      </c>
      <c r="D112" s="1" t="str">
        <f>TEXT(FMData[[#This Row],[Show_Date]],"mmm")</f>
        <v>Aug</v>
      </c>
      <c r="E112" s="1" t="str">
        <f>TEXT(FMData[[#This Row],[Show_Date]],"ddd")</f>
        <v>Sun</v>
      </c>
      <c r="F112" t="s">
        <v>20</v>
      </c>
      <c r="G112" t="s">
        <v>17</v>
      </c>
      <c r="H112">
        <v>4</v>
      </c>
      <c r="I112">
        <v>12</v>
      </c>
      <c r="J112" t="s">
        <v>21</v>
      </c>
      <c r="K112" t="s">
        <v>14</v>
      </c>
      <c r="L112">
        <v>48</v>
      </c>
    </row>
    <row r="113" spans="1:12" x14ac:dyDescent="0.3">
      <c r="A113">
        <v>1775</v>
      </c>
      <c r="B113" t="s">
        <v>28</v>
      </c>
      <c r="C113" s="1">
        <v>45914</v>
      </c>
      <c r="D113" s="1" t="str">
        <f>TEXT(FMData[[#This Row],[Show_Date]],"mmm")</f>
        <v>Sep</v>
      </c>
      <c r="E113" s="1" t="str">
        <f>TEXT(FMData[[#This Row],[Show_Date]],"ddd")</f>
        <v>Sun</v>
      </c>
      <c r="F113" t="s">
        <v>20</v>
      </c>
      <c r="G113" t="s">
        <v>30</v>
      </c>
      <c r="H113">
        <v>1</v>
      </c>
      <c r="I113">
        <v>8</v>
      </c>
      <c r="J113" t="s">
        <v>23</v>
      </c>
      <c r="K113" t="s">
        <v>18</v>
      </c>
      <c r="L113">
        <v>8</v>
      </c>
    </row>
    <row r="114" spans="1:12" x14ac:dyDescent="0.3">
      <c r="A114">
        <v>1175</v>
      </c>
      <c r="B114" t="s">
        <v>24</v>
      </c>
      <c r="C114" s="1">
        <v>45851</v>
      </c>
      <c r="D114" s="1" t="str">
        <f>TEXT(FMData[[#This Row],[Show_Date]],"mmm")</f>
        <v>Jul</v>
      </c>
      <c r="E114" s="1" t="str">
        <f>TEXT(FMData[[#This Row],[Show_Date]],"ddd")</f>
        <v>Sun</v>
      </c>
      <c r="F114" t="s">
        <v>11</v>
      </c>
      <c r="G114" t="s">
        <v>17</v>
      </c>
      <c r="H114">
        <v>1</v>
      </c>
      <c r="I114">
        <v>12</v>
      </c>
      <c r="J114" t="s">
        <v>23</v>
      </c>
      <c r="K114" t="s">
        <v>25</v>
      </c>
      <c r="L114">
        <v>12</v>
      </c>
    </row>
    <row r="115" spans="1:12" x14ac:dyDescent="0.3">
      <c r="A115">
        <v>790</v>
      </c>
      <c r="B115" t="s">
        <v>28</v>
      </c>
      <c r="C115" s="1">
        <v>45863</v>
      </c>
      <c r="D115" s="1" t="str">
        <f>TEXT(FMData[[#This Row],[Show_Date]],"mmm")</f>
        <v>Jul</v>
      </c>
      <c r="E115" s="1" t="str">
        <f>TEXT(FMData[[#This Row],[Show_Date]],"ddd")</f>
        <v>Fri</v>
      </c>
      <c r="F115" t="s">
        <v>16</v>
      </c>
      <c r="G115" t="s">
        <v>29</v>
      </c>
      <c r="H115">
        <v>5</v>
      </c>
      <c r="I115">
        <v>30</v>
      </c>
      <c r="J115" t="s">
        <v>13</v>
      </c>
      <c r="K115" t="s">
        <v>27</v>
      </c>
      <c r="L115">
        <v>150</v>
      </c>
    </row>
    <row r="116" spans="1:12" x14ac:dyDescent="0.3">
      <c r="A116">
        <v>681</v>
      </c>
      <c r="B116" t="s">
        <v>19</v>
      </c>
      <c r="C116" s="1">
        <v>45862</v>
      </c>
      <c r="D116" s="1" t="str">
        <f>TEXT(FMData[[#This Row],[Show_Date]],"mmm")</f>
        <v>Jul</v>
      </c>
      <c r="E116" s="1" t="str">
        <f>TEXT(FMData[[#This Row],[Show_Date]],"ddd")</f>
        <v>Thu</v>
      </c>
      <c r="F116" t="s">
        <v>16</v>
      </c>
      <c r="G116" t="s">
        <v>17</v>
      </c>
      <c r="H116">
        <v>5</v>
      </c>
      <c r="I116">
        <v>12</v>
      </c>
      <c r="J116" t="s">
        <v>23</v>
      </c>
      <c r="K116" t="s">
        <v>18</v>
      </c>
      <c r="L116">
        <v>60</v>
      </c>
    </row>
    <row r="117" spans="1:12" x14ac:dyDescent="0.3">
      <c r="A117">
        <v>1571</v>
      </c>
      <c r="B117" t="s">
        <v>26</v>
      </c>
      <c r="C117" s="1">
        <v>45925</v>
      </c>
      <c r="D117" s="1" t="str">
        <f>TEXT(FMData[[#This Row],[Show_Date]],"mmm")</f>
        <v>Sep</v>
      </c>
      <c r="E117" s="1" t="str">
        <f>TEXT(FMData[[#This Row],[Show_Date]],"ddd")</f>
        <v>Thu</v>
      </c>
      <c r="F117" t="s">
        <v>11</v>
      </c>
      <c r="G117" t="s">
        <v>17</v>
      </c>
      <c r="H117">
        <v>4</v>
      </c>
      <c r="I117">
        <v>12</v>
      </c>
      <c r="J117" t="s">
        <v>21</v>
      </c>
      <c r="K117" t="s">
        <v>27</v>
      </c>
      <c r="L117">
        <v>48</v>
      </c>
    </row>
    <row r="118" spans="1:12" x14ac:dyDescent="0.3">
      <c r="A118">
        <v>1679</v>
      </c>
      <c r="B118" t="s">
        <v>10</v>
      </c>
      <c r="C118" s="1">
        <v>45913</v>
      </c>
      <c r="D118" s="1" t="str">
        <f>TEXT(FMData[[#This Row],[Show_Date]],"mmm")</f>
        <v>Sep</v>
      </c>
      <c r="E118" s="1" t="str">
        <f>TEXT(FMData[[#This Row],[Show_Date]],"ddd")</f>
        <v>Sat</v>
      </c>
      <c r="F118" t="s">
        <v>11</v>
      </c>
      <c r="G118" t="s">
        <v>22</v>
      </c>
      <c r="H118">
        <v>5</v>
      </c>
      <c r="I118">
        <v>20</v>
      </c>
      <c r="J118" t="s">
        <v>21</v>
      </c>
      <c r="K118" t="s">
        <v>18</v>
      </c>
      <c r="L118">
        <v>100</v>
      </c>
    </row>
    <row r="119" spans="1:12" x14ac:dyDescent="0.3">
      <c r="A119">
        <v>1017</v>
      </c>
      <c r="B119" t="s">
        <v>26</v>
      </c>
      <c r="C119" s="1">
        <v>45858</v>
      </c>
      <c r="D119" s="1" t="str">
        <f>TEXT(FMData[[#This Row],[Show_Date]],"mmm")</f>
        <v>Jul</v>
      </c>
      <c r="E119" s="1" t="str">
        <f>TEXT(FMData[[#This Row],[Show_Date]],"ddd")</f>
        <v>Sun</v>
      </c>
      <c r="F119" t="s">
        <v>11</v>
      </c>
      <c r="G119" t="s">
        <v>30</v>
      </c>
      <c r="H119">
        <v>3</v>
      </c>
      <c r="I119">
        <v>8</v>
      </c>
      <c r="J119" t="s">
        <v>13</v>
      </c>
      <c r="K119" t="s">
        <v>25</v>
      </c>
      <c r="L119">
        <v>24</v>
      </c>
    </row>
    <row r="120" spans="1:12" x14ac:dyDescent="0.3">
      <c r="A120">
        <v>1857</v>
      </c>
      <c r="B120" t="s">
        <v>15</v>
      </c>
      <c r="C120" s="1">
        <v>45871</v>
      </c>
      <c r="D120" s="1" t="str">
        <f>TEXT(FMData[[#This Row],[Show_Date]],"mmm")</f>
        <v>Aug</v>
      </c>
      <c r="E120" s="1" t="str">
        <f>TEXT(FMData[[#This Row],[Show_Date]],"ddd")</f>
        <v>Sat</v>
      </c>
      <c r="F120" t="s">
        <v>11</v>
      </c>
      <c r="G120" t="s">
        <v>17</v>
      </c>
      <c r="H120">
        <v>3</v>
      </c>
      <c r="I120">
        <v>12</v>
      </c>
      <c r="J120" t="s">
        <v>21</v>
      </c>
      <c r="K120" t="s">
        <v>14</v>
      </c>
      <c r="L120">
        <v>36</v>
      </c>
    </row>
    <row r="121" spans="1:12" x14ac:dyDescent="0.3">
      <c r="A121">
        <v>1380</v>
      </c>
      <c r="B121" t="s">
        <v>26</v>
      </c>
      <c r="C121" s="1">
        <v>45866</v>
      </c>
      <c r="D121" s="1" t="str">
        <f>TEXT(FMData[[#This Row],[Show_Date]],"mmm")</f>
        <v>Jul</v>
      </c>
      <c r="E121" s="1" t="str">
        <f>TEXT(FMData[[#This Row],[Show_Date]],"ddd")</f>
        <v>Mon</v>
      </c>
      <c r="F121" t="s">
        <v>11</v>
      </c>
      <c r="G121" t="s">
        <v>30</v>
      </c>
      <c r="H121">
        <v>2</v>
      </c>
      <c r="I121">
        <v>8</v>
      </c>
      <c r="J121" t="s">
        <v>13</v>
      </c>
      <c r="K121" t="s">
        <v>25</v>
      </c>
      <c r="L121">
        <v>16</v>
      </c>
    </row>
    <row r="122" spans="1:12" x14ac:dyDescent="0.3">
      <c r="A122">
        <v>33</v>
      </c>
      <c r="B122" t="s">
        <v>31</v>
      </c>
      <c r="C122" s="1">
        <v>45897</v>
      </c>
      <c r="D122" s="1" t="str">
        <f>TEXT(FMData[[#This Row],[Show_Date]],"mmm")</f>
        <v>Aug</v>
      </c>
      <c r="E122" s="1" t="str">
        <f>TEXT(FMData[[#This Row],[Show_Date]],"ddd")</f>
        <v>Thu</v>
      </c>
      <c r="F122" t="s">
        <v>11</v>
      </c>
      <c r="G122" t="s">
        <v>17</v>
      </c>
      <c r="H122">
        <v>2</v>
      </c>
      <c r="I122">
        <v>12</v>
      </c>
      <c r="J122" t="s">
        <v>21</v>
      </c>
      <c r="K122" t="s">
        <v>25</v>
      </c>
      <c r="L122">
        <v>24</v>
      </c>
    </row>
    <row r="123" spans="1:12" x14ac:dyDescent="0.3">
      <c r="A123">
        <v>1530</v>
      </c>
      <c r="B123" t="s">
        <v>31</v>
      </c>
      <c r="C123" s="1">
        <v>45878</v>
      </c>
      <c r="D123" s="1" t="str">
        <f>TEXT(FMData[[#This Row],[Show_Date]],"mmm")</f>
        <v>Aug</v>
      </c>
      <c r="E123" s="1" t="str">
        <f>TEXT(FMData[[#This Row],[Show_Date]],"ddd")</f>
        <v>Sat</v>
      </c>
      <c r="F123" t="s">
        <v>11</v>
      </c>
      <c r="G123" t="s">
        <v>17</v>
      </c>
      <c r="H123">
        <v>5</v>
      </c>
      <c r="I123">
        <v>12</v>
      </c>
      <c r="J123" t="s">
        <v>23</v>
      </c>
      <c r="K123" t="s">
        <v>14</v>
      </c>
      <c r="L123">
        <v>60</v>
      </c>
    </row>
    <row r="124" spans="1:12" x14ac:dyDescent="0.3">
      <c r="A124">
        <v>1723</v>
      </c>
      <c r="B124" t="s">
        <v>28</v>
      </c>
      <c r="C124" s="1">
        <v>45884</v>
      </c>
      <c r="D124" s="1" t="str">
        <f>TEXT(FMData[[#This Row],[Show_Date]],"mmm")</f>
        <v>Aug</v>
      </c>
      <c r="E124" s="1" t="str">
        <f>TEXT(FMData[[#This Row],[Show_Date]],"ddd")</f>
        <v>Fri</v>
      </c>
      <c r="F124" t="s">
        <v>11</v>
      </c>
      <c r="G124" t="s">
        <v>29</v>
      </c>
      <c r="H124">
        <v>1</v>
      </c>
      <c r="I124">
        <v>30</v>
      </c>
      <c r="J124" t="s">
        <v>23</v>
      </c>
      <c r="K124" t="s">
        <v>18</v>
      </c>
      <c r="L124">
        <v>30</v>
      </c>
    </row>
    <row r="125" spans="1:12" x14ac:dyDescent="0.3">
      <c r="A125">
        <v>153</v>
      </c>
      <c r="B125" t="s">
        <v>24</v>
      </c>
      <c r="C125" s="1">
        <v>45878</v>
      </c>
      <c r="D125" s="1" t="str">
        <f>TEXT(FMData[[#This Row],[Show_Date]],"mmm")</f>
        <v>Aug</v>
      </c>
      <c r="E125" s="1" t="str">
        <f>TEXT(FMData[[#This Row],[Show_Date]],"ddd")</f>
        <v>Sat</v>
      </c>
      <c r="F125" t="s">
        <v>11</v>
      </c>
      <c r="G125" t="s">
        <v>30</v>
      </c>
      <c r="H125">
        <v>2</v>
      </c>
      <c r="I125">
        <v>8</v>
      </c>
      <c r="J125" t="s">
        <v>21</v>
      </c>
      <c r="K125" t="s">
        <v>14</v>
      </c>
      <c r="L125">
        <v>16</v>
      </c>
    </row>
    <row r="126" spans="1:12" x14ac:dyDescent="0.3">
      <c r="A126">
        <v>672</v>
      </c>
      <c r="B126" t="s">
        <v>10</v>
      </c>
      <c r="C126" s="1">
        <v>45859</v>
      </c>
      <c r="D126" s="1" t="str">
        <f>TEXT(FMData[[#This Row],[Show_Date]],"mmm")</f>
        <v>Jul</v>
      </c>
      <c r="E126" s="1" t="str">
        <f>TEXT(FMData[[#This Row],[Show_Date]],"ddd")</f>
        <v>Mon</v>
      </c>
      <c r="F126" t="s">
        <v>11</v>
      </c>
      <c r="G126" t="s">
        <v>17</v>
      </c>
      <c r="H126">
        <v>3</v>
      </c>
      <c r="I126">
        <v>12</v>
      </c>
      <c r="J126" t="s">
        <v>13</v>
      </c>
      <c r="K126" t="s">
        <v>27</v>
      </c>
      <c r="L126">
        <v>36</v>
      </c>
    </row>
    <row r="127" spans="1:12" x14ac:dyDescent="0.3">
      <c r="A127">
        <v>1066</v>
      </c>
      <c r="B127" t="s">
        <v>32</v>
      </c>
      <c r="C127" s="1">
        <v>45914</v>
      </c>
      <c r="D127" s="1" t="str">
        <f>TEXT(FMData[[#This Row],[Show_Date]],"mmm")</f>
        <v>Sep</v>
      </c>
      <c r="E127" s="1" t="str">
        <f>TEXT(FMData[[#This Row],[Show_Date]],"ddd")</f>
        <v>Sun</v>
      </c>
      <c r="F127" t="s">
        <v>11</v>
      </c>
      <c r="G127" t="s">
        <v>17</v>
      </c>
      <c r="H127">
        <v>2</v>
      </c>
      <c r="I127">
        <v>12</v>
      </c>
      <c r="J127" t="s">
        <v>23</v>
      </c>
      <c r="K127" t="s">
        <v>14</v>
      </c>
      <c r="L127">
        <v>24</v>
      </c>
    </row>
    <row r="128" spans="1:12" x14ac:dyDescent="0.3">
      <c r="A128">
        <v>1748</v>
      </c>
      <c r="B128" t="s">
        <v>24</v>
      </c>
      <c r="C128" s="1">
        <v>45920</v>
      </c>
      <c r="D128" s="1" t="str">
        <f>TEXT(FMData[[#This Row],[Show_Date]],"mmm")</f>
        <v>Sep</v>
      </c>
      <c r="E128" s="1" t="str">
        <f>TEXT(FMData[[#This Row],[Show_Date]],"ddd")</f>
        <v>Sat</v>
      </c>
      <c r="F128" t="s">
        <v>11</v>
      </c>
      <c r="G128" t="s">
        <v>17</v>
      </c>
      <c r="H128">
        <v>5</v>
      </c>
      <c r="I128">
        <v>12</v>
      </c>
      <c r="J128" t="s">
        <v>23</v>
      </c>
      <c r="K128" t="s">
        <v>14</v>
      </c>
      <c r="L128">
        <v>60</v>
      </c>
    </row>
    <row r="129" spans="1:12" x14ac:dyDescent="0.3">
      <c r="A129">
        <v>1682</v>
      </c>
      <c r="B129" t="s">
        <v>26</v>
      </c>
      <c r="C129" s="1">
        <v>45858</v>
      </c>
      <c r="D129" s="1" t="str">
        <f>TEXT(FMData[[#This Row],[Show_Date]],"mmm")</f>
        <v>Jul</v>
      </c>
      <c r="E129" s="1" t="str">
        <f>TEXT(FMData[[#This Row],[Show_Date]],"ddd")</f>
        <v>Sun</v>
      </c>
      <c r="F129" t="s">
        <v>11</v>
      </c>
      <c r="G129" t="s">
        <v>17</v>
      </c>
      <c r="H129">
        <v>3</v>
      </c>
      <c r="I129">
        <v>12</v>
      </c>
      <c r="J129" t="s">
        <v>23</v>
      </c>
      <c r="K129" t="s">
        <v>14</v>
      </c>
      <c r="L129">
        <v>36</v>
      </c>
    </row>
    <row r="130" spans="1:12" x14ac:dyDescent="0.3">
      <c r="A130">
        <v>1761</v>
      </c>
      <c r="B130" t="s">
        <v>19</v>
      </c>
      <c r="C130" s="1">
        <v>45886</v>
      </c>
      <c r="D130" s="1" t="str">
        <f>TEXT(FMData[[#This Row],[Show_Date]],"mmm")</f>
        <v>Aug</v>
      </c>
      <c r="E130" s="1" t="str">
        <f>TEXT(FMData[[#This Row],[Show_Date]],"ddd")</f>
        <v>Sun</v>
      </c>
      <c r="F130" t="s">
        <v>11</v>
      </c>
      <c r="G130" t="s">
        <v>17</v>
      </c>
      <c r="H130">
        <v>2</v>
      </c>
      <c r="I130">
        <v>12</v>
      </c>
      <c r="J130" t="s">
        <v>21</v>
      </c>
      <c r="K130" t="s">
        <v>25</v>
      </c>
      <c r="L130">
        <v>24</v>
      </c>
    </row>
    <row r="131" spans="1:12" x14ac:dyDescent="0.3">
      <c r="A131">
        <v>1515</v>
      </c>
      <c r="B131" t="s">
        <v>31</v>
      </c>
      <c r="C131" s="1">
        <v>45871</v>
      </c>
      <c r="D131" s="1" t="str">
        <f>TEXT(FMData[[#This Row],[Show_Date]],"mmm")</f>
        <v>Aug</v>
      </c>
      <c r="E131" s="1" t="str">
        <f>TEXT(FMData[[#This Row],[Show_Date]],"ddd")</f>
        <v>Sat</v>
      </c>
      <c r="F131" t="s">
        <v>11</v>
      </c>
      <c r="G131" t="s">
        <v>22</v>
      </c>
      <c r="H131">
        <v>2</v>
      </c>
      <c r="I131">
        <v>20</v>
      </c>
      <c r="J131" t="s">
        <v>23</v>
      </c>
      <c r="K131" t="s">
        <v>14</v>
      </c>
      <c r="L131">
        <v>40</v>
      </c>
    </row>
    <row r="132" spans="1:12" x14ac:dyDescent="0.3">
      <c r="A132">
        <v>142</v>
      </c>
      <c r="B132" t="s">
        <v>24</v>
      </c>
      <c r="C132" s="1">
        <v>45910</v>
      </c>
      <c r="D132" s="1" t="str">
        <f>TEXT(FMData[[#This Row],[Show_Date]],"mmm")</f>
        <v>Sep</v>
      </c>
      <c r="E132" s="1" t="str">
        <f>TEXT(FMData[[#This Row],[Show_Date]],"ddd")</f>
        <v>Wed</v>
      </c>
      <c r="F132" t="s">
        <v>11</v>
      </c>
      <c r="G132" t="s">
        <v>12</v>
      </c>
      <c r="H132">
        <v>1</v>
      </c>
      <c r="I132">
        <v>25</v>
      </c>
      <c r="J132" t="s">
        <v>21</v>
      </c>
      <c r="K132" t="s">
        <v>25</v>
      </c>
      <c r="L132">
        <v>25</v>
      </c>
    </row>
    <row r="133" spans="1:12" x14ac:dyDescent="0.3">
      <c r="A133">
        <v>940</v>
      </c>
      <c r="B133" t="s">
        <v>26</v>
      </c>
      <c r="C133" s="1">
        <v>45871</v>
      </c>
      <c r="D133" s="1" t="str">
        <f>TEXT(FMData[[#This Row],[Show_Date]],"mmm")</f>
        <v>Aug</v>
      </c>
      <c r="E133" s="1" t="str">
        <f>TEXT(FMData[[#This Row],[Show_Date]],"ddd")</f>
        <v>Sat</v>
      </c>
      <c r="F133" t="s">
        <v>11</v>
      </c>
      <c r="G133" t="s">
        <v>17</v>
      </c>
      <c r="H133">
        <v>2</v>
      </c>
      <c r="I133">
        <v>12</v>
      </c>
      <c r="J133" t="s">
        <v>23</v>
      </c>
      <c r="K133" t="s">
        <v>25</v>
      </c>
      <c r="L133">
        <v>24</v>
      </c>
    </row>
    <row r="134" spans="1:12" x14ac:dyDescent="0.3">
      <c r="A134">
        <v>1567</v>
      </c>
      <c r="B134" t="s">
        <v>15</v>
      </c>
      <c r="C134" s="1">
        <v>45869</v>
      </c>
      <c r="D134" s="1" t="str">
        <f>TEXT(FMData[[#This Row],[Show_Date]],"mmm")</f>
        <v>Jul</v>
      </c>
      <c r="E134" s="1" t="str">
        <f>TEXT(FMData[[#This Row],[Show_Date]],"ddd")</f>
        <v>Thu</v>
      </c>
      <c r="F134" t="s">
        <v>11</v>
      </c>
      <c r="G134" t="s">
        <v>12</v>
      </c>
      <c r="H134">
        <v>1</v>
      </c>
      <c r="I134">
        <v>25</v>
      </c>
      <c r="J134" t="s">
        <v>21</v>
      </c>
      <c r="K134" t="s">
        <v>27</v>
      </c>
      <c r="L134">
        <v>25</v>
      </c>
    </row>
    <row r="135" spans="1:12" x14ac:dyDescent="0.3">
      <c r="A135">
        <v>1985</v>
      </c>
      <c r="B135" t="s">
        <v>10</v>
      </c>
      <c r="C135" s="1">
        <v>45871</v>
      </c>
      <c r="D135" s="1" t="str">
        <f>TEXT(FMData[[#This Row],[Show_Date]],"mmm")</f>
        <v>Aug</v>
      </c>
      <c r="E135" s="1" t="str">
        <f>TEXT(FMData[[#This Row],[Show_Date]],"ddd")</f>
        <v>Sat</v>
      </c>
      <c r="F135" t="s">
        <v>11</v>
      </c>
      <c r="G135" t="s">
        <v>22</v>
      </c>
      <c r="H135">
        <v>3</v>
      </c>
      <c r="I135">
        <v>20</v>
      </c>
      <c r="J135" t="s">
        <v>23</v>
      </c>
      <c r="K135" t="s">
        <v>27</v>
      </c>
      <c r="L135">
        <v>60</v>
      </c>
    </row>
    <row r="136" spans="1:12" x14ac:dyDescent="0.3">
      <c r="A136">
        <v>627</v>
      </c>
      <c r="B136" t="s">
        <v>15</v>
      </c>
      <c r="C136" s="1">
        <v>45900</v>
      </c>
      <c r="D136" s="1" t="str">
        <f>TEXT(FMData[[#This Row],[Show_Date]],"mmm")</f>
        <v>Aug</v>
      </c>
      <c r="E136" s="1" t="str">
        <f>TEXT(FMData[[#This Row],[Show_Date]],"ddd")</f>
        <v>Sun</v>
      </c>
      <c r="F136" t="s">
        <v>11</v>
      </c>
      <c r="G136" t="s">
        <v>17</v>
      </c>
      <c r="H136">
        <v>5</v>
      </c>
      <c r="I136">
        <v>12</v>
      </c>
      <c r="J136" t="s">
        <v>23</v>
      </c>
      <c r="K136" t="s">
        <v>25</v>
      </c>
      <c r="L136">
        <v>60</v>
      </c>
    </row>
    <row r="137" spans="1:12" x14ac:dyDescent="0.3">
      <c r="A137">
        <v>283</v>
      </c>
      <c r="B137" t="s">
        <v>10</v>
      </c>
      <c r="C137" s="1">
        <v>45921</v>
      </c>
      <c r="D137" s="1" t="str">
        <f>TEXT(FMData[[#This Row],[Show_Date]],"mmm")</f>
        <v>Sep</v>
      </c>
      <c r="E137" s="1" t="str">
        <f>TEXT(FMData[[#This Row],[Show_Date]],"ddd")</f>
        <v>Sun</v>
      </c>
      <c r="F137" t="s">
        <v>11</v>
      </c>
      <c r="G137" t="s">
        <v>17</v>
      </c>
      <c r="H137">
        <v>4</v>
      </c>
      <c r="I137">
        <v>12</v>
      </c>
      <c r="J137" t="s">
        <v>23</v>
      </c>
      <c r="K137" t="s">
        <v>27</v>
      </c>
      <c r="L137">
        <v>48</v>
      </c>
    </row>
    <row r="138" spans="1:12" x14ac:dyDescent="0.3">
      <c r="A138">
        <v>1961</v>
      </c>
      <c r="B138" t="s">
        <v>26</v>
      </c>
      <c r="C138" s="1">
        <v>45914</v>
      </c>
      <c r="D138" s="1" t="str">
        <f>TEXT(FMData[[#This Row],[Show_Date]],"mmm")</f>
        <v>Sep</v>
      </c>
      <c r="E138" s="1" t="str">
        <f>TEXT(FMData[[#This Row],[Show_Date]],"ddd")</f>
        <v>Sun</v>
      </c>
      <c r="F138" t="s">
        <v>11</v>
      </c>
      <c r="G138" t="s">
        <v>12</v>
      </c>
      <c r="H138">
        <v>5</v>
      </c>
      <c r="I138">
        <v>25</v>
      </c>
      <c r="J138" t="s">
        <v>23</v>
      </c>
      <c r="K138" t="s">
        <v>25</v>
      </c>
      <c r="L138">
        <v>125</v>
      </c>
    </row>
    <row r="139" spans="1:12" x14ac:dyDescent="0.3">
      <c r="A139">
        <v>887</v>
      </c>
      <c r="B139" t="s">
        <v>24</v>
      </c>
      <c r="C139" s="1">
        <v>45866</v>
      </c>
      <c r="D139" s="1" t="str">
        <f>TEXT(FMData[[#This Row],[Show_Date]],"mmm")</f>
        <v>Jul</v>
      </c>
      <c r="E139" s="1" t="str">
        <f>TEXT(FMData[[#This Row],[Show_Date]],"ddd")</f>
        <v>Mon</v>
      </c>
      <c r="F139" t="s">
        <v>11</v>
      </c>
      <c r="G139" t="s">
        <v>12</v>
      </c>
      <c r="H139">
        <v>4</v>
      </c>
      <c r="I139">
        <v>25</v>
      </c>
      <c r="J139" t="s">
        <v>23</v>
      </c>
      <c r="K139" t="s">
        <v>27</v>
      </c>
      <c r="L139">
        <v>100</v>
      </c>
    </row>
    <row r="140" spans="1:12" x14ac:dyDescent="0.3">
      <c r="A140">
        <v>436</v>
      </c>
      <c r="B140" t="s">
        <v>19</v>
      </c>
      <c r="C140" s="1">
        <v>45863</v>
      </c>
      <c r="D140" s="1" t="str">
        <f>TEXT(FMData[[#This Row],[Show_Date]],"mmm")</f>
        <v>Jul</v>
      </c>
      <c r="E140" s="1" t="str">
        <f>TEXT(FMData[[#This Row],[Show_Date]],"ddd")</f>
        <v>Fri</v>
      </c>
      <c r="F140" t="s">
        <v>11</v>
      </c>
      <c r="G140" t="s">
        <v>17</v>
      </c>
      <c r="H140">
        <v>3</v>
      </c>
      <c r="I140">
        <v>12</v>
      </c>
      <c r="J140" t="s">
        <v>23</v>
      </c>
      <c r="K140" t="s">
        <v>27</v>
      </c>
      <c r="L140">
        <v>36</v>
      </c>
    </row>
    <row r="141" spans="1:12" x14ac:dyDescent="0.3">
      <c r="A141">
        <v>67</v>
      </c>
      <c r="B141" t="s">
        <v>31</v>
      </c>
      <c r="C141" s="1">
        <v>45929</v>
      </c>
      <c r="D141" s="1" t="str">
        <f>TEXT(FMData[[#This Row],[Show_Date]],"mmm")</f>
        <v>Sep</v>
      </c>
      <c r="E141" s="1" t="str">
        <f>TEXT(FMData[[#This Row],[Show_Date]],"ddd")</f>
        <v>Mon</v>
      </c>
      <c r="F141" t="s">
        <v>11</v>
      </c>
      <c r="G141" t="s">
        <v>17</v>
      </c>
      <c r="H141">
        <v>3</v>
      </c>
      <c r="I141">
        <v>12</v>
      </c>
      <c r="J141" t="s">
        <v>21</v>
      </c>
      <c r="K141" t="s">
        <v>18</v>
      </c>
      <c r="L141">
        <v>36</v>
      </c>
    </row>
    <row r="142" spans="1:12" x14ac:dyDescent="0.3">
      <c r="A142">
        <v>1332</v>
      </c>
      <c r="B142" t="s">
        <v>10</v>
      </c>
      <c r="C142" s="1">
        <v>45913</v>
      </c>
      <c r="D142" s="1" t="str">
        <f>TEXT(FMData[[#This Row],[Show_Date]],"mmm")</f>
        <v>Sep</v>
      </c>
      <c r="E142" s="1" t="str">
        <f>TEXT(FMData[[#This Row],[Show_Date]],"ddd")</f>
        <v>Sat</v>
      </c>
      <c r="F142" t="s">
        <v>11</v>
      </c>
      <c r="G142" t="s">
        <v>30</v>
      </c>
      <c r="H142">
        <v>4</v>
      </c>
      <c r="I142">
        <v>8</v>
      </c>
      <c r="J142" t="s">
        <v>13</v>
      </c>
      <c r="K142" t="s">
        <v>27</v>
      </c>
      <c r="L142">
        <v>32</v>
      </c>
    </row>
    <row r="143" spans="1:12" x14ac:dyDescent="0.3">
      <c r="A143">
        <v>1294</v>
      </c>
      <c r="B143" t="s">
        <v>24</v>
      </c>
      <c r="C143" s="1">
        <v>45872</v>
      </c>
      <c r="D143" s="1" t="str">
        <f>TEXT(FMData[[#This Row],[Show_Date]],"mmm")</f>
        <v>Aug</v>
      </c>
      <c r="E143" s="1" t="str">
        <f>TEXT(FMData[[#This Row],[Show_Date]],"ddd")</f>
        <v>Sun</v>
      </c>
      <c r="F143" t="s">
        <v>11</v>
      </c>
      <c r="G143" t="s">
        <v>12</v>
      </c>
      <c r="H143">
        <v>5</v>
      </c>
      <c r="I143">
        <v>25</v>
      </c>
      <c r="J143" t="s">
        <v>21</v>
      </c>
      <c r="K143" t="s">
        <v>27</v>
      </c>
      <c r="L143">
        <v>125</v>
      </c>
    </row>
    <row r="144" spans="1:12" x14ac:dyDescent="0.3">
      <c r="A144">
        <v>637</v>
      </c>
      <c r="B144" t="s">
        <v>24</v>
      </c>
      <c r="C144" s="1">
        <v>45913</v>
      </c>
      <c r="D144" s="1" t="str">
        <f>TEXT(FMData[[#This Row],[Show_Date]],"mmm")</f>
        <v>Sep</v>
      </c>
      <c r="E144" s="1" t="str">
        <f>TEXT(FMData[[#This Row],[Show_Date]],"ddd")</f>
        <v>Sat</v>
      </c>
      <c r="F144" t="s">
        <v>11</v>
      </c>
      <c r="G144" t="s">
        <v>29</v>
      </c>
      <c r="H144">
        <v>3</v>
      </c>
      <c r="I144">
        <v>30</v>
      </c>
      <c r="J144" t="s">
        <v>13</v>
      </c>
      <c r="K144" t="s">
        <v>18</v>
      </c>
      <c r="L144">
        <v>90</v>
      </c>
    </row>
    <row r="145" spans="1:12" x14ac:dyDescent="0.3">
      <c r="A145">
        <v>126</v>
      </c>
      <c r="B145" t="s">
        <v>19</v>
      </c>
      <c r="C145" s="1">
        <v>45907</v>
      </c>
      <c r="D145" s="1" t="str">
        <f>TEXT(FMData[[#This Row],[Show_Date]],"mmm")</f>
        <v>Sep</v>
      </c>
      <c r="E145" s="1" t="str">
        <f>TEXT(FMData[[#This Row],[Show_Date]],"ddd")</f>
        <v>Sun</v>
      </c>
      <c r="F145" t="s">
        <v>11</v>
      </c>
      <c r="G145" t="s">
        <v>30</v>
      </c>
      <c r="H145">
        <v>1</v>
      </c>
      <c r="I145">
        <v>8</v>
      </c>
      <c r="J145" t="s">
        <v>23</v>
      </c>
      <c r="K145" t="s">
        <v>18</v>
      </c>
      <c r="L145">
        <v>8</v>
      </c>
    </row>
    <row r="146" spans="1:12" x14ac:dyDescent="0.3">
      <c r="A146">
        <v>811</v>
      </c>
      <c r="B146" t="s">
        <v>32</v>
      </c>
      <c r="C146" s="1">
        <v>45843</v>
      </c>
      <c r="D146" s="1" t="str">
        <f>TEXT(FMData[[#This Row],[Show_Date]],"mmm")</f>
        <v>Jul</v>
      </c>
      <c r="E146" s="1" t="str">
        <f>TEXT(FMData[[#This Row],[Show_Date]],"ddd")</f>
        <v>Sat</v>
      </c>
      <c r="F146" t="s">
        <v>11</v>
      </c>
      <c r="G146" t="s">
        <v>17</v>
      </c>
      <c r="H146">
        <v>5</v>
      </c>
      <c r="I146">
        <v>12</v>
      </c>
      <c r="J146" t="s">
        <v>21</v>
      </c>
      <c r="K146" t="s">
        <v>18</v>
      </c>
      <c r="L146">
        <v>60</v>
      </c>
    </row>
    <row r="147" spans="1:12" x14ac:dyDescent="0.3">
      <c r="A147">
        <v>1498</v>
      </c>
      <c r="B147" t="s">
        <v>19</v>
      </c>
      <c r="C147" s="1">
        <v>45851</v>
      </c>
      <c r="D147" s="1" t="str">
        <f>TEXT(FMData[[#This Row],[Show_Date]],"mmm")</f>
        <v>Jul</v>
      </c>
      <c r="E147" s="1" t="str">
        <f>TEXT(FMData[[#This Row],[Show_Date]],"ddd")</f>
        <v>Sun</v>
      </c>
      <c r="F147" t="s">
        <v>11</v>
      </c>
      <c r="G147" t="s">
        <v>22</v>
      </c>
      <c r="H147">
        <v>5</v>
      </c>
      <c r="I147">
        <v>20</v>
      </c>
      <c r="J147" t="s">
        <v>13</v>
      </c>
      <c r="K147" t="s">
        <v>25</v>
      </c>
      <c r="L147">
        <v>100</v>
      </c>
    </row>
    <row r="148" spans="1:12" x14ac:dyDescent="0.3">
      <c r="A148">
        <v>451</v>
      </c>
      <c r="B148" t="s">
        <v>10</v>
      </c>
      <c r="C148" s="1">
        <v>45842</v>
      </c>
      <c r="D148" s="1" t="str">
        <f>TEXT(FMData[[#This Row],[Show_Date]],"mmm")</f>
        <v>Jul</v>
      </c>
      <c r="E148" s="1" t="str">
        <f>TEXT(FMData[[#This Row],[Show_Date]],"ddd")</f>
        <v>Fri</v>
      </c>
      <c r="F148" t="s">
        <v>11</v>
      </c>
      <c r="G148" t="s">
        <v>17</v>
      </c>
      <c r="H148">
        <v>5</v>
      </c>
      <c r="I148">
        <v>12</v>
      </c>
      <c r="J148" t="s">
        <v>13</v>
      </c>
      <c r="K148" t="s">
        <v>18</v>
      </c>
      <c r="L148">
        <v>60</v>
      </c>
    </row>
    <row r="149" spans="1:12" x14ac:dyDescent="0.3">
      <c r="A149">
        <v>4</v>
      </c>
      <c r="B149" t="s">
        <v>28</v>
      </c>
      <c r="C149" s="1">
        <v>45839</v>
      </c>
      <c r="D149" s="1" t="str">
        <f>TEXT(FMData[[#This Row],[Show_Date]],"mmm")</f>
        <v>Jul</v>
      </c>
      <c r="E149" s="1" t="str">
        <f>TEXT(FMData[[#This Row],[Show_Date]],"ddd")</f>
        <v>Tue</v>
      </c>
      <c r="F149" t="s">
        <v>11</v>
      </c>
      <c r="G149" t="s">
        <v>17</v>
      </c>
      <c r="H149">
        <v>3</v>
      </c>
      <c r="I149">
        <v>12</v>
      </c>
      <c r="J149" t="s">
        <v>13</v>
      </c>
      <c r="K149" t="s">
        <v>14</v>
      </c>
      <c r="L149">
        <v>36</v>
      </c>
    </row>
    <row r="150" spans="1:12" x14ac:dyDescent="0.3">
      <c r="A150">
        <v>628</v>
      </c>
      <c r="B150" t="s">
        <v>10</v>
      </c>
      <c r="C150" s="1">
        <v>45896</v>
      </c>
      <c r="D150" s="1" t="str">
        <f>TEXT(FMData[[#This Row],[Show_Date]],"mmm")</f>
        <v>Aug</v>
      </c>
      <c r="E150" s="1" t="str">
        <f>TEXT(FMData[[#This Row],[Show_Date]],"ddd")</f>
        <v>Wed</v>
      </c>
      <c r="F150" t="s">
        <v>11</v>
      </c>
      <c r="G150" t="s">
        <v>30</v>
      </c>
      <c r="H150">
        <v>4</v>
      </c>
      <c r="I150">
        <v>8</v>
      </c>
      <c r="J150" t="s">
        <v>21</v>
      </c>
      <c r="K150" t="s">
        <v>25</v>
      </c>
      <c r="L150">
        <v>32</v>
      </c>
    </row>
    <row r="151" spans="1:12" x14ac:dyDescent="0.3">
      <c r="A151">
        <v>829</v>
      </c>
      <c r="B151" t="s">
        <v>28</v>
      </c>
      <c r="C151" s="1">
        <v>45864</v>
      </c>
      <c r="D151" s="1" t="str">
        <f>TEXT(FMData[[#This Row],[Show_Date]],"mmm")</f>
        <v>Jul</v>
      </c>
      <c r="E151" s="1" t="str">
        <f>TEXT(FMData[[#This Row],[Show_Date]],"ddd")</f>
        <v>Sat</v>
      </c>
      <c r="F151" t="s">
        <v>11</v>
      </c>
      <c r="G151" t="s">
        <v>17</v>
      </c>
      <c r="H151">
        <v>5</v>
      </c>
      <c r="I151">
        <v>12</v>
      </c>
      <c r="J151" t="s">
        <v>13</v>
      </c>
      <c r="K151" t="s">
        <v>14</v>
      </c>
      <c r="L151">
        <v>60</v>
      </c>
    </row>
    <row r="152" spans="1:12" x14ac:dyDescent="0.3">
      <c r="A152">
        <v>1520</v>
      </c>
      <c r="B152" t="s">
        <v>15</v>
      </c>
      <c r="C152" s="1">
        <v>45844</v>
      </c>
      <c r="D152" s="1" t="str">
        <f>TEXT(FMData[[#This Row],[Show_Date]],"mmm")</f>
        <v>Jul</v>
      </c>
      <c r="E152" s="1" t="str">
        <f>TEXT(FMData[[#This Row],[Show_Date]],"ddd")</f>
        <v>Sun</v>
      </c>
      <c r="F152" t="s">
        <v>11</v>
      </c>
      <c r="G152" t="s">
        <v>17</v>
      </c>
      <c r="H152">
        <v>1</v>
      </c>
      <c r="I152">
        <v>12</v>
      </c>
      <c r="J152" t="s">
        <v>13</v>
      </c>
      <c r="K152" t="s">
        <v>14</v>
      </c>
      <c r="L152">
        <v>12</v>
      </c>
    </row>
    <row r="153" spans="1:12" x14ac:dyDescent="0.3">
      <c r="A153">
        <v>1605</v>
      </c>
      <c r="B153" t="s">
        <v>31</v>
      </c>
      <c r="C153" s="1">
        <v>45878</v>
      </c>
      <c r="D153" s="1" t="str">
        <f>TEXT(FMData[[#This Row],[Show_Date]],"mmm")</f>
        <v>Aug</v>
      </c>
      <c r="E153" s="1" t="str">
        <f>TEXT(FMData[[#This Row],[Show_Date]],"ddd")</f>
        <v>Sat</v>
      </c>
      <c r="F153" t="s">
        <v>11</v>
      </c>
      <c r="G153" t="s">
        <v>17</v>
      </c>
      <c r="H153">
        <v>2</v>
      </c>
      <c r="I153">
        <v>12</v>
      </c>
      <c r="J153" t="s">
        <v>23</v>
      </c>
      <c r="K153" t="s">
        <v>18</v>
      </c>
      <c r="L153">
        <v>24</v>
      </c>
    </row>
    <row r="154" spans="1:12" x14ac:dyDescent="0.3">
      <c r="A154">
        <v>1141</v>
      </c>
      <c r="B154" t="s">
        <v>10</v>
      </c>
      <c r="C154" s="1">
        <v>45851</v>
      </c>
      <c r="D154" s="1" t="str">
        <f>TEXT(FMData[[#This Row],[Show_Date]],"mmm")</f>
        <v>Jul</v>
      </c>
      <c r="E154" s="1" t="str">
        <f>TEXT(FMData[[#This Row],[Show_Date]],"ddd")</f>
        <v>Sun</v>
      </c>
      <c r="F154" t="s">
        <v>11</v>
      </c>
      <c r="G154" t="s">
        <v>17</v>
      </c>
      <c r="H154">
        <v>4</v>
      </c>
      <c r="I154">
        <v>12</v>
      </c>
      <c r="J154" t="s">
        <v>23</v>
      </c>
      <c r="K154" t="s">
        <v>27</v>
      </c>
      <c r="L154">
        <v>48</v>
      </c>
    </row>
    <row r="155" spans="1:12" x14ac:dyDescent="0.3">
      <c r="A155">
        <v>1924</v>
      </c>
      <c r="B155" t="s">
        <v>32</v>
      </c>
      <c r="C155" s="1">
        <v>45908</v>
      </c>
      <c r="D155" s="1" t="str">
        <f>TEXT(FMData[[#This Row],[Show_Date]],"mmm")</f>
        <v>Sep</v>
      </c>
      <c r="E155" s="1" t="str">
        <f>TEXT(FMData[[#This Row],[Show_Date]],"ddd")</f>
        <v>Mon</v>
      </c>
      <c r="F155" t="s">
        <v>11</v>
      </c>
      <c r="G155" t="s">
        <v>17</v>
      </c>
      <c r="H155">
        <v>4</v>
      </c>
      <c r="I155">
        <v>12</v>
      </c>
      <c r="J155" t="s">
        <v>23</v>
      </c>
      <c r="K155" t="s">
        <v>18</v>
      </c>
      <c r="L155">
        <v>48</v>
      </c>
    </row>
    <row r="156" spans="1:12" x14ac:dyDescent="0.3">
      <c r="A156">
        <v>1061</v>
      </c>
      <c r="B156" t="s">
        <v>24</v>
      </c>
      <c r="C156" s="1">
        <v>45866</v>
      </c>
      <c r="D156" s="1" t="str">
        <f>TEXT(FMData[[#This Row],[Show_Date]],"mmm")</f>
        <v>Jul</v>
      </c>
      <c r="E156" s="1" t="str">
        <f>TEXT(FMData[[#This Row],[Show_Date]],"ddd")</f>
        <v>Mon</v>
      </c>
      <c r="F156" t="s">
        <v>11</v>
      </c>
      <c r="G156" t="s">
        <v>17</v>
      </c>
      <c r="H156">
        <v>2</v>
      </c>
      <c r="I156">
        <v>12</v>
      </c>
      <c r="J156" t="s">
        <v>23</v>
      </c>
      <c r="K156" t="s">
        <v>25</v>
      </c>
      <c r="L156">
        <v>24</v>
      </c>
    </row>
    <row r="157" spans="1:12" x14ac:dyDescent="0.3">
      <c r="A157">
        <v>1127</v>
      </c>
      <c r="B157" t="s">
        <v>31</v>
      </c>
      <c r="C157" s="1">
        <v>45895</v>
      </c>
      <c r="D157" s="1" t="str">
        <f>TEXT(FMData[[#This Row],[Show_Date]],"mmm")</f>
        <v>Aug</v>
      </c>
      <c r="E157" s="1" t="str">
        <f>TEXT(FMData[[#This Row],[Show_Date]],"ddd")</f>
        <v>Tue</v>
      </c>
      <c r="F157" t="s">
        <v>11</v>
      </c>
      <c r="G157" t="s">
        <v>30</v>
      </c>
      <c r="H157">
        <v>5</v>
      </c>
      <c r="I157">
        <v>8</v>
      </c>
      <c r="J157" t="s">
        <v>23</v>
      </c>
      <c r="K157" t="s">
        <v>25</v>
      </c>
      <c r="L157">
        <v>40</v>
      </c>
    </row>
    <row r="158" spans="1:12" x14ac:dyDescent="0.3">
      <c r="A158">
        <v>840</v>
      </c>
      <c r="B158" t="s">
        <v>15</v>
      </c>
      <c r="C158" s="1">
        <v>45870</v>
      </c>
      <c r="D158" s="1" t="str">
        <f>TEXT(FMData[[#This Row],[Show_Date]],"mmm")</f>
        <v>Aug</v>
      </c>
      <c r="E158" s="1" t="str">
        <f>TEXT(FMData[[#This Row],[Show_Date]],"ddd")</f>
        <v>Fri</v>
      </c>
      <c r="F158" t="s">
        <v>11</v>
      </c>
      <c r="G158" t="s">
        <v>17</v>
      </c>
      <c r="H158">
        <v>5</v>
      </c>
      <c r="I158">
        <v>12</v>
      </c>
      <c r="J158" t="s">
        <v>21</v>
      </c>
      <c r="K158" t="s">
        <v>25</v>
      </c>
      <c r="L158">
        <v>60</v>
      </c>
    </row>
    <row r="159" spans="1:12" x14ac:dyDescent="0.3">
      <c r="A159">
        <v>493</v>
      </c>
      <c r="B159" t="s">
        <v>24</v>
      </c>
      <c r="C159" s="1">
        <v>45895</v>
      </c>
      <c r="D159" s="1" t="str">
        <f>TEXT(FMData[[#This Row],[Show_Date]],"mmm")</f>
        <v>Aug</v>
      </c>
      <c r="E159" s="1" t="str">
        <f>TEXT(FMData[[#This Row],[Show_Date]],"ddd")</f>
        <v>Tue</v>
      </c>
      <c r="F159" t="s">
        <v>11</v>
      </c>
      <c r="G159" t="s">
        <v>30</v>
      </c>
      <c r="H159">
        <v>5</v>
      </c>
      <c r="I159">
        <v>8</v>
      </c>
      <c r="J159" t="s">
        <v>13</v>
      </c>
      <c r="K159" t="s">
        <v>27</v>
      </c>
      <c r="L159">
        <v>40</v>
      </c>
    </row>
    <row r="160" spans="1:12" x14ac:dyDescent="0.3">
      <c r="A160">
        <v>1033</v>
      </c>
      <c r="B160" t="s">
        <v>24</v>
      </c>
      <c r="C160" s="1">
        <v>45862</v>
      </c>
      <c r="D160" s="1" t="str">
        <f>TEXT(FMData[[#This Row],[Show_Date]],"mmm")</f>
        <v>Jul</v>
      </c>
      <c r="E160" s="1" t="str">
        <f>TEXT(FMData[[#This Row],[Show_Date]],"ddd")</f>
        <v>Thu</v>
      </c>
      <c r="F160" t="s">
        <v>11</v>
      </c>
      <c r="G160" t="s">
        <v>30</v>
      </c>
      <c r="H160">
        <v>4</v>
      </c>
      <c r="I160">
        <v>8</v>
      </c>
      <c r="J160" t="s">
        <v>13</v>
      </c>
      <c r="K160" t="s">
        <v>27</v>
      </c>
      <c r="L160">
        <v>32</v>
      </c>
    </row>
    <row r="161" spans="1:12" x14ac:dyDescent="0.3">
      <c r="A161">
        <v>1209</v>
      </c>
      <c r="B161" t="s">
        <v>24</v>
      </c>
      <c r="C161" s="1">
        <v>45917</v>
      </c>
      <c r="D161" s="1" t="str">
        <f>TEXT(FMData[[#This Row],[Show_Date]],"mmm")</f>
        <v>Sep</v>
      </c>
      <c r="E161" s="1" t="str">
        <f>TEXT(FMData[[#This Row],[Show_Date]],"ddd")</f>
        <v>Wed</v>
      </c>
      <c r="F161" t="s">
        <v>11</v>
      </c>
      <c r="G161" t="s">
        <v>17</v>
      </c>
      <c r="H161">
        <v>4</v>
      </c>
      <c r="I161">
        <v>12</v>
      </c>
      <c r="J161" t="s">
        <v>21</v>
      </c>
      <c r="K161" t="s">
        <v>27</v>
      </c>
      <c r="L161">
        <v>48</v>
      </c>
    </row>
    <row r="162" spans="1:12" x14ac:dyDescent="0.3">
      <c r="A162">
        <v>1862</v>
      </c>
      <c r="B162" t="s">
        <v>10</v>
      </c>
      <c r="C162" s="1">
        <v>45901</v>
      </c>
      <c r="D162" s="1" t="str">
        <f>TEXT(FMData[[#This Row],[Show_Date]],"mmm")</f>
        <v>Sep</v>
      </c>
      <c r="E162" s="1" t="str">
        <f>TEXT(FMData[[#This Row],[Show_Date]],"ddd")</f>
        <v>Mon</v>
      </c>
      <c r="F162" t="s">
        <v>11</v>
      </c>
      <c r="G162" t="s">
        <v>12</v>
      </c>
      <c r="H162">
        <v>4</v>
      </c>
      <c r="I162">
        <v>25</v>
      </c>
      <c r="J162" t="s">
        <v>23</v>
      </c>
      <c r="K162" t="s">
        <v>14</v>
      </c>
      <c r="L162">
        <v>100</v>
      </c>
    </row>
    <row r="163" spans="1:12" x14ac:dyDescent="0.3">
      <c r="A163">
        <v>710</v>
      </c>
      <c r="B163" t="s">
        <v>19</v>
      </c>
      <c r="C163" s="1">
        <v>45854</v>
      </c>
      <c r="D163" s="1" t="str">
        <f>TEXT(FMData[[#This Row],[Show_Date]],"mmm")</f>
        <v>Jul</v>
      </c>
      <c r="E163" s="1" t="str">
        <f>TEXT(FMData[[#This Row],[Show_Date]],"ddd")</f>
        <v>Wed</v>
      </c>
      <c r="F163" t="s">
        <v>11</v>
      </c>
      <c r="G163" t="s">
        <v>17</v>
      </c>
      <c r="H163">
        <v>5</v>
      </c>
      <c r="I163">
        <v>12</v>
      </c>
      <c r="J163" t="s">
        <v>23</v>
      </c>
      <c r="K163" t="s">
        <v>25</v>
      </c>
      <c r="L163">
        <v>60</v>
      </c>
    </row>
    <row r="164" spans="1:12" x14ac:dyDescent="0.3">
      <c r="A164">
        <v>720</v>
      </c>
      <c r="B164" t="s">
        <v>31</v>
      </c>
      <c r="C164" s="1">
        <v>45928</v>
      </c>
      <c r="D164" s="1" t="str">
        <f>TEXT(FMData[[#This Row],[Show_Date]],"mmm")</f>
        <v>Sep</v>
      </c>
      <c r="E164" s="1" t="str">
        <f>TEXT(FMData[[#This Row],[Show_Date]],"ddd")</f>
        <v>Sun</v>
      </c>
      <c r="F164" t="s">
        <v>11</v>
      </c>
      <c r="G164" t="s">
        <v>17</v>
      </c>
      <c r="H164">
        <v>3</v>
      </c>
      <c r="I164">
        <v>12</v>
      </c>
      <c r="J164" t="s">
        <v>13</v>
      </c>
      <c r="K164" t="s">
        <v>18</v>
      </c>
      <c r="L164">
        <v>36</v>
      </c>
    </row>
    <row r="165" spans="1:12" x14ac:dyDescent="0.3">
      <c r="A165">
        <v>73</v>
      </c>
      <c r="B165" t="s">
        <v>24</v>
      </c>
      <c r="C165" s="1">
        <v>45919</v>
      </c>
      <c r="D165" s="1" t="str">
        <f>TEXT(FMData[[#This Row],[Show_Date]],"mmm")</f>
        <v>Sep</v>
      </c>
      <c r="E165" s="1" t="str">
        <f>TEXT(FMData[[#This Row],[Show_Date]],"ddd")</f>
        <v>Fri</v>
      </c>
      <c r="F165" t="s">
        <v>11</v>
      </c>
      <c r="G165" t="s">
        <v>17</v>
      </c>
      <c r="H165">
        <v>1</v>
      </c>
      <c r="I165">
        <v>12</v>
      </c>
      <c r="J165" t="s">
        <v>23</v>
      </c>
      <c r="K165" t="s">
        <v>18</v>
      </c>
      <c r="L165">
        <v>12</v>
      </c>
    </row>
    <row r="166" spans="1:12" x14ac:dyDescent="0.3">
      <c r="A166">
        <v>805</v>
      </c>
      <c r="B166" t="s">
        <v>10</v>
      </c>
      <c r="C166" s="1">
        <v>45852</v>
      </c>
      <c r="D166" s="1" t="str">
        <f>TEXT(FMData[[#This Row],[Show_Date]],"mmm")</f>
        <v>Jul</v>
      </c>
      <c r="E166" s="1" t="str">
        <f>TEXT(FMData[[#This Row],[Show_Date]],"ddd")</f>
        <v>Mon</v>
      </c>
      <c r="F166" t="s">
        <v>11</v>
      </c>
      <c r="G166" t="s">
        <v>12</v>
      </c>
      <c r="H166">
        <v>3</v>
      </c>
      <c r="I166">
        <v>25</v>
      </c>
      <c r="J166" t="s">
        <v>21</v>
      </c>
      <c r="K166" t="s">
        <v>18</v>
      </c>
      <c r="L166">
        <v>75</v>
      </c>
    </row>
    <row r="167" spans="1:12" x14ac:dyDescent="0.3">
      <c r="A167">
        <v>301</v>
      </c>
      <c r="B167" t="s">
        <v>24</v>
      </c>
      <c r="C167" s="1">
        <v>45872</v>
      </c>
      <c r="D167" s="1" t="str">
        <f>TEXT(FMData[[#This Row],[Show_Date]],"mmm")</f>
        <v>Aug</v>
      </c>
      <c r="E167" s="1" t="str">
        <f>TEXT(FMData[[#This Row],[Show_Date]],"ddd")</f>
        <v>Sun</v>
      </c>
      <c r="F167" t="s">
        <v>11</v>
      </c>
      <c r="G167" t="s">
        <v>22</v>
      </c>
      <c r="H167">
        <v>5</v>
      </c>
      <c r="I167">
        <v>20</v>
      </c>
      <c r="J167" t="s">
        <v>13</v>
      </c>
      <c r="K167" t="s">
        <v>27</v>
      </c>
      <c r="L167">
        <v>100</v>
      </c>
    </row>
    <row r="168" spans="1:12" x14ac:dyDescent="0.3">
      <c r="A168">
        <v>795</v>
      </c>
      <c r="B168" t="s">
        <v>24</v>
      </c>
      <c r="C168" s="1">
        <v>45844</v>
      </c>
      <c r="D168" s="1" t="str">
        <f>TEXT(FMData[[#This Row],[Show_Date]],"mmm")</f>
        <v>Jul</v>
      </c>
      <c r="E168" s="1" t="str">
        <f>TEXT(FMData[[#This Row],[Show_Date]],"ddd")</f>
        <v>Sun</v>
      </c>
      <c r="F168" t="s">
        <v>11</v>
      </c>
      <c r="G168" t="s">
        <v>17</v>
      </c>
      <c r="H168">
        <v>3</v>
      </c>
      <c r="I168">
        <v>12</v>
      </c>
      <c r="J168" t="s">
        <v>23</v>
      </c>
      <c r="K168" t="s">
        <v>14</v>
      </c>
      <c r="L168">
        <v>36</v>
      </c>
    </row>
    <row r="169" spans="1:12" x14ac:dyDescent="0.3">
      <c r="A169">
        <v>1126</v>
      </c>
      <c r="B169" t="s">
        <v>24</v>
      </c>
      <c r="C169" s="1">
        <v>45909</v>
      </c>
      <c r="D169" s="1" t="str">
        <f>TEXT(FMData[[#This Row],[Show_Date]],"mmm")</f>
        <v>Sep</v>
      </c>
      <c r="E169" s="1" t="str">
        <f>TEXT(FMData[[#This Row],[Show_Date]],"ddd")</f>
        <v>Tue</v>
      </c>
      <c r="F169" t="s">
        <v>11</v>
      </c>
      <c r="G169" t="s">
        <v>12</v>
      </c>
      <c r="H169">
        <v>2</v>
      </c>
      <c r="I169">
        <v>25</v>
      </c>
      <c r="J169" t="s">
        <v>21</v>
      </c>
      <c r="K169" t="s">
        <v>18</v>
      </c>
      <c r="L169">
        <v>50</v>
      </c>
    </row>
    <row r="170" spans="1:12" x14ac:dyDescent="0.3">
      <c r="A170">
        <v>327</v>
      </c>
      <c r="B170" t="s">
        <v>24</v>
      </c>
      <c r="C170" s="1">
        <v>45886</v>
      </c>
      <c r="D170" s="1" t="str">
        <f>TEXT(FMData[[#This Row],[Show_Date]],"mmm")</f>
        <v>Aug</v>
      </c>
      <c r="E170" s="1" t="str">
        <f>TEXT(FMData[[#This Row],[Show_Date]],"ddd")</f>
        <v>Sun</v>
      </c>
      <c r="F170" t="s">
        <v>11</v>
      </c>
      <c r="G170" t="s">
        <v>22</v>
      </c>
      <c r="H170">
        <v>3</v>
      </c>
      <c r="I170">
        <v>20</v>
      </c>
      <c r="J170" t="s">
        <v>23</v>
      </c>
      <c r="K170" t="s">
        <v>18</v>
      </c>
      <c r="L170">
        <v>60</v>
      </c>
    </row>
    <row r="171" spans="1:12" x14ac:dyDescent="0.3">
      <c r="A171">
        <v>744</v>
      </c>
      <c r="B171" t="s">
        <v>24</v>
      </c>
      <c r="C171" s="1">
        <v>45910</v>
      </c>
      <c r="D171" s="1" t="str">
        <f>TEXT(FMData[[#This Row],[Show_Date]],"mmm")</f>
        <v>Sep</v>
      </c>
      <c r="E171" s="1" t="str">
        <f>TEXT(FMData[[#This Row],[Show_Date]],"ddd")</f>
        <v>Wed</v>
      </c>
      <c r="F171" t="s">
        <v>11</v>
      </c>
      <c r="G171" t="s">
        <v>17</v>
      </c>
      <c r="H171">
        <v>4</v>
      </c>
      <c r="I171">
        <v>12</v>
      </c>
      <c r="J171" t="s">
        <v>23</v>
      </c>
      <c r="K171" t="s">
        <v>27</v>
      </c>
      <c r="L171">
        <v>48</v>
      </c>
    </row>
    <row r="172" spans="1:12" x14ac:dyDescent="0.3">
      <c r="A172">
        <v>1539</v>
      </c>
      <c r="B172" t="s">
        <v>24</v>
      </c>
      <c r="C172" s="1">
        <v>45930</v>
      </c>
      <c r="D172" s="1" t="str">
        <f>TEXT(FMData[[#This Row],[Show_Date]],"mmm")</f>
        <v>Sep</v>
      </c>
      <c r="E172" s="1" t="str">
        <f>TEXT(FMData[[#This Row],[Show_Date]],"ddd")</f>
        <v>Tue</v>
      </c>
      <c r="F172" t="s">
        <v>11</v>
      </c>
      <c r="G172" t="s">
        <v>30</v>
      </c>
      <c r="H172">
        <v>2</v>
      </c>
      <c r="I172">
        <v>8</v>
      </c>
      <c r="J172" t="s">
        <v>21</v>
      </c>
      <c r="K172" t="s">
        <v>27</v>
      </c>
      <c r="L172">
        <v>16</v>
      </c>
    </row>
    <row r="173" spans="1:12" x14ac:dyDescent="0.3">
      <c r="A173">
        <v>1094</v>
      </c>
      <c r="B173" t="s">
        <v>24</v>
      </c>
      <c r="C173" s="1">
        <v>45907</v>
      </c>
      <c r="D173" s="1" t="str">
        <f>TEXT(FMData[[#This Row],[Show_Date]],"mmm")</f>
        <v>Sep</v>
      </c>
      <c r="E173" s="1" t="str">
        <f>TEXT(FMData[[#This Row],[Show_Date]],"ddd")</f>
        <v>Sun</v>
      </c>
      <c r="F173" t="s">
        <v>11</v>
      </c>
      <c r="G173" t="s">
        <v>22</v>
      </c>
      <c r="H173">
        <v>4</v>
      </c>
      <c r="I173">
        <v>20</v>
      </c>
      <c r="J173" t="s">
        <v>13</v>
      </c>
      <c r="K173" t="s">
        <v>25</v>
      </c>
      <c r="L173">
        <v>80</v>
      </c>
    </row>
    <row r="174" spans="1:12" x14ac:dyDescent="0.3">
      <c r="A174">
        <v>189</v>
      </c>
      <c r="B174" t="s">
        <v>24</v>
      </c>
      <c r="C174" s="1">
        <v>45907</v>
      </c>
      <c r="D174" s="1" t="str">
        <f>TEXT(FMData[[#This Row],[Show_Date]],"mmm")</f>
        <v>Sep</v>
      </c>
      <c r="E174" s="1" t="str">
        <f>TEXT(FMData[[#This Row],[Show_Date]],"ddd")</f>
        <v>Sun</v>
      </c>
      <c r="F174" t="s">
        <v>11</v>
      </c>
      <c r="G174" t="s">
        <v>30</v>
      </c>
      <c r="H174">
        <v>3</v>
      </c>
      <c r="I174">
        <v>8</v>
      </c>
      <c r="J174" t="s">
        <v>13</v>
      </c>
      <c r="K174" t="s">
        <v>14</v>
      </c>
      <c r="L174">
        <v>24</v>
      </c>
    </row>
    <row r="175" spans="1:12" x14ac:dyDescent="0.3">
      <c r="A175">
        <v>548</v>
      </c>
      <c r="B175" t="s">
        <v>24</v>
      </c>
      <c r="C175" s="1">
        <v>45905</v>
      </c>
      <c r="D175" s="1" t="str">
        <f>TEXT(FMData[[#This Row],[Show_Date]],"mmm")</f>
        <v>Sep</v>
      </c>
      <c r="E175" s="1" t="str">
        <f>TEXT(FMData[[#This Row],[Show_Date]],"ddd")</f>
        <v>Fri</v>
      </c>
      <c r="F175" t="s">
        <v>11</v>
      </c>
      <c r="G175" t="s">
        <v>17</v>
      </c>
      <c r="H175">
        <v>2</v>
      </c>
      <c r="I175">
        <v>12</v>
      </c>
      <c r="J175" t="s">
        <v>21</v>
      </c>
      <c r="K175" t="s">
        <v>18</v>
      </c>
      <c r="L175">
        <v>24</v>
      </c>
    </row>
    <row r="176" spans="1:12" x14ac:dyDescent="0.3">
      <c r="A176">
        <v>496</v>
      </c>
      <c r="B176" t="s">
        <v>24</v>
      </c>
      <c r="C176" s="1">
        <v>45860</v>
      </c>
      <c r="D176" s="1" t="str">
        <f>TEXT(FMData[[#This Row],[Show_Date]],"mmm")</f>
        <v>Jul</v>
      </c>
      <c r="E176" s="1" t="str">
        <f>TEXT(FMData[[#This Row],[Show_Date]],"ddd")</f>
        <v>Tue</v>
      </c>
      <c r="F176" t="s">
        <v>11</v>
      </c>
      <c r="G176" t="s">
        <v>17</v>
      </c>
      <c r="H176">
        <v>1</v>
      </c>
      <c r="I176">
        <v>12</v>
      </c>
      <c r="J176" t="s">
        <v>13</v>
      </c>
      <c r="K176" t="s">
        <v>18</v>
      </c>
      <c r="L176">
        <v>12</v>
      </c>
    </row>
    <row r="177" spans="1:12" x14ac:dyDescent="0.3">
      <c r="A177">
        <v>1134</v>
      </c>
      <c r="B177" t="s">
        <v>24</v>
      </c>
      <c r="C177" s="1">
        <v>45908</v>
      </c>
      <c r="D177" s="1" t="str">
        <f>TEXT(FMData[[#This Row],[Show_Date]],"mmm")</f>
        <v>Sep</v>
      </c>
      <c r="E177" s="1" t="str">
        <f>TEXT(FMData[[#This Row],[Show_Date]],"ddd")</f>
        <v>Mon</v>
      </c>
      <c r="F177" t="s">
        <v>11</v>
      </c>
      <c r="G177" t="s">
        <v>12</v>
      </c>
      <c r="H177">
        <v>5</v>
      </c>
      <c r="I177">
        <v>25</v>
      </c>
      <c r="J177" t="s">
        <v>13</v>
      </c>
      <c r="K177" t="s">
        <v>27</v>
      </c>
      <c r="L177">
        <v>125</v>
      </c>
    </row>
    <row r="178" spans="1:12" x14ac:dyDescent="0.3">
      <c r="A178">
        <v>1563</v>
      </c>
      <c r="B178" t="s">
        <v>24</v>
      </c>
      <c r="C178" s="1">
        <v>45882</v>
      </c>
      <c r="D178" s="1" t="str">
        <f>TEXT(FMData[[#This Row],[Show_Date]],"mmm")</f>
        <v>Aug</v>
      </c>
      <c r="E178" s="1" t="str">
        <f>TEXT(FMData[[#This Row],[Show_Date]],"ddd")</f>
        <v>Wed</v>
      </c>
      <c r="F178" t="s">
        <v>11</v>
      </c>
      <c r="G178" t="s">
        <v>17</v>
      </c>
      <c r="H178">
        <v>2</v>
      </c>
      <c r="I178">
        <v>12</v>
      </c>
      <c r="J178" t="s">
        <v>23</v>
      </c>
      <c r="K178" t="s">
        <v>25</v>
      </c>
      <c r="L178">
        <v>24</v>
      </c>
    </row>
    <row r="179" spans="1:12" x14ac:dyDescent="0.3">
      <c r="A179">
        <v>1936</v>
      </c>
      <c r="B179" t="s">
        <v>24</v>
      </c>
      <c r="C179" s="1">
        <v>45922</v>
      </c>
      <c r="D179" s="1" t="str">
        <f>TEXT(FMData[[#This Row],[Show_Date]],"mmm")</f>
        <v>Sep</v>
      </c>
      <c r="E179" s="1" t="str">
        <f>TEXT(FMData[[#This Row],[Show_Date]],"ddd")</f>
        <v>Mon</v>
      </c>
      <c r="F179" t="s">
        <v>11</v>
      </c>
      <c r="G179" t="s">
        <v>12</v>
      </c>
      <c r="H179">
        <v>5</v>
      </c>
      <c r="I179">
        <v>25</v>
      </c>
      <c r="J179" t="s">
        <v>21</v>
      </c>
      <c r="K179" t="s">
        <v>25</v>
      </c>
      <c r="L179">
        <v>125</v>
      </c>
    </row>
    <row r="180" spans="1:12" x14ac:dyDescent="0.3">
      <c r="A180">
        <v>979</v>
      </c>
      <c r="B180" t="s">
        <v>24</v>
      </c>
      <c r="C180" s="1">
        <v>45851</v>
      </c>
      <c r="D180" s="1" t="str">
        <f>TEXT(FMData[[#This Row],[Show_Date]],"mmm")</f>
        <v>Jul</v>
      </c>
      <c r="E180" s="1" t="str">
        <f>TEXT(FMData[[#This Row],[Show_Date]],"ddd")</f>
        <v>Sun</v>
      </c>
      <c r="F180" t="s">
        <v>11</v>
      </c>
      <c r="G180" t="s">
        <v>30</v>
      </c>
      <c r="H180">
        <v>1</v>
      </c>
      <c r="I180">
        <v>8</v>
      </c>
      <c r="J180" t="s">
        <v>13</v>
      </c>
      <c r="K180" t="s">
        <v>14</v>
      </c>
      <c r="L180">
        <v>8</v>
      </c>
    </row>
    <row r="181" spans="1:12" x14ac:dyDescent="0.3">
      <c r="A181">
        <v>1741</v>
      </c>
      <c r="B181" t="s">
        <v>24</v>
      </c>
      <c r="C181" s="1">
        <v>45917</v>
      </c>
      <c r="D181" s="1" t="str">
        <f>TEXT(FMData[[#This Row],[Show_Date]],"mmm")</f>
        <v>Sep</v>
      </c>
      <c r="E181" s="1" t="str">
        <f>TEXT(FMData[[#This Row],[Show_Date]],"ddd")</f>
        <v>Wed</v>
      </c>
      <c r="F181" t="s">
        <v>11</v>
      </c>
      <c r="G181" t="s">
        <v>29</v>
      </c>
      <c r="H181">
        <v>4</v>
      </c>
      <c r="I181">
        <v>30</v>
      </c>
      <c r="J181" t="s">
        <v>23</v>
      </c>
      <c r="K181" t="s">
        <v>18</v>
      </c>
      <c r="L181">
        <v>120</v>
      </c>
    </row>
    <row r="182" spans="1:12" x14ac:dyDescent="0.3">
      <c r="A182">
        <v>1852</v>
      </c>
      <c r="B182" t="s">
        <v>24</v>
      </c>
      <c r="C182" s="1">
        <v>45915</v>
      </c>
      <c r="D182" s="1" t="str">
        <f>TEXT(FMData[[#This Row],[Show_Date]],"mmm")</f>
        <v>Sep</v>
      </c>
      <c r="E182" s="1" t="str">
        <f>TEXT(FMData[[#This Row],[Show_Date]],"ddd")</f>
        <v>Mon</v>
      </c>
      <c r="F182" t="s">
        <v>11</v>
      </c>
      <c r="G182" t="s">
        <v>17</v>
      </c>
      <c r="H182">
        <v>4</v>
      </c>
      <c r="I182">
        <v>12</v>
      </c>
      <c r="J182" t="s">
        <v>21</v>
      </c>
      <c r="K182" t="s">
        <v>18</v>
      </c>
      <c r="L182">
        <v>48</v>
      </c>
    </row>
    <row r="183" spans="1:12" x14ac:dyDescent="0.3">
      <c r="A183">
        <v>1596</v>
      </c>
      <c r="B183" t="s">
        <v>24</v>
      </c>
      <c r="C183" s="1">
        <v>45869</v>
      </c>
      <c r="D183" s="1" t="str">
        <f>TEXT(FMData[[#This Row],[Show_Date]],"mmm")</f>
        <v>Jul</v>
      </c>
      <c r="E183" s="1" t="str">
        <f>TEXT(FMData[[#This Row],[Show_Date]],"ddd")</f>
        <v>Thu</v>
      </c>
      <c r="F183" t="s">
        <v>11</v>
      </c>
      <c r="G183" t="s">
        <v>12</v>
      </c>
      <c r="H183">
        <v>3</v>
      </c>
      <c r="I183">
        <v>25</v>
      </c>
      <c r="J183" t="s">
        <v>21</v>
      </c>
      <c r="K183" t="s">
        <v>18</v>
      </c>
      <c r="L183">
        <v>75</v>
      </c>
    </row>
    <row r="184" spans="1:12" x14ac:dyDescent="0.3">
      <c r="A184">
        <v>471</v>
      </c>
      <c r="B184" t="s">
        <v>24</v>
      </c>
      <c r="C184" s="1">
        <v>45913</v>
      </c>
      <c r="D184" s="1" t="str">
        <f>TEXT(FMData[[#This Row],[Show_Date]],"mmm")</f>
        <v>Sep</v>
      </c>
      <c r="E184" s="1" t="str">
        <f>TEXT(FMData[[#This Row],[Show_Date]],"ddd")</f>
        <v>Sat</v>
      </c>
      <c r="F184" t="s">
        <v>11</v>
      </c>
      <c r="G184" t="s">
        <v>17</v>
      </c>
      <c r="H184">
        <v>3</v>
      </c>
      <c r="I184">
        <v>12</v>
      </c>
      <c r="J184" t="s">
        <v>23</v>
      </c>
      <c r="K184" t="s">
        <v>25</v>
      </c>
      <c r="L184">
        <v>36</v>
      </c>
    </row>
    <row r="185" spans="1:12" x14ac:dyDescent="0.3">
      <c r="A185">
        <v>123</v>
      </c>
      <c r="B185" t="s">
        <v>24</v>
      </c>
      <c r="C185" s="1">
        <v>45920</v>
      </c>
      <c r="D185" s="1" t="str">
        <f>TEXT(FMData[[#This Row],[Show_Date]],"mmm")</f>
        <v>Sep</v>
      </c>
      <c r="E185" s="1" t="str">
        <f>TEXT(FMData[[#This Row],[Show_Date]],"ddd")</f>
        <v>Sat</v>
      </c>
      <c r="F185" t="s">
        <v>11</v>
      </c>
      <c r="G185" t="s">
        <v>29</v>
      </c>
      <c r="H185">
        <v>1</v>
      </c>
      <c r="I185">
        <v>30</v>
      </c>
      <c r="J185" t="s">
        <v>13</v>
      </c>
      <c r="K185" t="s">
        <v>18</v>
      </c>
      <c r="L185">
        <v>30</v>
      </c>
    </row>
    <row r="186" spans="1:12" x14ac:dyDescent="0.3">
      <c r="A186">
        <v>1579</v>
      </c>
      <c r="B186" t="s">
        <v>24</v>
      </c>
      <c r="C186" s="1">
        <v>45908</v>
      </c>
      <c r="D186" s="1" t="str">
        <f>TEXT(FMData[[#This Row],[Show_Date]],"mmm")</f>
        <v>Sep</v>
      </c>
      <c r="E186" s="1" t="str">
        <f>TEXT(FMData[[#This Row],[Show_Date]],"ddd")</f>
        <v>Mon</v>
      </c>
      <c r="F186" t="s">
        <v>11</v>
      </c>
      <c r="G186" t="s">
        <v>30</v>
      </c>
      <c r="H186">
        <v>2</v>
      </c>
      <c r="I186">
        <v>8</v>
      </c>
      <c r="J186" t="s">
        <v>23</v>
      </c>
      <c r="K186" t="s">
        <v>14</v>
      </c>
      <c r="L186">
        <v>16</v>
      </c>
    </row>
    <row r="187" spans="1:12" x14ac:dyDescent="0.3">
      <c r="A187">
        <v>305</v>
      </c>
      <c r="B187" t="s">
        <v>24</v>
      </c>
      <c r="C187" s="1">
        <v>45859</v>
      </c>
      <c r="D187" s="1" t="str">
        <f>TEXT(FMData[[#This Row],[Show_Date]],"mmm")</f>
        <v>Jul</v>
      </c>
      <c r="E187" s="1" t="str">
        <f>TEXT(FMData[[#This Row],[Show_Date]],"ddd")</f>
        <v>Mon</v>
      </c>
      <c r="F187" t="s">
        <v>11</v>
      </c>
      <c r="G187" t="s">
        <v>29</v>
      </c>
      <c r="H187">
        <v>4</v>
      </c>
      <c r="I187">
        <v>30</v>
      </c>
      <c r="J187" t="s">
        <v>21</v>
      </c>
      <c r="K187" t="s">
        <v>18</v>
      </c>
      <c r="L187">
        <v>120</v>
      </c>
    </row>
    <row r="188" spans="1:12" x14ac:dyDescent="0.3">
      <c r="A188">
        <v>1115</v>
      </c>
      <c r="B188" t="s">
        <v>24</v>
      </c>
      <c r="C188" s="1">
        <v>45850</v>
      </c>
      <c r="D188" s="1" t="str">
        <f>TEXT(FMData[[#This Row],[Show_Date]],"mmm")</f>
        <v>Jul</v>
      </c>
      <c r="E188" s="1" t="str">
        <f>TEXT(FMData[[#This Row],[Show_Date]],"ddd")</f>
        <v>Sat</v>
      </c>
      <c r="F188" t="s">
        <v>11</v>
      </c>
      <c r="G188" t="s">
        <v>17</v>
      </c>
      <c r="H188">
        <v>4</v>
      </c>
      <c r="I188">
        <v>12</v>
      </c>
      <c r="J188" t="s">
        <v>23</v>
      </c>
      <c r="K188" t="s">
        <v>25</v>
      </c>
      <c r="L188">
        <v>48</v>
      </c>
    </row>
    <row r="189" spans="1:12" x14ac:dyDescent="0.3">
      <c r="A189">
        <v>532</v>
      </c>
      <c r="B189" t="s">
        <v>24</v>
      </c>
      <c r="C189" s="1">
        <v>45859</v>
      </c>
      <c r="D189" s="1" t="str">
        <f>TEXT(FMData[[#This Row],[Show_Date]],"mmm")</f>
        <v>Jul</v>
      </c>
      <c r="E189" s="1" t="str">
        <f>TEXT(FMData[[#This Row],[Show_Date]],"ddd")</f>
        <v>Mon</v>
      </c>
      <c r="F189" t="s">
        <v>11</v>
      </c>
      <c r="G189" t="s">
        <v>22</v>
      </c>
      <c r="H189">
        <v>1</v>
      </c>
      <c r="I189">
        <v>20</v>
      </c>
      <c r="J189" t="s">
        <v>23</v>
      </c>
      <c r="K189" t="s">
        <v>27</v>
      </c>
      <c r="L189">
        <v>20</v>
      </c>
    </row>
    <row r="190" spans="1:12" x14ac:dyDescent="0.3">
      <c r="A190">
        <v>1426</v>
      </c>
      <c r="B190" t="s">
        <v>24</v>
      </c>
      <c r="C190" s="1">
        <v>45899</v>
      </c>
      <c r="D190" s="1" t="str">
        <f>TEXT(FMData[[#This Row],[Show_Date]],"mmm")</f>
        <v>Aug</v>
      </c>
      <c r="E190" s="1" t="str">
        <f>TEXT(FMData[[#This Row],[Show_Date]],"ddd")</f>
        <v>Sat</v>
      </c>
      <c r="F190" t="s">
        <v>11</v>
      </c>
      <c r="G190" t="s">
        <v>12</v>
      </c>
      <c r="H190">
        <v>5</v>
      </c>
      <c r="I190">
        <v>25</v>
      </c>
      <c r="J190" t="s">
        <v>13</v>
      </c>
      <c r="K190" t="s">
        <v>27</v>
      </c>
      <c r="L190">
        <v>125</v>
      </c>
    </row>
    <row r="191" spans="1:12" x14ac:dyDescent="0.3">
      <c r="A191">
        <v>504</v>
      </c>
      <c r="B191" t="s">
        <v>24</v>
      </c>
      <c r="C191" s="1">
        <v>45864</v>
      </c>
      <c r="D191" s="1" t="str">
        <f>TEXT(FMData[[#This Row],[Show_Date]],"mmm")</f>
        <v>Jul</v>
      </c>
      <c r="E191" s="1" t="str">
        <f>TEXT(FMData[[#This Row],[Show_Date]],"ddd")</f>
        <v>Sat</v>
      </c>
      <c r="F191" t="s">
        <v>11</v>
      </c>
      <c r="G191" t="s">
        <v>29</v>
      </c>
      <c r="H191">
        <v>1</v>
      </c>
      <c r="I191">
        <v>30</v>
      </c>
      <c r="J191" t="s">
        <v>13</v>
      </c>
      <c r="K191" t="s">
        <v>25</v>
      </c>
      <c r="L191">
        <v>30</v>
      </c>
    </row>
    <row r="192" spans="1:12" x14ac:dyDescent="0.3">
      <c r="A192">
        <v>359</v>
      </c>
      <c r="B192" t="s">
        <v>24</v>
      </c>
      <c r="C192" s="1">
        <v>45867</v>
      </c>
      <c r="D192" s="1" t="str">
        <f>TEXT(FMData[[#This Row],[Show_Date]],"mmm")</f>
        <v>Jul</v>
      </c>
      <c r="E192" s="1" t="str">
        <f>TEXT(FMData[[#This Row],[Show_Date]],"ddd")</f>
        <v>Tue</v>
      </c>
      <c r="F192" t="s">
        <v>11</v>
      </c>
      <c r="G192" t="s">
        <v>12</v>
      </c>
      <c r="H192">
        <v>4</v>
      </c>
      <c r="I192">
        <v>25</v>
      </c>
      <c r="J192" t="s">
        <v>13</v>
      </c>
      <c r="K192" t="s">
        <v>25</v>
      </c>
      <c r="L192">
        <v>100</v>
      </c>
    </row>
    <row r="193" spans="1:12" x14ac:dyDescent="0.3">
      <c r="A193">
        <v>1867</v>
      </c>
      <c r="B193" t="s">
        <v>24</v>
      </c>
      <c r="C193" s="1">
        <v>45847</v>
      </c>
      <c r="D193" s="1" t="str">
        <f>TEXT(FMData[[#This Row],[Show_Date]],"mmm")</f>
        <v>Jul</v>
      </c>
      <c r="E193" s="1" t="str">
        <f>TEXT(FMData[[#This Row],[Show_Date]],"ddd")</f>
        <v>Wed</v>
      </c>
      <c r="F193" t="s">
        <v>11</v>
      </c>
      <c r="G193" t="s">
        <v>17</v>
      </c>
      <c r="H193">
        <v>5</v>
      </c>
      <c r="I193">
        <v>12</v>
      </c>
      <c r="J193" t="s">
        <v>21</v>
      </c>
      <c r="K193" t="s">
        <v>18</v>
      </c>
      <c r="L193">
        <v>60</v>
      </c>
    </row>
    <row r="194" spans="1:12" x14ac:dyDescent="0.3">
      <c r="A194">
        <v>312</v>
      </c>
      <c r="B194" t="s">
        <v>24</v>
      </c>
      <c r="C194" s="1">
        <v>45921</v>
      </c>
      <c r="D194" s="1" t="str">
        <f>TEXT(FMData[[#This Row],[Show_Date]],"mmm")</f>
        <v>Sep</v>
      </c>
      <c r="E194" s="1" t="str">
        <f>TEXT(FMData[[#This Row],[Show_Date]],"ddd")</f>
        <v>Sun</v>
      </c>
      <c r="F194" t="s">
        <v>11</v>
      </c>
      <c r="G194" t="s">
        <v>22</v>
      </c>
      <c r="H194">
        <v>1</v>
      </c>
      <c r="I194">
        <v>20</v>
      </c>
      <c r="J194" t="s">
        <v>23</v>
      </c>
      <c r="K194" t="s">
        <v>18</v>
      </c>
      <c r="L194">
        <v>20</v>
      </c>
    </row>
    <row r="195" spans="1:12" x14ac:dyDescent="0.3">
      <c r="A195">
        <v>1999</v>
      </c>
      <c r="B195" t="s">
        <v>24</v>
      </c>
      <c r="C195" s="1">
        <v>45921</v>
      </c>
      <c r="D195" s="1" t="str">
        <f>TEXT(FMData[[#This Row],[Show_Date]],"mmm")</f>
        <v>Sep</v>
      </c>
      <c r="E195" s="1" t="str">
        <f>TEXT(FMData[[#This Row],[Show_Date]],"ddd")</f>
        <v>Sun</v>
      </c>
      <c r="F195" t="s">
        <v>11</v>
      </c>
      <c r="G195" t="s">
        <v>12</v>
      </c>
      <c r="H195">
        <v>4</v>
      </c>
      <c r="I195">
        <v>25</v>
      </c>
      <c r="J195" t="s">
        <v>13</v>
      </c>
      <c r="K195" t="s">
        <v>14</v>
      </c>
      <c r="L195">
        <v>100</v>
      </c>
    </row>
    <row r="196" spans="1:12" x14ac:dyDescent="0.3">
      <c r="A196">
        <v>291</v>
      </c>
      <c r="B196" t="s">
        <v>24</v>
      </c>
      <c r="C196" s="1">
        <v>45928</v>
      </c>
      <c r="D196" s="1" t="str">
        <f>TEXT(FMData[[#This Row],[Show_Date]],"mmm")</f>
        <v>Sep</v>
      </c>
      <c r="E196" s="1" t="str">
        <f>TEXT(FMData[[#This Row],[Show_Date]],"ddd")</f>
        <v>Sun</v>
      </c>
      <c r="F196" t="s">
        <v>11</v>
      </c>
      <c r="G196" t="s">
        <v>12</v>
      </c>
      <c r="H196">
        <v>1</v>
      </c>
      <c r="I196">
        <v>25</v>
      </c>
      <c r="J196" t="s">
        <v>13</v>
      </c>
      <c r="K196" t="s">
        <v>14</v>
      </c>
      <c r="L196">
        <v>25</v>
      </c>
    </row>
    <row r="197" spans="1:12" x14ac:dyDescent="0.3">
      <c r="A197">
        <v>1708</v>
      </c>
      <c r="B197" t="s">
        <v>24</v>
      </c>
      <c r="C197" s="1">
        <v>45859</v>
      </c>
      <c r="D197" s="1" t="str">
        <f>TEXT(FMData[[#This Row],[Show_Date]],"mmm")</f>
        <v>Jul</v>
      </c>
      <c r="E197" s="1" t="str">
        <f>TEXT(FMData[[#This Row],[Show_Date]],"ddd")</f>
        <v>Mon</v>
      </c>
      <c r="F197" t="s">
        <v>11</v>
      </c>
      <c r="G197" t="s">
        <v>17</v>
      </c>
      <c r="H197">
        <v>4</v>
      </c>
      <c r="I197">
        <v>12</v>
      </c>
      <c r="J197" t="s">
        <v>13</v>
      </c>
      <c r="K197" t="s">
        <v>27</v>
      </c>
      <c r="L197">
        <v>48</v>
      </c>
    </row>
    <row r="198" spans="1:12" x14ac:dyDescent="0.3">
      <c r="A198">
        <v>1345</v>
      </c>
      <c r="B198" t="s">
        <v>24</v>
      </c>
      <c r="C198" s="1">
        <v>45890</v>
      </c>
      <c r="D198" s="1" t="str">
        <f>TEXT(FMData[[#This Row],[Show_Date]],"mmm")</f>
        <v>Aug</v>
      </c>
      <c r="E198" s="1" t="str">
        <f>TEXT(FMData[[#This Row],[Show_Date]],"ddd")</f>
        <v>Thu</v>
      </c>
      <c r="F198" t="s">
        <v>11</v>
      </c>
      <c r="G198" t="s">
        <v>17</v>
      </c>
      <c r="H198">
        <v>2</v>
      </c>
      <c r="I198">
        <v>12</v>
      </c>
      <c r="J198" t="s">
        <v>13</v>
      </c>
      <c r="K198" t="s">
        <v>25</v>
      </c>
      <c r="L198">
        <v>24</v>
      </c>
    </row>
    <row r="199" spans="1:12" x14ac:dyDescent="0.3">
      <c r="A199">
        <v>893</v>
      </c>
      <c r="B199" t="s">
        <v>24</v>
      </c>
      <c r="C199" s="1">
        <v>45892</v>
      </c>
      <c r="D199" s="1" t="str">
        <f>TEXT(FMData[[#This Row],[Show_Date]],"mmm")</f>
        <v>Aug</v>
      </c>
      <c r="E199" s="1" t="str">
        <f>TEXT(FMData[[#This Row],[Show_Date]],"ddd")</f>
        <v>Sat</v>
      </c>
      <c r="F199" t="s">
        <v>11</v>
      </c>
      <c r="G199" t="s">
        <v>30</v>
      </c>
      <c r="H199">
        <v>5</v>
      </c>
      <c r="I199">
        <v>8</v>
      </c>
      <c r="J199" t="s">
        <v>23</v>
      </c>
      <c r="K199" t="s">
        <v>25</v>
      </c>
      <c r="L199">
        <v>40</v>
      </c>
    </row>
    <row r="200" spans="1:12" x14ac:dyDescent="0.3">
      <c r="A200">
        <v>469</v>
      </c>
      <c r="B200" t="s">
        <v>24</v>
      </c>
      <c r="C200" s="1">
        <v>45864</v>
      </c>
      <c r="D200" s="1" t="str">
        <f>TEXT(FMData[[#This Row],[Show_Date]],"mmm")</f>
        <v>Jul</v>
      </c>
      <c r="E200" s="1" t="str">
        <f>TEXT(FMData[[#This Row],[Show_Date]],"ddd")</f>
        <v>Sat</v>
      </c>
      <c r="F200" t="s">
        <v>11</v>
      </c>
      <c r="G200" t="s">
        <v>17</v>
      </c>
      <c r="H200">
        <v>3</v>
      </c>
      <c r="I200">
        <v>12</v>
      </c>
      <c r="J200" t="s">
        <v>13</v>
      </c>
      <c r="K200" t="s">
        <v>18</v>
      </c>
      <c r="L200">
        <v>36</v>
      </c>
    </row>
    <row r="201" spans="1:12" x14ac:dyDescent="0.3">
      <c r="A201">
        <v>1023</v>
      </c>
      <c r="B201" t="s">
        <v>24</v>
      </c>
      <c r="C201" s="1">
        <v>45889</v>
      </c>
      <c r="D201" s="1" t="str">
        <f>TEXT(FMData[[#This Row],[Show_Date]],"mmm")</f>
        <v>Aug</v>
      </c>
      <c r="E201" s="1" t="str">
        <f>TEXT(FMData[[#This Row],[Show_Date]],"ddd")</f>
        <v>Wed</v>
      </c>
      <c r="F201" t="s">
        <v>11</v>
      </c>
      <c r="G201" t="s">
        <v>30</v>
      </c>
      <c r="H201">
        <v>4</v>
      </c>
      <c r="I201">
        <v>8</v>
      </c>
      <c r="J201" t="s">
        <v>21</v>
      </c>
      <c r="K201" t="s">
        <v>25</v>
      </c>
      <c r="L201">
        <v>32</v>
      </c>
    </row>
    <row r="202" spans="1:12" x14ac:dyDescent="0.3">
      <c r="A202">
        <v>75</v>
      </c>
      <c r="B202" t="s">
        <v>24</v>
      </c>
      <c r="C202" s="1">
        <v>45896</v>
      </c>
      <c r="D202" s="1" t="str">
        <f>TEXT(FMData[[#This Row],[Show_Date]],"mmm")</f>
        <v>Aug</v>
      </c>
      <c r="E202" s="1" t="str">
        <f>TEXT(FMData[[#This Row],[Show_Date]],"ddd")</f>
        <v>Wed</v>
      </c>
      <c r="F202" t="s">
        <v>11</v>
      </c>
      <c r="G202" t="s">
        <v>22</v>
      </c>
      <c r="H202">
        <v>3</v>
      </c>
      <c r="I202">
        <v>20</v>
      </c>
      <c r="J202" t="s">
        <v>21</v>
      </c>
      <c r="K202" t="s">
        <v>27</v>
      </c>
      <c r="L202">
        <v>60</v>
      </c>
    </row>
    <row r="203" spans="1:12" x14ac:dyDescent="0.3">
      <c r="A203">
        <v>442</v>
      </c>
      <c r="B203" t="s">
        <v>24</v>
      </c>
      <c r="C203" s="1">
        <v>45878</v>
      </c>
      <c r="D203" s="1" t="str">
        <f>TEXT(FMData[[#This Row],[Show_Date]],"mmm")</f>
        <v>Aug</v>
      </c>
      <c r="E203" s="1" t="str">
        <f>TEXT(FMData[[#This Row],[Show_Date]],"ddd")</f>
        <v>Sat</v>
      </c>
      <c r="F203" t="s">
        <v>11</v>
      </c>
      <c r="G203" t="s">
        <v>12</v>
      </c>
      <c r="H203">
        <v>4</v>
      </c>
      <c r="I203">
        <v>25</v>
      </c>
      <c r="J203" t="s">
        <v>13</v>
      </c>
      <c r="K203" t="s">
        <v>27</v>
      </c>
      <c r="L203">
        <v>100</v>
      </c>
    </row>
    <row r="204" spans="1:12" x14ac:dyDescent="0.3">
      <c r="A204">
        <v>906</v>
      </c>
      <c r="B204" t="s">
        <v>24</v>
      </c>
      <c r="C204" s="1">
        <v>45899</v>
      </c>
      <c r="D204" s="1" t="str">
        <f>TEXT(FMData[[#This Row],[Show_Date]],"mmm")</f>
        <v>Aug</v>
      </c>
      <c r="E204" s="1" t="str">
        <f>TEXT(FMData[[#This Row],[Show_Date]],"ddd")</f>
        <v>Sat</v>
      </c>
      <c r="F204" t="s">
        <v>11</v>
      </c>
      <c r="G204" t="s">
        <v>17</v>
      </c>
      <c r="H204">
        <v>2</v>
      </c>
      <c r="I204">
        <v>12</v>
      </c>
      <c r="J204" t="s">
        <v>13</v>
      </c>
      <c r="K204" t="s">
        <v>18</v>
      </c>
      <c r="L204">
        <v>24</v>
      </c>
    </row>
    <row r="205" spans="1:12" x14ac:dyDescent="0.3">
      <c r="A205">
        <v>1088</v>
      </c>
      <c r="B205" t="s">
        <v>24</v>
      </c>
      <c r="C205" s="1">
        <v>45877</v>
      </c>
      <c r="D205" s="1" t="str">
        <f>TEXT(FMData[[#This Row],[Show_Date]],"mmm")</f>
        <v>Aug</v>
      </c>
      <c r="E205" s="1" t="str">
        <f>TEXT(FMData[[#This Row],[Show_Date]],"ddd")</f>
        <v>Fri</v>
      </c>
      <c r="F205" t="s">
        <v>11</v>
      </c>
      <c r="G205" t="s">
        <v>17</v>
      </c>
      <c r="H205">
        <v>4</v>
      </c>
      <c r="I205">
        <v>12</v>
      </c>
      <c r="J205" t="s">
        <v>21</v>
      </c>
      <c r="K205" t="s">
        <v>25</v>
      </c>
      <c r="L205">
        <v>48</v>
      </c>
    </row>
    <row r="206" spans="1:12" x14ac:dyDescent="0.3">
      <c r="A206">
        <v>1264</v>
      </c>
      <c r="B206" t="s">
        <v>24</v>
      </c>
      <c r="C206" s="1">
        <v>45844</v>
      </c>
      <c r="D206" s="1" t="str">
        <f>TEXT(FMData[[#This Row],[Show_Date]],"mmm")</f>
        <v>Jul</v>
      </c>
      <c r="E206" s="1" t="str">
        <f>TEXT(FMData[[#This Row],[Show_Date]],"ddd")</f>
        <v>Sun</v>
      </c>
      <c r="F206" t="s">
        <v>11</v>
      </c>
      <c r="G206" t="s">
        <v>17</v>
      </c>
      <c r="H206">
        <v>2</v>
      </c>
      <c r="I206">
        <v>12</v>
      </c>
      <c r="J206" t="s">
        <v>23</v>
      </c>
      <c r="K206" t="s">
        <v>27</v>
      </c>
      <c r="L206">
        <v>24</v>
      </c>
    </row>
    <row r="207" spans="1:12" x14ac:dyDescent="0.3">
      <c r="A207">
        <v>964</v>
      </c>
      <c r="B207" t="s">
        <v>24</v>
      </c>
      <c r="C207" s="1">
        <v>45871</v>
      </c>
      <c r="D207" s="1" t="str">
        <f>TEXT(FMData[[#This Row],[Show_Date]],"mmm")</f>
        <v>Aug</v>
      </c>
      <c r="E207" s="1" t="str">
        <f>TEXT(FMData[[#This Row],[Show_Date]],"ddd")</f>
        <v>Sat</v>
      </c>
      <c r="F207" t="s">
        <v>11</v>
      </c>
      <c r="G207" t="s">
        <v>29</v>
      </c>
      <c r="H207">
        <v>3</v>
      </c>
      <c r="I207">
        <v>30</v>
      </c>
      <c r="J207" t="s">
        <v>13</v>
      </c>
      <c r="K207" t="s">
        <v>27</v>
      </c>
      <c r="L207">
        <v>90</v>
      </c>
    </row>
    <row r="208" spans="1:12" x14ac:dyDescent="0.3">
      <c r="A208">
        <v>281</v>
      </c>
      <c r="B208" t="s">
        <v>24</v>
      </c>
      <c r="C208" s="1">
        <v>45894</v>
      </c>
      <c r="D208" s="1" t="str">
        <f>TEXT(FMData[[#This Row],[Show_Date]],"mmm")</f>
        <v>Aug</v>
      </c>
      <c r="E208" s="1" t="str">
        <f>TEXT(FMData[[#This Row],[Show_Date]],"ddd")</f>
        <v>Mon</v>
      </c>
      <c r="F208" t="s">
        <v>11</v>
      </c>
      <c r="G208" t="s">
        <v>17</v>
      </c>
      <c r="H208">
        <v>1</v>
      </c>
      <c r="I208">
        <v>12</v>
      </c>
      <c r="J208" t="s">
        <v>23</v>
      </c>
      <c r="K208" t="s">
        <v>25</v>
      </c>
      <c r="L208">
        <v>12</v>
      </c>
    </row>
    <row r="209" spans="1:12" x14ac:dyDescent="0.3">
      <c r="A209">
        <v>787</v>
      </c>
      <c r="B209" t="s">
        <v>24</v>
      </c>
      <c r="C209" s="1">
        <v>45919</v>
      </c>
      <c r="D209" s="1" t="str">
        <f>TEXT(FMData[[#This Row],[Show_Date]],"mmm")</f>
        <v>Sep</v>
      </c>
      <c r="E209" s="1" t="str">
        <f>TEXT(FMData[[#This Row],[Show_Date]],"ddd")</f>
        <v>Fri</v>
      </c>
      <c r="F209" t="s">
        <v>11</v>
      </c>
      <c r="G209" t="s">
        <v>29</v>
      </c>
      <c r="H209">
        <v>4</v>
      </c>
      <c r="I209">
        <v>30</v>
      </c>
      <c r="J209" t="s">
        <v>21</v>
      </c>
      <c r="K209" t="s">
        <v>18</v>
      </c>
      <c r="L209">
        <v>120</v>
      </c>
    </row>
    <row r="210" spans="1:12" x14ac:dyDescent="0.3">
      <c r="A210">
        <v>814</v>
      </c>
      <c r="B210" t="s">
        <v>24</v>
      </c>
      <c r="C210" s="1">
        <v>45880</v>
      </c>
      <c r="D210" s="1" t="str">
        <f>TEXT(FMData[[#This Row],[Show_Date]],"mmm")</f>
        <v>Aug</v>
      </c>
      <c r="E210" s="1" t="str">
        <f>TEXT(FMData[[#This Row],[Show_Date]],"ddd")</f>
        <v>Mon</v>
      </c>
      <c r="F210" t="s">
        <v>11</v>
      </c>
      <c r="G210" t="s">
        <v>17</v>
      </c>
      <c r="H210">
        <v>3</v>
      </c>
      <c r="I210">
        <v>12</v>
      </c>
      <c r="J210" t="s">
        <v>13</v>
      </c>
      <c r="K210" t="s">
        <v>27</v>
      </c>
      <c r="L210">
        <v>36</v>
      </c>
    </row>
    <row r="211" spans="1:12" x14ac:dyDescent="0.3">
      <c r="A211">
        <v>1634</v>
      </c>
      <c r="B211" t="s">
        <v>24</v>
      </c>
      <c r="C211" s="1">
        <v>45899</v>
      </c>
      <c r="D211" s="1" t="str">
        <f>TEXT(FMData[[#This Row],[Show_Date]],"mmm")</f>
        <v>Aug</v>
      </c>
      <c r="E211" s="1" t="str">
        <f>TEXT(FMData[[#This Row],[Show_Date]],"ddd")</f>
        <v>Sat</v>
      </c>
      <c r="F211" t="s">
        <v>11</v>
      </c>
      <c r="G211" t="s">
        <v>17</v>
      </c>
      <c r="H211">
        <v>1</v>
      </c>
      <c r="I211">
        <v>12</v>
      </c>
      <c r="J211" t="s">
        <v>21</v>
      </c>
      <c r="K211" t="s">
        <v>27</v>
      </c>
      <c r="L211">
        <v>12</v>
      </c>
    </row>
    <row r="212" spans="1:12" x14ac:dyDescent="0.3">
      <c r="A212">
        <v>1371</v>
      </c>
      <c r="B212" t="s">
        <v>24</v>
      </c>
      <c r="C212" s="1">
        <v>45929</v>
      </c>
      <c r="D212" s="1" t="str">
        <f>TEXT(FMData[[#This Row],[Show_Date]],"mmm")</f>
        <v>Sep</v>
      </c>
      <c r="E212" s="1" t="str">
        <f>TEXT(FMData[[#This Row],[Show_Date]],"ddd")</f>
        <v>Mon</v>
      </c>
      <c r="F212" t="s">
        <v>11</v>
      </c>
      <c r="G212" t="s">
        <v>17</v>
      </c>
      <c r="H212">
        <v>4</v>
      </c>
      <c r="I212">
        <v>12</v>
      </c>
      <c r="J212" t="s">
        <v>23</v>
      </c>
      <c r="K212" t="s">
        <v>14</v>
      </c>
      <c r="L212">
        <v>48</v>
      </c>
    </row>
    <row r="213" spans="1:12" x14ac:dyDescent="0.3">
      <c r="A213">
        <v>1268</v>
      </c>
      <c r="B213" t="s">
        <v>24</v>
      </c>
      <c r="C213" s="1">
        <v>45859</v>
      </c>
      <c r="D213" s="1" t="str">
        <f>TEXT(FMData[[#This Row],[Show_Date]],"mmm")</f>
        <v>Jul</v>
      </c>
      <c r="E213" s="1" t="str">
        <f>TEXT(FMData[[#This Row],[Show_Date]],"ddd")</f>
        <v>Mon</v>
      </c>
      <c r="F213" t="s">
        <v>11</v>
      </c>
      <c r="G213" t="s">
        <v>12</v>
      </c>
      <c r="H213">
        <v>3</v>
      </c>
      <c r="I213">
        <v>25</v>
      </c>
      <c r="J213" t="s">
        <v>21</v>
      </c>
      <c r="K213" t="s">
        <v>14</v>
      </c>
      <c r="L213">
        <v>75</v>
      </c>
    </row>
    <row r="214" spans="1:12" x14ac:dyDescent="0.3">
      <c r="A214">
        <v>967</v>
      </c>
      <c r="B214" t="s">
        <v>24</v>
      </c>
      <c r="C214" s="1">
        <v>45893</v>
      </c>
      <c r="D214" s="1" t="str">
        <f>TEXT(FMData[[#This Row],[Show_Date]],"mmm")</f>
        <v>Aug</v>
      </c>
      <c r="E214" s="1" t="str">
        <f>TEXT(FMData[[#This Row],[Show_Date]],"ddd")</f>
        <v>Sun</v>
      </c>
      <c r="F214" t="s">
        <v>11</v>
      </c>
      <c r="G214" t="s">
        <v>30</v>
      </c>
      <c r="H214">
        <v>1</v>
      </c>
      <c r="I214">
        <v>8</v>
      </c>
      <c r="J214" t="s">
        <v>13</v>
      </c>
      <c r="K214" t="s">
        <v>18</v>
      </c>
      <c r="L214">
        <v>8</v>
      </c>
    </row>
    <row r="215" spans="1:12" x14ac:dyDescent="0.3">
      <c r="A215">
        <v>1367</v>
      </c>
      <c r="B215" t="s">
        <v>24</v>
      </c>
      <c r="C215" s="1">
        <v>45854</v>
      </c>
      <c r="D215" s="1" t="str">
        <f>TEXT(FMData[[#This Row],[Show_Date]],"mmm")</f>
        <v>Jul</v>
      </c>
      <c r="E215" s="1" t="str">
        <f>TEXT(FMData[[#This Row],[Show_Date]],"ddd")</f>
        <v>Wed</v>
      </c>
      <c r="F215" t="s">
        <v>11</v>
      </c>
      <c r="G215" t="s">
        <v>17</v>
      </c>
      <c r="H215">
        <v>2</v>
      </c>
      <c r="I215">
        <v>12</v>
      </c>
      <c r="J215" t="s">
        <v>23</v>
      </c>
      <c r="K215" t="s">
        <v>14</v>
      </c>
      <c r="L215">
        <v>24</v>
      </c>
    </row>
    <row r="216" spans="1:12" x14ac:dyDescent="0.3">
      <c r="A216">
        <v>1324</v>
      </c>
      <c r="B216" t="s">
        <v>24</v>
      </c>
      <c r="C216" s="1">
        <v>45922</v>
      </c>
      <c r="D216" s="1" t="str">
        <f>TEXT(FMData[[#This Row],[Show_Date]],"mmm")</f>
        <v>Sep</v>
      </c>
      <c r="E216" s="1" t="str">
        <f>TEXT(FMData[[#This Row],[Show_Date]],"ddd")</f>
        <v>Mon</v>
      </c>
      <c r="F216" t="s">
        <v>11</v>
      </c>
      <c r="G216" t="s">
        <v>12</v>
      </c>
      <c r="H216">
        <v>4</v>
      </c>
      <c r="I216">
        <v>25</v>
      </c>
      <c r="J216" t="s">
        <v>13</v>
      </c>
      <c r="K216" t="s">
        <v>27</v>
      </c>
      <c r="L216">
        <v>100</v>
      </c>
    </row>
    <row r="217" spans="1:12" x14ac:dyDescent="0.3">
      <c r="A217">
        <v>1142</v>
      </c>
      <c r="B217" t="s">
        <v>24</v>
      </c>
      <c r="C217" s="1">
        <v>45871</v>
      </c>
      <c r="D217" s="1" t="str">
        <f>TEXT(FMData[[#This Row],[Show_Date]],"mmm")</f>
        <v>Aug</v>
      </c>
      <c r="E217" s="1" t="str">
        <f>TEXT(FMData[[#This Row],[Show_Date]],"ddd")</f>
        <v>Sat</v>
      </c>
      <c r="F217" t="s">
        <v>11</v>
      </c>
      <c r="G217" t="s">
        <v>29</v>
      </c>
      <c r="H217">
        <v>2</v>
      </c>
      <c r="I217">
        <v>30</v>
      </c>
      <c r="J217" t="s">
        <v>21</v>
      </c>
      <c r="K217" t="s">
        <v>18</v>
      </c>
      <c r="L217">
        <v>60</v>
      </c>
    </row>
    <row r="218" spans="1:12" x14ac:dyDescent="0.3">
      <c r="A218">
        <v>1603</v>
      </c>
      <c r="B218" t="s">
        <v>24</v>
      </c>
      <c r="C218" s="1">
        <v>45878</v>
      </c>
      <c r="D218" s="1" t="str">
        <f>TEXT(FMData[[#This Row],[Show_Date]],"mmm")</f>
        <v>Aug</v>
      </c>
      <c r="E218" s="1" t="str">
        <f>TEXT(FMData[[#This Row],[Show_Date]],"ddd")</f>
        <v>Sat</v>
      </c>
      <c r="F218" t="s">
        <v>11</v>
      </c>
      <c r="G218" t="s">
        <v>17</v>
      </c>
      <c r="H218">
        <v>5</v>
      </c>
      <c r="I218">
        <v>12</v>
      </c>
      <c r="J218" t="s">
        <v>21</v>
      </c>
      <c r="K218" t="s">
        <v>18</v>
      </c>
      <c r="L218">
        <v>60</v>
      </c>
    </row>
    <row r="219" spans="1:12" x14ac:dyDescent="0.3">
      <c r="A219">
        <v>1756</v>
      </c>
      <c r="B219" t="s">
        <v>24</v>
      </c>
      <c r="C219" s="1">
        <v>45920</v>
      </c>
      <c r="D219" s="1" t="str">
        <f>TEXT(FMData[[#This Row],[Show_Date]],"mmm")</f>
        <v>Sep</v>
      </c>
      <c r="E219" s="1" t="str">
        <f>TEXT(FMData[[#This Row],[Show_Date]],"ddd")</f>
        <v>Sat</v>
      </c>
      <c r="F219" t="s">
        <v>11</v>
      </c>
      <c r="G219" t="s">
        <v>17</v>
      </c>
      <c r="H219">
        <v>1</v>
      </c>
      <c r="I219">
        <v>12</v>
      </c>
      <c r="J219" t="s">
        <v>13</v>
      </c>
      <c r="K219" t="s">
        <v>27</v>
      </c>
      <c r="L219">
        <v>12</v>
      </c>
    </row>
    <row r="220" spans="1:12" x14ac:dyDescent="0.3">
      <c r="A220">
        <v>518</v>
      </c>
      <c r="B220" t="s">
        <v>24</v>
      </c>
      <c r="C220" s="1">
        <v>45866</v>
      </c>
      <c r="D220" s="1" t="str">
        <f>TEXT(FMData[[#This Row],[Show_Date]],"mmm")</f>
        <v>Jul</v>
      </c>
      <c r="E220" s="1" t="str">
        <f>TEXT(FMData[[#This Row],[Show_Date]],"ddd")</f>
        <v>Mon</v>
      </c>
      <c r="F220" t="s">
        <v>11</v>
      </c>
      <c r="G220" t="s">
        <v>17</v>
      </c>
      <c r="H220">
        <v>2</v>
      </c>
      <c r="I220">
        <v>12</v>
      </c>
      <c r="J220" t="s">
        <v>23</v>
      </c>
      <c r="K220" t="s">
        <v>14</v>
      </c>
      <c r="L220">
        <v>24</v>
      </c>
    </row>
    <row r="221" spans="1:12" x14ac:dyDescent="0.3">
      <c r="A221">
        <v>1710</v>
      </c>
      <c r="B221" t="s">
        <v>24</v>
      </c>
      <c r="C221" s="1">
        <v>45915</v>
      </c>
      <c r="D221" s="1" t="str">
        <f>TEXT(FMData[[#This Row],[Show_Date]],"mmm")</f>
        <v>Sep</v>
      </c>
      <c r="E221" s="1" t="str">
        <f>TEXT(FMData[[#This Row],[Show_Date]],"ddd")</f>
        <v>Mon</v>
      </c>
      <c r="F221" t="s">
        <v>11</v>
      </c>
      <c r="G221" t="s">
        <v>29</v>
      </c>
      <c r="H221">
        <v>5</v>
      </c>
      <c r="I221">
        <v>30</v>
      </c>
      <c r="J221" t="s">
        <v>23</v>
      </c>
      <c r="K221" t="s">
        <v>25</v>
      </c>
      <c r="L221">
        <v>150</v>
      </c>
    </row>
    <row r="222" spans="1:12" x14ac:dyDescent="0.3">
      <c r="A222">
        <v>1130</v>
      </c>
      <c r="B222" t="s">
        <v>24</v>
      </c>
      <c r="C222" s="1">
        <v>45851</v>
      </c>
      <c r="D222" s="1" t="str">
        <f>TEXT(FMData[[#This Row],[Show_Date]],"mmm")</f>
        <v>Jul</v>
      </c>
      <c r="E222" s="1" t="str">
        <f>TEXT(FMData[[#This Row],[Show_Date]],"ddd")</f>
        <v>Sun</v>
      </c>
      <c r="F222" t="s">
        <v>11</v>
      </c>
      <c r="G222" t="s">
        <v>22</v>
      </c>
      <c r="H222">
        <v>1</v>
      </c>
      <c r="I222">
        <v>20</v>
      </c>
      <c r="J222" t="s">
        <v>23</v>
      </c>
      <c r="K222" t="s">
        <v>14</v>
      </c>
      <c r="L222">
        <v>20</v>
      </c>
    </row>
    <row r="223" spans="1:12" x14ac:dyDescent="0.3">
      <c r="A223">
        <v>1782</v>
      </c>
      <c r="B223" t="s">
        <v>24</v>
      </c>
      <c r="C223" s="1">
        <v>45862</v>
      </c>
      <c r="D223" s="1" t="str">
        <f>TEXT(FMData[[#This Row],[Show_Date]],"mmm")</f>
        <v>Jul</v>
      </c>
      <c r="E223" s="1" t="str">
        <f>TEXT(FMData[[#This Row],[Show_Date]],"ddd")</f>
        <v>Thu</v>
      </c>
      <c r="F223" t="s">
        <v>11</v>
      </c>
      <c r="G223" t="s">
        <v>17</v>
      </c>
      <c r="H223">
        <v>2</v>
      </c>
      <c r="I223">
        <v>12</v>
      </c>
      <c r="J223" t="s">
        <v>23</v>
      </c>
      <c r="K223" t="s">
        <v>18</v>
      </c>
      <c r="L223">
        <v>24</v>
      </c>
    </row>
    <row r="224" spans="1:12" x14ac:dyDescent="0.3">
      <c r="A224">
        <v>355</v>
      </c>
      <c r="B224" t="s">
        <v>24</v>
      </c>
      <c r="C224" s="1">
        <v>45919</v>
      </c>
      <c r="D224" s="1" t="str">
        <f>TEXT(FMData[[#This Row],[Show_Date]],"mmm")</f>
        <v>Sep</v>
      </c>
      <c r="E224" s="1" t="str">
        <f>TEXT(FMData[[#This Row],[Show_Date]],"ddd")</f>
        <v>Fri</v>
      </c>
      <c r="F224" t="s">
        <v>11</v>
      </c>
      <c r="G224" t="s">
        <v>30</v>
      </c>
      <c r="H224">
        <v>4</v>
      </c>
      <c r="I224">
        <v>8</v>
      </c>
      <c r="J224" t="s">
        <v>21</v>
      </c>
      <c r="K224" t="s">
        <v>14</v>
      </c>
      <c r="L224">
        <v>32</v>
      </c>
    </row>
    <row r="225" spans="1:12" x14ac:dyDescent="0.3">
      <c r="A225">
        <v>1499</v>
      </c>
      <c r="B225" t="s">
        <v>24</v>
      </c>
      <c r="C225" s="1">
        <v>45893</v>
      </c>
      <c r="D225" s="1" t="str">
        <f>TEXT(FMData[[#This Row],[Show_Date]],"mmm")</f>
        <v>Aug</v>
      </c>
      <c r="E225" s="1" t="str">
        <f>TEXT(FMData[[#This Row],[Show_Date]],"ddd")</f>
        <v>Sun</v>
      </c>
      <c r="F225" t="s">
        <v>11</v>
      </c>
      <c r="G225" t="s">
        <v>17</v>
      </c>
      <c r="H225">
        <v>3</v>
      </c>
      <c r="I225">
        <v>12</v>
      </c>
      <c r="J225" t="s">
        <v>23</v>
      </c>
      <c r="K225" t="s">
        <v>14</v>
      </c>
      <c r="L225">
        <v>36</v>
      </c>
    </row>
    <row r="226" spans="1:12" x14ac:dyDescent="0.3">
      <c r="A226">
        <v>788</v>
      </c>
      <c r="B226" t="s">
        <v>24</v>
      </c>
      <c r="C226" s="1">
        <v>45930</v>
      </c>
      <c r="D226" s="1" t="str">
        <f>TEXT(FMData[[#This Row],[Show_Date]],"mmm")</f>
        <v>Sep</v>
      </c>
      <c r="E226" s="1" t="str">
        <f>TEXT(FMData[[#This Row],[Show_Date]],"ddd")</f>
        <v>Tue</v>
      </c>
      <c r="F226" t="s">
        <v>11</v>
      </c>
      <c r="G226" t="s">
        <v>17</v>
      </c>
      <c r="H226">
        <v>1</v>
      </c>
      <c r="I226">
        <v>12</v>
      </c>
      <c r="J226" t="s">
        <v>13</v>
      </c>
      <c r="K226" t="s">
        <v>18</v>
      </c>
      <c r="L226">
        <v>12</v>
      </c>
    </row>
    <row r="227" spans="1:12" x14ac:dyDescent="0.3">
      <c r="A227">
        <v>752</v>
      </c>
      <c r="B227" t="s">
        <v>24</v>
      </c>
      <c r="C227" s="1">
        <v>45864</v>
      </c>
      <c r="D227" s="1" t="str">
        <f>TEXT(FMData[[#This Row],[Show_Date]],"mmm")</f>
        <v>Jul</v>
      </c>
      <c r="E227" s="1" t="str">
        <f>TEXT(FMData[[#This Row],[Show_Date]],"ddd")</f>
        <v>Sat</v>
      </c>
      <c r="F227" t="s">
        <v>11</v>
      </c>
      <c r="G227" t="s">
        <v>30</v>
      </c>
      <c r="H227">
        <v>2</v>
      </c>
      <c r="I227">
        <v>8</v>
      </c>
      <c r="J227" t="s">
        <v>21</v>
      </c>
      <c r="K227" t="s">
        <v>18</v>
      </c>
      <c r="L227">
        <v>16</v>
      </c>
    </row>
    <row r="228" spans="1:12" x14ac:dyDescent="0.3">
      <c r="A228">
        <v>1921</v>
      </c>
      <c r="B228" t="s">
        <v>32</v>
      </c>
      <c r="C228" s="1">
        <v>45876</v>
      </c>
      <c r="D228" s="1" t="str">
        <f>TEXT(FMData[[#This Row],[Show_Date]],"mmm")</f>
        <v>Aug</v>
      </c>
      <c r="E228" s="1" t="str">
        <f>TEXT(FMData[[#This Row],[Show_Date]],"ddd")</f>
        <v>Thu</v>
      </c>
      <c r="F228" t="s">
        <v>11</v>
      </c>
      <c r="G228" t="s">
        <v>29</v>
      </c>
      <c r="H228">
        <v>2</v>
      </c>
      <c r="I228">
        <v>30</v>
      </c>
      <c r="J228" t="s">
        <v>23</v>
      </c>
      <c r="K228" t="s">
        <v>27</v>
      </c>
      <c r="L228">
        <v>60</v>
      </c>
    </row>
    <row r="229" spans="1:12" x14ac:dyDescent="0.3">
      <c r="A229">
        <v>1964</v>
      </c>
      <c r="B229" t="s">
        <v>26</v>
      </c>
      <c r="C229" s="1">
        <v>45888</v>
      </c>
      <c r="D229" s="1" t="str">
        <f>TEXT(FMData[[#This Row],[Show_Date]],"mmm")</f>
        <v>Aug</v>
      </c>
      <c r="E229" s="1" t="str">
        <f>TEXT(FMData[[#This Row],[Show_Date]],"ddd")</f>
        <v>Tue</v>
      </c>
      <c r="F229" t="s">
        <v>11</v>
      </c>
      <c r="G229" t="s">
        <v>12</v>
      </c>
      <c r="H229">
        <v>1</v>
      </c>
      <c r="I229">
        <v>25</v>
      </c>
      <c r="J229" t="s">
        <v>13</v>
      </c>
      <c r="K229" t="s">
        <v>25</v>
      </c>
      <c r="L229">
        <v>25</v>
      </c>
    </row>
    <row r="230" spans="1:12" x14ac:dyDescent="0.3">
      <c r="A230">
        <v>1841</v>
      </c>
      <c r="B230" t="s">
        <v>26</v>
      </c>
      <c r="C230" s="1">
        <v>45916</v>
      </c>
      <c r="D230" s="1" t="str">
        <f>TEXT(FMData[[#This Row],[Show_Date]],"mmm")</f>
        <v>Sep</v>
      </c>
      <c r="E230" s="1" t="str">
        <f>TEXT(FMData[[#This Row],[Show_Date]],"ddd")</f>
        <v>Tue</v>
      </c>
      <c r="F230" t="s">
        <v>11</v>
      </c>
      <c r="G230" t="s">
        <v>12</v>
      </c>
      <c r="H230">
        <v>5</v>
      </c>
      <c r="I230">
        <v>25</v>
      </c>
      <c r="J230" t="s">
        <v>13</v>
      </c>
      <c r="K230" t="s">
        <v>27</v>
      </c>
      <c r="L230">
        <v>125</v>
      </c>
    </row>
    <row r="231" spans="1:12" x14ac:dyDescent="0.3">
      <c r="A231">
        <v>48</v>
      </c>
      <c r="B231" t="s">
        <v>28</v>
      </c>
      <c r="C231" s="1">
        <v>45864</v>
      </c>
      <c r="D231" s="1" t="str">
        <f>TEXT(FMData[[#This Row],[Show_Date]],"mmm")</f>
        <v>Jul</v>
      </c>
      <c r="E231" s="1" t="str">
        <f>TEXT(FMData[[#This Row],[Show_Date]],"ddd")</f>
        <v>Sat</v>
      </c>
      <c r="F231" t="s">
        <v>11</v>
      </c>
      <c r="G231" t="s">
        <v>30</v>
      </c>
      <c r="H231">
        <v>3</v>
      </c>
      <c r="I231">
        <v>8</v>
      </c>
      <c r="J231" t="s">
        <v>23</v>
      </c>
      <c r="K231" t="s">
        <v>27</v>
      </c>
      <c r="L231">
        <v>24</v>
      </c>
    </row>
    <row r="232" spans="1:12" x14ac:dyDescent="0.3">
      <c r="A232">
        <v>452</v>
      </c>
      <c r="B232" t="s">
        <v>10</v>
      </c>
      <c r="C232" s="1">
        <v>45907</v>
      </c>
      <c r="D232" s="1" t="str">
        <f>TEXT(FMData[[#This Row],[Show_Date]],"mmm")</f>
        <v>Sep</v>
      </c>
      <c r="E232" s="1" t="str">
        <f>TEXT(FMData[[#This Row],[Show_Date]],"ddd")</f>
        <v>Sun</v>
      </c>
      <c r="F232" t="s">
        <v>11</v>
      </c>
      <c r="G232" t="s">
        <v>29</v>
      </c>
      <c r="H232">
        <v>3</v>
      </c>
      <c r="I232">
        <v>30</v>
      </c>
      <c r="J232" t="s">
        <v>23</v>
      </c>
      <c r="K232" t="s">
        <v>18</v>
      </c>
      <c r="L232">
        <v>90</v>
      </c>
    </row>
    <row r="233" spans="1:12" x14ac:dyDescent="0.3">
      <c r="A233">
        <v>154</v>
      </c>
      <c r="B233" t="s">
        <v>32</v>
      </c>
      <c r="C233" s="1">
        <v>45871</v>
      </c>
      <c r="D233" s="1" t="str">
        <f>TEXT(FMData[[#This Row],[Show_Date]],"mmm")</f>
        <v>Aug</v>
      </c>
      <c r="E233" s="1" t="str">
        <f>TEXT(FMData[[#This Row],[Show_Date]],"ddd")</f>
        <v>Sat</v>
      </c>
      <c r="F233" t="s">
        <v>11</v>
      </c>
      <c r="G233" t="s">
        <v>22</v>
      </c>
      <c r="H233">
        <v>2</v>
      </c>
      <c r="I233">
        <v>20</v>
      </c>
      <c r="J233" t="s">
        <v>13</v>
      </c>
      <c r="K233" t="s">
        <v>27</v>
      </c>
      <c r="L233">
        <v>40</v>
      </c>
    </row>
    <row r="234" spans="1:12" x14ac:dyDescent="0.3">
      <c r="A234">
        <v>1566</v>
      </c>
      <c r="B234" t="s">
        <v>32</v>
      </c>
      <c r="C234" s="1">
        <v>45927</v>
      </c>
      <c r="D234" s="1" t="str">
        <f>TEXT(FMData[[#This Row],[Show_Date]],"mmm")</f>
        <v>Sep</v>
      </c>
      <c r="E234" s="1" t="str">
        <f>TEXT(FMData[[#This Row],[Show_Date]],"ddd")</f>
        <v>Sat</v>
      </c>
      <c r="F234" t="s">
        <v>11</v>
      </c>
      <c r="G234" t="s">
        <v>30</v>
      </c>
      <c r="H234">
        <v>4</v>
      </c>
      <c r="I234">
        <v>8</v>
      </c>
      <c r="J234" t="s">
        <v>13</v>
      </c>
      <c r="K234" t="s">
        <v>18</v>
      </c>
      <c r="L234">
        <v>32</v>
      </c>
    </row>
    <row r="235" spans="1:12" x14ac:dyDescent="0.3">
      <c r="A235">
        <v>1877</v>
      </c>
      <c r="B235" t="s">
        <v>15</v>
      </c>
      <c r="C235" s="1">
        <v>45865</v>
      </c>
      <c r="D235" s="1" t="str">
        <f>TEXT(FMData[[#This Row],[Show_Date]],"mmm")</f>
        <v>Jul</v>
      </c>
      <c r="E235" s="1" t="str">
        <f>TEXT(FMData[[#This Row],[Show_Date]],"ddd")</f>
        <v>Sun</v>
      </c>
      <c r="F235" t="s">
        <v>11</v>
      </c>
      <c r="G235" t="s">
        <v>17</v>
      </c>
      <c r="H235">
        <v>5</v>
      </c>
      <c r="I235">
        <v>12</v>
      </c>
      <c r="J235" t="s">
        <v>21</v>
      </c>
      <c r="K235" t="s">
        <v>27</v>
      </c>
      <c r="L235">
        <v>60</v>
      </c>
    </row>
    <row r="236" spans="1:12" x14ac:dyDescent="0.3">
      <c r="A236">
        <v>817</v>
      </c>
      <c r="B236" t="s">
        <v>24</v>
      </c>
      <c r="C236" s="1">
        <v>45886</v>
      </c>
      <c r="D236" s="1" t="str">
        <f>TEXT(FMData[[#This Row],[Show_Date]],"mmm")</f>
        <v>Aug</v>
      </c>
      <c r="E236" s="1" t="str">
        <f>TEXT(FMData[[#This Row],[Show_Date]],"ddd")</f>
        <v>Sun</v>
      </c>
      <c r="F236" t="s">
        <v>11</v>
      </c>
      <c r="G236" t="s">
        <v>17</v>
      </c>
      <c r="H236">
        <v>3</v>
      </c>
      <c r="I236">
        <v>12</v>
      </c>
      <c r="J236" t="s">
        <v>13</v>
      </c>
      <c r="K236" t="s">
        <v>27</v>
      </c>
      <c r="L236">
        <v>36</v>
      </c>
    </row>
    <row r="237" spans="1:12" x14ac:dyDescent="0.3">
      <c r="A237">
        <v>968</v>
      </c>
      <c r="B237" t="s">
        <v>10</v>
      </c>
      <c r="C237" s="1">
        <v>45924</v>
      </c>
      <c r="D237" s="1" t="str">
        <f>TEXT(FMData[[#This Row],[Show_Date]],"mmm")</f>
        <v>Sep</v>
      </c>
      <c r="E237" s="1" t="str">
        <f>TEXT(FMData[[#This Row],[Show_Date]],"ddd")</f>
        <v>Wed</v>
      </c>
      <c r="F237" t="s">
        <v>11</v>
      </c>
      <c r="G237" t="s">
        <v>12</v>
      </c>
      <c r="H237">
        <v>1</v>
      </c>
      <c r="I237">
        <v>25</v>
      </c>
      <c r="J237" t="s">
        <v>13</v>
      </c>
      <c r="K237" t="s">
        <v>27</v>
      </c>
      <c r="L237">
        <v>25</v>
      </c>
    </row>
    <row r="238" spans="1:12" x14ac:dyDescent="0.3">
      <c r="A238">
        <v>1399</v>
      </c>
      <c r="B238" t="s">
        <v>31</v>
      </c>
      <c r="C238" s="1">
        <v>45922</v>
      </c>
      <c r="D238" s="1" t="str">
        <f>TEXT(FMData[[#This Row],[Show_Date]],"mmm")</f>
        <v>Sep</v>
      </c>
      <c r="E238" s="1" t="str">
        <f>TEXT(FMData[[#This Row],[Show_Date]],"ddd")</f>
        <v>Mon</v>
      </c>
      <c r="F238" t="s">
        <v>11</v>
      </c>
      <c r="G238" t="s">
        <v>17</v>
      </c>
      <c r="H238">
        <v>1</v>
      </c>
      <c r="I238">
        <v>12</v>
      </c>
      <c r="J238" t="s">
        <v>13</v>
      </c>
      <c r="K238" t="s">
        <v>14</v>
      </c>
      <c r="L238">
        <v>12</v>
      </c>
    </row>
    <row r="239" spans="1:12" x14ac:dyDescent="0.3">
      <c r="A239">
        <v>980</v>
      </c>
      <c r="B239" t="s">
        <v>10</v>
      </c>
      <c r="C239" s="1">
        <v>45912</v>
      </c>
      <c r="D239" s="1" t="str">
        <f>TEXT(FMData[[#This Row],[Show_Date]],"mmm")</f>
        <v>Sep</v>
      </c>
      <c r="E239" s="1" t="str">
        <f>TEXT(FMData[[#This Row],[Show_Date]],"ddd")</f>
        <v>Fri</v>
      </c>
      <c r="F239" t="s">
        <v>11</v>
      </c>
      <c r="G239" t="s">
        <v>29</v>
      </c>
      <c r="H239">
        <v>2</v>
      </c>
      <c r="I239">
        <v>30</v>
      </c>
      <c r="J239" t="s">
        <v>13</v>
      </c>
      <c r="K239" t="s">
        <v>25</v>
      </c>
      <c r="L239">
        <v>60</v>
      </c>
    </row>
    <row r="240" spans="1:12" x14ac:dyDescent="0.3">
      <c r="A240">
        <v>174</v>
      </c>
      <c r="B240" t="s">
        <v>31</v>
      </c>
      <c r="C240" s="1">
        <v>45911</v>
      </c>
      <c r="D240" s="1" t="str">
        <f>TEXT(FMData[[#This Row],[Show_Date]],"mmm")</f>
        <v>Sep</v>
      </c>
      <c r="E240" s="1" t="str">
        <f>TEXT(FMData[[#This Row],[Show_Date]],"ddd")</f>
        <v>Thu</v>
      </c>
      <c r="F240" t="s">
        <v>11</v>
      </c>
      <c r="G240" t="s">
        <v>22</v>
      </c>
      <c r="H240">
        <v>5</v>
      </c>
      <c r="I240">
        <v>20</v>
      </c>
      <c r="J240" t="s">
        <v>21</v>
      </c>
      <c r="K240" t="s">
        <v>18</v>
      </c>
      <c r="L240">
        <v>100</v>
      </c>
    </row>
    <row r="241" spans="1:12" x14ac:dyDescent="0.3">
      <c r="A241">
        <v>1810</v>
      </c>
      <c r="B241" t="s">
        <v>26</v>
      </c>
      <c r="C241" s="1">
        <v>45905</v>
      </c>
      <c r="D241" s="1" t="str">
        <f>TEXT(FMData[[#This Row],[Show_Date]],"mmm")</f>
        <v>Sep</v>
      </c>
      <c r="E241" s="1" t="str">
        <f>TEXT(FMData[[#This Row],[Show_Date]],"ddd")</f>
        <v>Fri</v>
      </c>
      <c r="F241" t="s">
        <v>11</v>
      </c>
      <c r="G241" t="s">
        <v>17</v>
      </c>
      <c r="H241">
        <v>3</v>
      </c>
      <c r="I241">
        <v>12</v>
      </c>
      <c r="J241" t="s">
        <v>21</v>
      </c>
      <c r="K241" t="s">
        <v>14</v>
      </c>
      <c r="L241">
        <v>36</v>
      </c>
    </row>
    <row r="242" spans="1:12" x14ac:dyDescent="0.3">
      <c r="A242">
        <v>1089</v>
      </c>
      <c r="B242" t="s">
        <v>19</v>
      </c>
      <c r="C242" s="1">
        <v>45846</v>
      </c>
      <c r="D242" s="1" t="str">
        <f>TEXT(FMData[[#This Row],[Show_Date]],"mmm")</f>
        <v>Jul</v>
      </c>
      <c r="E242" s="1" t="str">
        <f>TEXT(FMData[[#This Row],[Show_Date]],"ddd")</f>
        <v>Tue</v>
      </c>
      <c r="F242" t="s">
        <v>11</v>
      </c>
      <c r="G242" t="s">
        <v>12</v>
      </c>
      <c r="H242">
        <v>1</v>
      </c>
      <c r="I242">
        <v>25</v>
      </c>
      <c r="J242" t="s">
        <v>21</v>
      </c>
      <c r="K242" t="s">
        <v>25</v>
      </c>
      <c r="L242">
        <v>25</v>
      </c>
    </row>
    <row r="243" spans="1:12" x14ac:dyDescent="0.3">
      <c r="A243">
        <v>1001</v>
      </c>
      <c r="B243" t="s">
        <v>10</v>
      </c>
      <c r="C243" s="1">
        <v>45927</v>
      </c>
      <c r="D243" s="1" t="str">
        <f>TEXT(FMData[[#This Row],[Show_Date]],"mmm")</f>
        <v>Sep</v>
      </c>
      <c r="E243" s="1" t="str">
        <f>TEXT(FMData[[#This Row],[Show_Date]],"ddd")</f>
        <v>Sat</v>
      </c>
      <c r="F243" t="s">
        <v>11</v>
      </c>
      <c r="G243" t="s">
        <v>30</v>
      </c>
      <c r="H243">
        <v>3</v>
      </c>
      <c r="I243">
        <v>8</v>
      </c>
      <c r="J243" t="s">
        <v>23</v>
      </c>
      <c r="K243" t="s">
        <v>25</v>
      </c>
      <c r="L243">
        <v>24</v>
      </c>
    </row>
    <row r="244" spans="1:12" x14ac:dyDescent="0.3">
      <c r="A244">
        <v>444</v>
      </c>
      <c r="B244" t="s">
        <v>19</v>
      </c>
      <c r="C244" s="1">
        <v>45903</v>
      </c>
      <c r="D244" s="1" t="str">
        <f>TEXT(FMData[[#This Row],[Show_Date]],"mmm")</f>
        <v>Sep</v>
      </c>
      <c r="E244" s="1" t="str">
        <f>TEXT(FMData[[#This Row],[Show_Date]],"ddd")</f>
        <v>Wed</v>
      </c>
      <c r="F244" t="s">
        <v>11</v>
      </c>
      <c r="G244" t="s">
        <v>22</v>
      </c>
      <c r="H244">
        <v>2</v>
      </c>
      <c r="I244">
        <v>20</v>
      </c>
      <c r="J244" t="s">
        <v>13</v>
      </c>
      <c r="K244" t="s">
        <v>14</v>
      </c>
      <c r="L244">
        <v>40</v>
      </c>
    </row>
    <row r="245" spans="1:12" x14ac:dyDescent="0.3">
      <c r="A245">
        <v>1683</v>
      </c>
      <c r="B245" t="s">
        <v>15</v>
      </c>
      <c r="C245" s="1">
        <v>45862</v>
      </c>
      <c r="D245" s="1" t="str">
        <f>TEXT(FMData[[#This Row],[Show_Date]],"mmm")</f>
        <v>Jul</v>
      </c>
      <c r="E245" s="1" t="str">
        <f>TEXT(FMData[[#This Row],[Show_Date]],"ddd")</f>
        <v>Thu</v>
      </c>
      <c r="F245" t="s">
        <v>11</v>
      </c>
      <c r="G245" t="s">
        <v>30</v>
      </c>
      <c r="H245">
        <v>2</v>
      </c>
      <c r="I245">
        <v>8</v>
      </c>
      <c r="J245" t="s">
        <v>21</v>
      </c>
      <c r="K245" t="s">
        <v>27</v>
      </c>
      <c r="L245">
        <v>16</v>
      </c>
    </row>
    <row r="246" spans="1:12" x14ac:dyDescent="0.3">
      <c r="A246">
        <v>625</v>
      </c>
      <c r="B246" t="s">
        <v>15</v>
      </c>
      <c r="C246" s="1">
        <v>45927</v>
      </c>
      <c r="D246" s="1" t="str">
        <f>TEXT(FMData[[#This Row],[Show_Date]],"mmm")</f>
        <v>Sep</v>
      </c>
      <c r="E246" s="1" t="str">
        <f>TEXT(FMData[[#This Row],[Show_Date]],"ddd")</f>
        <v>Sat</v>
      </c>
      <c r="F246" t="s">
        <v>11</v>
      </c>
      <c r="G246" t="s">
        <v>17</v>
      </c>
      <c r="H246">
        <v>4</v>
      </c>
      <c r="I246">
        <v>12</v>
      </c>
      <c r="J246" t="s">
        <v>23</v>
      </c>
      <c r="K246" t="s">
        <v>14</v>
      </c>
      <c r="L246">
        <v>48</v>
      </c>
    </row>
    <row r="247" spans="1:12" x14ac:dyDescent="0.3">
      <c r="A247">
        <v>1781</v>
      </c>
      <c r="B247" t="s">
        <v>10</v>
      </c>
      <c r="C247" s="1">
        <v>45884</v>
      </c>
      <c r="D247" s="1" t="str">
        <f>TEXT(FMData[[#This Row],[Show_Date]],"mmm")</f>
        <v>Aug</v>
      </c>
      <c r="E247" s="1" t="str">
        <f>TEXT(FMData[[#This Row],[Show_Date]],"ddd")</f>
        <v>Fri</v>
      </c>
      <c r="F247" t="s">
        <v>11</v>
      </c>
      <c r="G247" t="s">
        <v>17</v>
      </c>
      <c r="H247">
        <v>2</v>
      </c>
      <c r="I247">
        <v>12</v>
      </c>
      <c r="J247" t="s">
        <v>21</v>
      </c>
      <c r="K247" t="s">
        <v>27</v>
      </c>
      <c r="L247">
        <v>24</v>
      </c>
    </row>
    <row r="248" spans="1:12" x14ac:dyDescent="0.3">
      <c r="A248">
        <v>366</v>
      </c>
      <c r="B248" t="s">
        <v>28</v>
      </c>
      <c r="C248" s="1">
        <v>45849</v>
      </c>
      <c r="D248" s="1" t="str">
        <f>TEXT(FMData[[#This Row],[Show_Date]],"mmm")</f>
        <v>Jul</v>
      </c>
      <c r="E248" s="1" t="str">
        <f>TEXT(FMData[[#This Row],[Show_Date]],"ddd")</f>
        <v>Fri</v>
      </c>
      <c r="F248" t="s">
        <v>11</v>
      </c>
      <c r="G248" t="s">
        <v>17</v>
      </c>
      <c r="H248">
        <v>5</v>
      </c>
      <c r="I248">
        <v>12</v>
      </c>
      <c r="J248" t="s">
        <v>21</v>
      </c>
      <c r="K248" t="s">
        <v>25</v>
      </c>
      <c r="L248">
        <v>60</v>
      </c>
    </row>
    <row r="249" spans="1:12" x14ac:dyDescent="0.3">
      <c r="A249">
        <v>404</v>
      </c>
      <c r="B249" t="s">
        <v>24</v>
      </c>
      <c r="C249" s="1">
        <v>45914</v>
      </c>
      <c r="D249" s="1" t="str">
        <f>TEXT(FMData[[#This Row],[Show_Date]],"mmm")</f>
        <v>Sep</v>
      </c>
      <c r="E249" s="1" t="str">
        <f>TEXT(FMData[[#This Row],[Show_Date]],"ddd")</f>
        <v>Sun</v>
      </c>
      <c r="F249" t="s">
        <v>11</v>
      </c>
      <c r="G249" t="s">
        <v>17</v>
      </c>
      <c r="H249">
        <v>4</v>
      </c>
      <c r="I249">
        <v>12</v>
      </c>
      <c r="J249" t="s">
        <v>23</v>
      </c>
      <c r="K249" t="s">
        <v>18</v>
      </c>
      <c r="L249">
        <v>48</v>
      </c>
    </row>
    <row r="250" spans="1:12" x14ac:dyDescent="0.3">
      <c r="A250">
        <v>1619</v>
      </c>
      <c r="B250" t="s">
        <v>10</v>
      </c>
      <c r="C250" s="1">
        <v>45906</v>
      </c>
      <c r="D250" s="1" t="str">
        <f>TEXT(FMData[[#This Row],[Show_Date]],"mmm")</f>
        <v>Sep</v>
      </c>
      <c r="E250" s="1" t="str">
        <f>TEXT(FMData[[#This Row],[Show_Date]],"ddd")</f>
        <v>Sat</v>
      </c>
      <c r="F250" t="s">
        <v>11</v>
      </c>
      <c r="G250" t="s">
        <v>30</v>
      </c>
      <c r="H250">
        <v>1</v>
      </c>
      <c r="I250">
        <v>8</v>
      </c>
      <c r="J250" t="s">
        <v>21</v>
      </c>
      <c r="K250" t="s">
        <v>25</v>
      </c>
      <c r="L250">
        <v>8</v>
      </c>
    </row>
    <row r="251" spans="1:12" x14ac:dyDescent="0.3">
      <c r="A251">
        <v>983</v>
      </c>
      <c r="B251" t="s">
        <v>31</v>
      </c>
      <c r="C251" s="1">
        <v>45900</v>
      </c>
      <c r="D251" s="1" t="str">
        <f>TEXT(FMData[[#This Row],[Show_Date]],"mmm")</f>
        <v>Aug</v>
      </c>
      <c r="E251" s="1" t="str">
        <f>TEXT(FMData[[#This Row],[Show_Date]],"ddd")</f>
        <v>Sun</v>
      </c>
      <c r="F251" t="s">
        <v>11</v>
      </c>
      <c r="G251" t="s">
        <v>30</v>
      </c>
      <c r="H251">
        <v>2</v>
      </c>
      <c r="I251">
        <v>8</v>
      </c>
      <c r="J251" t="s">
        <v>21</v>
      </c>
      <c r="K251" t="s">
        <v>14</v>
      </c>
      <c r="L251">
        <v>16</v>
      </c>
    </row>
    <row r="252" spans="1:12" x14ac:dyDescent="0.3">
      <c r="A252">
        <v>1774</v>
      </c>
      <c r="B252" t="s">
        <v>31</v>
      </c>
      <c r="C252" s="1">
        <v>45911</v>
      </c>
      <c r="D252" s="1" t="str">
        <f>TEXT(FMData[[#This Row],[Show_Date]],"mmm")</f>
        <v>Sep</v>
      </c>
      <c r="E252" s="1" t="str">
        <f>TEXT(FMData[[#This Row],[Show_Date]],"ddd")</f>
        <v>Thu</v>
      </c>
      <c r="F252" t="s">
        <v>11</v>
      </c>
      <c r="G252" t="s">
        <v>30</v>
      </c>
      <c r="H252">
        <v>1</v>
      </c>
      <c r="I252">
        <v>8</v>
      </c>
      <c r="J252" t="s">
        <v>23</v>
      </c>
      <c r="K252" t="s">
        <v>27</v>
      </c>
      <c r="L252">
        <v>8</v>
      </c>
    </row>
    <row r="253" spans="1:12" x14ac:dyDescent="0.3">
      <c r="A253">
        <v>569</v>
      </c>
      <c r="B253" t="s">
        <v>28</v>
      </c>
      <c r="C253" s="1">
        <v>45853</v>
      </c>
      <c r="D253" s="1" t="str">
        <f>TEXT(FMData[[#This Row],[Show_Date]],"mmm")</f>
        <v>Jul</v>
      </c>
      <c r="E253" s="1" t="str">
        <f>TEXT(FMData[[#This Row],[Show_Date]],"ddd")</f>
        <v>Tue</v>
      </c>
      <c r="F253" t="s">
        <v>11</v>
      </c>
      <c r="G253" t="s">
        <v>22</v>
      </c>
      <c r="H253">
        <v>4</v>
      </c>
      <c r="I253">
        <v>20</v>
      </c>
      <c r="J253" t="s">
        <v>23</v>
      </c>
      <c r="K253" t="s">
        <v>27</v>
      </c>
      <c r="L253">
        <v>80</v>
      </c>
    </row>
    <row r="254" spans="1:12" x14ac:dyDescent="0.3">
      <c r="A254">
        <v>1114</v>
      </c>
      <c r="B254" t="s">
        <v>28</v>
      </c>
      <c r="C254" s="1">
        <v>45927</v>
      </c>
      <c r="D254" s="1" t="str">
        <f>TEXT(FMData[[#This Row],[Show_Date]],"mmm")</f>
        <v>Sep</v>
      </c>
      <c r="E254" s="1" t="str">
        <f>TEXT(FMData[[#This Row],[Show_Date]],"ddd")</f>
        <v>Sat</v>
      </c>
      <c r="F254" t="s">
        <v>11</v>
      </c>
      <c r="G254" t="s">
        <v>17</v>
      </c>
      <c r="H254">
        <v>1</v>
      </c>
      <c r="I254">
        <v>12</v>
      </c>
      <c r="J254" t="s">
        <v>23</v>
      </c>
      <c r="K254" t="s">
        <v>14</v>
      </c>
      <c r="L254">
        <v>12</v>
      </c>
    </row>
    <row r="255" spans="1:12" x14ac:dyDescent="0.3">
      <c r="A255">
        <v>1938</v>
      </c>
      <c r="B255" t="s">
        <v>10</v>
      </c>
      <c r="C255" s="1">
        <v>45872</v>
      </c>
      <c r="D255" s="1" t="str">
        <f>TEXT(FMData[[#This Row],[Show_Date]],"mmm")</f>
        <v>Aug</v>
      </c>
      <c r="E255" s="1" t="str">
        <f>TEXT(FMData[[#This Row],[Show_Date]],"ddd")</f>
        <v>Sun</v>
      </c>
      <c r="F255" t="s">
        <v>11</v>
      </c>
      <c r="G255" t="s">
        <v>17</v>
      </c>
      <c r="H255">
        <v>4</v>
      </c>
      <c r="I255">
        <v>12</v>
      </c>
      <c r="J255" t="s">
        <v>13</v>
      </c>
      <c r="K255" t="s">
        <v>18</v>
      </c>
      <c r="L255">
        <v>48</v>
      </c>
    </row>
    <row r="256" spans="1:12" x14ac:dyDescent="0.3">
      <c r="A256">
        <v>804</v>
      </c>
      <c r="B256" t="s">
        <v>24</v>
      </c>
      <c r="C256" s="1">
        <v>45891</v>
      </c>
      <c r="D256" s="1" t="str">
        <f>TEXT(FMData[[#This Row],[Show_Date]],"mmm")</f>
        <v>Aug</v>
      </c>
      <c r="E256" s="1" t="str">
        <f>TEXT(FMData[[#This Row],[Show_Date]],"ddd")</f>
        <v>Fri</v>
      </c>
      <c r="F256" t="s">
        <v>11</v>
      </c>
      <c r="G256" t="s">
        <v>29</v>
      </c>
      <c r="H256">
        <v>3</v>
      </c>
      <c r="I256">
        <v>30</v>
      </c>
      <c r="J256" t="s">
        <v>21</v>
      </c>
      <c r="K256" t="s">
        <v>14</v>
      </c>
      <c r="L256">
        <v>90</v>
      </c>
    </row>
    <row r="257" spans="1:12" x14ac:dyDescent="0.3">
      <c r="A257">
        <v>1051</v>
      </c>
      <c r="B257" t="s">
        <v>26</v>
      </c>
      <c r="C257" s="1">
        <v>45896</v>
      </c>
      <c r="D257" s="1" t="str">
        <f>TEXT(FMData[[#This Row],[Show_Date]],"mmm")</f>
        <v>Aug</v>
      </c>
      <c r="E257" s="1" t="str">
        <f>TEXT(FMData[[#This Row],[Show_Date]],"ddd")</f>
        <v>Wed</v>
      </c>
      <c r="F257" t="s">
        <v>11</v>
      </c>
      <c r="G257" t="s">
        <v>17</v>
      </c>
      <c r="H257">
        <v>5</v>
      </c>
      <c r="I257">
        <v>12</v>
      </c>
      <c r="J257" t="s">
        <v>21</v>
      </c>
      <c r="K257" t="s">
        <v>14</v>
      </c>
      <c r="L257">
        <v>60</v>
      </c>
    </row>
    <row r="258" spans="1:12" x14ac:dyDescent="0.3">
      <c r="A258">
        <v>1186</v>
      </c>
      <c r="B258" t="s">
        <v>31</v>
      </c>
      <c r="C258" s="1">
        <v>45919</v>
      </c>
      <c r="D258" s="1" t="str">
        <f>TEXT(FMData[[#This Row],[Show_Date]],"mmm")</f>
        <v>Sep</v>
      </c>
      <c r="E258" s="1" t="str">
        <f>TEXT(FMData[[#This Row],[Show_Date]],"ddd")</f>
        <v>Fri</v>
      </c>
      <c r="F258" t="s">
        <v>11</v>
      </c>
      <c r="G258" t="s">
        <v>12</v>
      </c>
      <c r="H258">
        <v>2</v>
      </c>
      <c r="I258">
        <v>25</v>
      </c>
      <c r="J258" t="s">
        <v>23</v>
      </c>
      <c r="K258" t="s">
        <v>27</v>
      </c>
      <c r="L258">
        <v>50</v>
      </c>
    </row>
    <row r="259" spans="1:12" x14ac:dyDescent="0.3">
      <c r="A259">
        <v>1174</v>
      </c>
      <c r="B259" t="s">
        <v>28</v>
      </c>
      <c r="C259" s="1">
        <v>45868</v>
      </c>
      <c r="D259" s="1" t="str">
        <f>TEXT(FMData[[#This Row],[Show_Date]],"mmm")</f>
        <v>Jul</v>
      </c>
      <c r="E259" s="1" t="str">
        <f>TEXT(FMData[[#This Row],[Show_Date]],"ddd")</f>
        <v>Wed</v>
      </c>
      <c r="F259" t="s">
        <v>11</v>
      </c>
      <c r="G259" t="s">
        <v>17</v>
      </c>
      <c r="H259">
        <v>3</v>
      </c>
      <c r="I259">
        <v>12</v>
      </c>
      <c r="J259" t="s">
        <v>21</v>
      </c>
      <c r="K259" t="s">
        <v>14</v>
      </c>
      <c r="L259">
        <v>36</v>
      </c>
    </row>
    <row r="260" spans="1:12" x14ac:dyDescent="0.3">
      <c r="A260">
        <v>694</v>
      </c>
      <c r="B260" t="s">
        <v>31</v>
      </c>
      <c r="C260" s="1">
        <v>45901</v>
      </c>
      <c r="D260" s="1" t="str">
        <f>TEXT(FMData[[#This Row],[Show_Date]],"mmm")</f>
        <v>Sep</v>
      </c>
      <c r="E260" s="1" t="str">
        <f>TEXT(FMData[[#This Row],[Show_Date]],"ddd")</f>
        <v>Mon</v>
      </c>
      <c r="F260" t="s">
        <v>11</v>
      </c>
      <c r="G260" t="s">
        <v>17</v>
      </c>
      <c r="H260">
        <v>4</v>
      </c>
      <c r="I260">
        <v>12</v>
      </c>
      <c r="J260" t="s">
        <v>13</v>
      </c>
      <c r="K260" t="s">
        <v>18</v>
      </c>
      <c r="L260">
        <v>48</v>
      </c>
    </row>
    <row r="261" spans="1:12" x14ac:dyDescent="0.3">
      <c r="A261">
        <v>663</v>
      </c>
      <c r="B261" t="s">
        <v>15</v>
      </c>
      <c r="C261" s="1">
        <v>45909</v>
      </c>
      <c r="D261" s="1" t="str">
        <f>TEXT(FMData[[#This Row],[Show_Date]],"mmm")</f>
        <v>Sep</v>
      </c>
      <c r="E261" s="1" t="str">
        <f>TEXT(FMData[[#This Row],[Show_Date]],"ddd")</f>
        <v>Tue</v>
      </c>
      <c r="F261" t="s">
        <v>11</v>
      </c>
      <c r="G261" t="s">
        <v>17</v>
      </c>
      <c r="H261">
        <v>2</v>
      </c>
      <c r="I261">
        <v>12</v>
      </c>
      <c r="J261" t="s">
        <v>21</v>
      </c>
      <c r="K261" t="s">
        <v>18</v>
      </c>
      <c r="L261">
        <v>24</v>
      </c>
    </row>
    <row r="262" spans="1:12" x14ac:dyDescent="0.3">
      <c r="A262">
        <v>854</v>
      </c>
      <c r="B262" t="s">
        <v>32</v>
      </c>
      <c r="C262" s="1">
        <v>45860</v>
      </c>
      <c r="D262" s="1" t="str">
        <f>TEXT(FMData[[#This Row],[Show_Date]],"mmm")</f>
        <v>Jul</v>
      </c>
      <c r="E262" s="1" t="str">
        <f>TEXT(FMData[[#This Row],[Show_Date]],"ddd")</f>
        <v>Tue</v>
      </c>
      <c r="F262" t="s">
        <v>11</v>
      </c>
      <c r="G262" t="s">
        <v>29</v>
      </c>
      <c r="H262">
        <v>5</v>
      </c>
      <c r="I262">
        <v>30</v>
      </c>
      <c r="J262" t="s">
        <v>21</v>
      </c>
      <c r="K262" t="s">
        <v>14</v>
      </c>
      <c r="L262">
        <v>150</v>
      </c>
    </row>
    <row r="263" spans="1:12" x14ac:dyDescent="0.3">
      <c r="A263">
        <v>1299</v>
      </c>
      <c r="B263" t="s">
        <v>15</v>
      </c>
      <c r="C263" s="1">
        <v>45850</v>
      </c>
      <c r="D263" s="1" t="str">
        <f>TEXT(FMData[[#This Row],[Show_Date]],"mmm")</f>
        <v>Jul</v>
      </c>
      <c r="E263" s="1" t="str">
        <f>TEXT(FMData[[#This Row],[Show_Date]],"ddd")</f>
        <v>Sat</v>
      </c>
      <c r="F263" t="s">
        <v>11</v>
      </c>
      <c r="G263" t="s">
        <v>17</v>
      </c>
      <c r="H263">
        <v>2</v>
      </c>
      <c r="I263">
        <v>12</v>
      </c>
      <c r="J263" t="s">
        <v>21</v>
      </c>
      <c r="K263" t="s">
        <v>14</v>
      </c>
      <c r="L263">
        <v>24</v>
      </c>
    </row>
    <row r="264" spans="1:12" x14ac:dyDescent="0.3">
      <c r="A264">
        <v>845</v>
      </c>
      <c r="B264" t="s">
        <v>15</v>
      </c>
      <c r="C264" s="1">
        <v>45885</v>
      </c>
      <c r="D264" s="1" t="str">
        <f>TEXT(FMData[[#This Row],[Show_Date]],"mmm")</f>
        <v>Aug</v>
      </c>
      <c r="E264" s="1" t="str">
        <f>TEXT(FMData[[#This Row],[Show_Date]],"ddd")</f>
        <v>Sat</v>
      </c>
      <c r="F264" t="s">
        <v>11</v>
      </c>
      <c r="G264" t="s">
        <v>12</v>
      </c>
      <c r="H264">
        <v>2</v>
      </c>
      <c r="I264">
        <v>25</v>
      </c>
      <c r="J264" t="s">
        <v>13</v>
      </c>
      <c r="K264" t="s">
        <v>25</v>
      </c>
      <c r="L264">
        <v>50</v>
      </c>
    </row>
    <row r="265" spans="1:12" x14ac:dyDescent="0.3">
      <c r="A265">
        <v>136</v>
      </c>
      <c r="B265" t="s">
        <v>15</v>
      </c>
      <c r="C265" s="1">
        <v>45893</v>
      </c>
      <c r="D265" s="1" t="str">
        <f>TEXT(FMData[[#This Row],[Show_Date]],"mmm")</f>
        <v>Aug</v>
      </c>
      <c r="E265" s="1" t="str">
        <f>TEXT(FMData[[#This Row],[Show_Date]],"ddd")</f>
        <v>Sun</v>
      </c>
      <c r="F265" t="s">
        <v>11</v>
      </c>
      <c r="G265" t="s">
        <v>22</v>
      </c>
      <c r="H265">
        <v>1</v>
      </c>
      <c r="I265">
        <v>20</v>
      </c>
      <c r="J265" t="s">
        <v>23</v>
      </c>
      <c r="K265" t="s">
        <v>27</v>
      </c>
      <c r="L265">
        <v>20</v>
      </c>
    </row>
    <row r="266" spans="1:12" x14ac:dyDescent="0.3">
      <c r="A266">
        <v>1620</v>
      </c>
      <c r="B266" t="s">
        <v>15</v>
      </c>
      <c r="C266" s="1">
        <v>45891</v>
      </c>
      <c r="D266" s="1" t="str">
        <f>TEXT(FMData[[#This Row],[Show_Date]],"mmm")</f>
        <v>Aug</v>
      </c>
      <c r="E266" s="1" t="str">
        <f>TEXT(FMData[[#This Row],[Show_Date]],"ddd")</f>
        <v>Fri</v>
      </c>
      <c r="F266" t="s">
        <v>11</v>
      </c>
      <c r="G266" t="s">
        <v>17</v>
      </c>
      <c r="H266">
        <v>5</v>
      </c>
      <c r="I266">
        <v>12</v>
      </c>
      <c r="J266" t="s">
        <v>21</v>
      </c>
      <c r="K266" t="s">
        <v>14</v>
      </c>
      <c r="L266">
        <v>60</v>
      </c>
    </row>
    <row r="267" spans="1:12" x14ac:dyDescent="0.3">
      <c r="A267">
        <v>963</v>
      </c>
      <c r="B267" t="s">
        <v>10</v>
      </c>
      <c r="C267" s="1">
        <v>45846</v>
      </c>
      <c r="D267" s="1" t="str">
        <f>TEXT(FMData[[#This Row],[Show_Date]],"mmm")</f>
        <v>Jul</v>
      </c>
      <c r="E267" s="1" t="str">
        <f>TEXT(FMData[[#This Row],[Show_Date]],"ddd")</f>
        <v>Tue</v>
      </c>
      <c r="F267" t="s">
        <v>11</v>
      </c>
      <c r="G267" t="s">
        <v>17</v>
      </c>
      <c r="H267">
        <v>3</v>
      </c>
      <c r="I267">
        <v>12</v>
      </c>
      <c r="J267" t="s">
        <v>13</v>
      </c>
      <c r="K267" t="s">
        <v>18</v>
      </c>
      <c r="L267">
        <v>36</v>
      </c>
    </row>
    <row r="268" spans="1:12" x14ac:dyDescent="0.3">
      <c r="A268">
        <v>957</v>
      </c>
      <c r="B268" t="s">
        <v>31</v>
      </c>
      <c r="C268" s="1">
        <v>45889</v>
      </c>
      <c r="D268" s="1" t="str">
        <f>TEXT(FMData[[#This Row],[Show_Date]],"mmm")</f>
        <v>Aug</v>
      </c>
      <c r="E268" s="1" t="str">
        <f>TEXT(FMData[[#This Row],[Show_Date]],"ddd")</f>
        <v>Wed</v>
      </c>
      <c r="F268" t="s">
        <v>11</v>
      </c>
      <c r="G268" t="s">
        <v>30</v>
      </c>
      <c r="H268">
        <v>5</v>
      </c>
      <c r="I268">
        <v>8</v>
      </c>
      <c r="J268" t="s">
        <v>13</v>
      </c>
      <c r="K268" t="s">
        <v>18</v>
      </c>
      <c r="L268">
        <v>40</v>
      </c>
    </row>
    <row r="269" spans="1:12" x14ac:dyDescent="0.3">
      <c r="A269">
        <v>1909</v>
      </c>
      <c r="B269" t="s">
        <v>26</v>
      </c>
      <c r="C269" s="1">
        <v>45898</v>
      </c>
      <c r="D269" s="1" t="str">
        <f>TEXT(FMData[[#This Row],[Show_Date]],"mmm")</f>
        <v>Aug</v>
      </c>
      <c r="E269" s="1" t="str">
        <f>TEXT(FMData[[#This Row],[Show_Date]],"ddd")</f>
        <v>Fri</v>
      </c>
      <c r="F269" t="s">
        <v>11</v>
      </c>
      <c r="G269" t="s">
        <v>12</v>
      </c>
      <c r="H269">
        <v>1</v>
      </c>
      <c r="I269">
        <v>25</v>
      </c>
      <c r="J269" t="s">
        <v>13</v>
      </c>
      <c r="K269" t="s">
        <v>25</v>
      </c>
      <c r="L269">
        <v>25</v>
      </c>
    </row>
    <row r="270" spans="1:12" x14ac:dyDescent="0.3">
      <c r="A270">
        <v>512</v>
      </c>
      <c r="B270" t="s">
        <v>26</v>
      </c>
      <c r="C270" s="1">
        <v>45857</v>
      </c>
      <c r="D270" s="1" t="str">
        <f>TEXT(FMData[[#This Row],[Show_Date]],"mmm")</f>
        <v>Jul</v>
      </c>
      <c r="E270" s="1" t="str">
        <f>TEXT(FMData[[#This Row],[Show_Date]],"ddd")</f>
        <v>Sat</v>
      </c>
      <c r="F270" t="s">
        <v>11</v>
      </c>
      <c r="G270" t="s">
        <v>22</v>
      </c>
      <c r="H270">
        <v>4</v>
      </c>
      <c r="I270">
        <v>20</v>
      </c>
      <c r="J270" t="s">
        <v>23</v>
      </c>
      <c r="K270" t="s">
        <v>18</v>
      </c>
      <c r="L270">
        <v>80</v>
      </c>
    </row>
    <row r="271" spans="1:12" x14ac:dyDescent="0.3">
      <c r="A271">
        <v>921</v>
      </c>
      <c r="B271" t="s">
        <v>15</v>
      </c>
      <c r="C271" s="1">
        <v>45870</v>
      </c>
      <c r="D271" s="1" t="str">
        <f>TEXT(FMData[[#This Row],[Show_Date]],"mmm")</f>
        <v>Aug</v>
      </c>
      <c r="E271" s="1" t="str">
        <f>TEXT(FMData[[#This Row],[Show_Date]],"ddd")</f>
        <v>Fri</v>
      </c>
      <c r="F271" t="s">
        <v>11</v>
      </c>
      <c r="G271" t="s">
        <v>17</v>
      </c>
      <c r="H271">
        <v>1</v>
      </c>
      <c r="I271">
        <v>12</v>
      </c>
      <c r="J271" t="s">
        <v>21</v>
      </c>
      <c r="K271" t="s">
        <v>14</v>
      </c>
      <c r="L271">
        <v>12</v>
      </c>
    </row>
    <row r="272" spans="1:12" x14ac:dyDescent="0.3">
      <c r="A272">
        <v>1630</v>
      </c>
      <c r="B272" t="s">
        <v>10</v>
      </c>
      <c r="C272" s="1">
        <v>45845</v>
      </c>
      <c r="D272" s="1" t="str">
        <f>TEXT(FMData[[#This Row],[Show_Date]],"mmm")</f>
        <v>Jul</v>
      </c>
      <c r="E272" s="1" t="str">
        <f>TEXT(FMData[[#This Row],[Show_Date]],"ddd")</f>
        <v>Mon</v>
      </c>
      <c r="F272" t="s">
        <v>11</v>
      </c>
      <c r="G272" t="s">
        <v>12</v>
      </c>
      <c r="H272">
        <v>5</v>
      </c>
      <c r="I272">
        <v>25</v>
      </c>
      <c r="J272" t="s">
        <v>13</v>
      </c>
      <c r="K272" t="s">
        <v>18</v>
      </c>
      <c r="L272">
        <v>125</v>
      </c>
    </row>
    <row r="273" spans="1:12" x14ac:dyDescent="0.3">
      <c r="A273">
        <v>1969</v>
      </c>
      <c r="B273" t="s">
        <v>24</v>
      </c>
      <c r="C273" s="1">
        <v>45900</v>
      </c>
      <c r="D273" s="1" t="str">
        <f>TEXT(FMData[[#This Row],[Show_Date]],"mmm")</f>
        <v>Aug</v>
      </c>
      <c r="E273" s="1" t="str">
        <f>TEXT(FMData[[#This Row],[Show_Date]],"ddd")</f>
        <v>Sun</v>
      </c>
      <c r="F273" t="s">
        <v>11</v>
      </c>
      <c r="G273" t="s">
        <v>12</v>
      </c>
      <c r="H273">
        <v>5</v>
      </c>
      <c r="I273">
        <v>25</v>
      </c>
      <c r="J273" t="s">
        <v>13</v>
      </c>
      <c r="K273" t="s">
        <v>18</v>
      </c>
      <c r="L273">
        <v>125</v>
      </c>
    </row>
    <row r="274" spans="1:12" x14ac:dyDescent="0.3">
      <c r="A274">
        <v>1326</v>
      </c>
      <c r="B274" t="s">
        <v>24</v>
      </c>
      <c r="C274" s="1">
        <v>45922</v>
      </c>
      <c r="D274" s="1" t="str">
        <f>TEXT(FMData[[#This Row],[Show_Date]],"mmm")</f>
        <v>Sep</v>
      </c>
      <c r="E274" s="1" t="str">
        <f>TEXT(FMData[[#This Row],[Show_Date]],"ddd")</f>
        <v>Mon</v>
      </c>
      <c r="F274" t="s">
        <v>11</v>
      </c>
      <c r="G274" t="s">
        <v>30</v>
      </c>
      <c r="H274">
        <v>4</v>
      </c>
      <c r="I274">
        <v>8</v>
      </c>
      <c r="J274" t="s">
        <v>21</v>
      </c>
      <c r="K274" t="s">
        <v>18</v>
      </c>
      <c r="L274">
        <v>32</v>
      </c>
    </row>
    <row r="275" spans="1:12" x14ac:dyDescent="0.3">
      <c r="A275">
        <v>630</v>
      </c>
      <c r="B275" t="s">
        <v>28</v>
      </c>
      <c r="C275" s="1">
        <v>45873</v>
      </c>
      <c r="D275" s="1" t="str">
        <f>TEXT(FMData[[#This Row],[Show_Date]],"mmm")</f>
        <v>Aug</v>
      </c>
      <c r="E275" s="1" t="str">
        <f>TEXT(FMData[[#This Row],[Show_Date]],"ddd")</f>
        <v>Mon</v>
      </c>
      <c r="F275" t="s">
        <v>11</v>
      </c>
      <c r="G275" t="s">
        <v>17</v>
      </c>
      <c r="H275">
        <v>4</v>
      </c>
      <c r="I275">
        <v>12</v>
      </c>
      <c r="J275" t="s">
        <v>23</v>
      </c>
      <c r="K275" t="s">
        <v>14</v>
      </c>
      <c r="L275">
        <v>48</v>
      </c>
    </row>
    <row r="276" spans="1:12" x14ac:dyDescent="0.3">
      <c r="A276">
        <v>2</v>
      </c>
      <c r="B276" t="s">
        <v>31</v>
      </c>
      <c r="C276" s="1">
        <v>45885</v>
      </c>
      <c r="D276" s="1" t="str">
        <f>TEXT(FMData[[#This Row],[Show_Date]],"mmm")</f>
        <v>Aug</v>
      </c>
      <c r="E276" s="1" t="str">
        <f>TEXT(FMData[[#This Row],[Show_Date]],"ddd")</f>
        <v>Sat</v>
      </c>
      <c r="F276" t="s">
        <v>11</v>
      </c>
      <c r="G276" t="s">
        <v>17</v>
      </c>
      <c r="H276">
        <v>5</v>
      </c>
      <c r="I276">
        <v>12</v>
      </c>
      <c r="J276" t="s">
        <v>23</v>
      </c>
      <c r="K276" t="s">
        <v>14</v>
      </c>
      <c r="L276">
        <v>60</v>
      </c>
    </row>
    <row r="277" spans="1:12" x14ac:dyDescent="0.3">
      <c r="A277">
        <v>1034</v>
      </c>
      <c r="B277" t="s">
        <v>10</v>
      </c>
      <c r="C277" s="1">
        <v>45899</v>
      </c>
      <c r="D277" s="1" t="str">
        <f>TEXT(FMData[[#This Row],[Show_Date]],"mmm")</f>
        <v>Aug</v>
      </c>
      <c r="E277" s="1" t="str">
        <f>TEXT(FMData[[#This Row],[Show_Date]],"ddd")</f>
        <v>Sat</v>
      </c>
      <c r="F277" t="s">
        <v>11</v>
      </c>
      <c r="G277" t="s">
        <v>17</v>
      </c>
      <c r="H277">
        <v>1</v>
      </c>
      <c r="I277">
        <v>12</v>
      </c>
      <c r="J277" t="s">
        <v>13</v>
      </c>
      <c r="K277" t="s">
        <v>18</v>
      </c>
      <c r="L277">
        <v>12</v>
      </c>
    </row>
    <row r="278" spans="1:12" x14ac:dyDescent="0.3">
      <c r="A278">
        <v>1409</v>
      </c>
      <c r="B278" t="s">
        <v>28</v>
      </c>
      <c r="C278" s="1">
        <v>45891</v>
      </c>
      <c r="D278" s="1" t="str">
        <f>TEXT(FMData[[#This Row],[Show_Date]],"mmm")</f>
        <v>Aug</v>
      </c>
      <c r="E278" s="1" t="str">
        <f>TEXT(FMData[[#This Row],[Show_Date]],"ddd")</f>
        <v>Fri</v>
      </c>
      <c r="F278" t="s">
        <v>11</v>
      </c>
      <c r="G278" t="s">
        <v>17</v>
      </c>
      <c r="H278">
        <v>3</v>
      </c>
      <c r="I278">
        <v>12</v>
      </c>
      <c r="J278" t="s">
        <v>13</v>
      </c>
      <c r="K278" t="s">
        <v>18</v>
      </c>
      <c r="L278">
        <v>36</v>
      </c>
    </row>
    <row r="279" spans="1:12" x14ac:dyDescent="0.3">
      <c r="A279">
        <v>721</v>
      </c>
      <c r="B279" t="s">
        <v>26</v>
      </c>
      <c r="C279" s="1">
        <v>45922</v>
      </c>
      <c r="D279" s="1" t="str">
        <f>TEXT(FMData[[#This Row],[Show_Date]],"mmm")</f>
        <v>Sep</v>
      </c>
      <c r="E279" s="1" t="str">
        <f>TEXT(FMData[[#This Row],[Show_Date]],"ddd")</f>
        <v>Mon</v>
      </c>
      <c r="F279" t="s">
        <v>11</v>
      </c>
      <c r="G279" t="s">
        <v>22</v>
      </c>
      <c r="H279">
        <v>3</v>
      </c>
      <c r="I279">
        <v>20</v>
      </c>
      <c r="J279" t="s">
        <v>21</v>
      </c>
      <c r="K279" t="s">
        <v>14</v>
      </c>
      <c r="L279">
        <v>60</v>
      </c>
    </row>
    <row r="280" spans="1:12" x14ac:dyDescent="0.3">
      <c r="A280">
        <v>400</v>
      </c>
      <c r="B280" t="s">
        <v>24</v>
      </c>
      <c r="C280" s="1">
        <v>45880</v>
      </c>
      <c r="D280" s="1" t="str">
        <f>TEXT(FMData[[#This Row],[Show_Date]],"mmm")</f>
        <v>Aug</v>
      </c>
      <c r="E280" s="1" t="str">
        <f>TEXT(FMData[[#This Row],[Show_Date]],"ddd")</f>
        <v>Mon</v>
      </c>
      <c r="F280" t="s">
        <v>11</v>
      </c>
      <c r="G280" t="s">
        <v>12</v>
      </c>
      <c r="H280">
        <v>2</v>
      </c>
      <c r="I280">
        <v>25</v>
      </c>
      <c r="J280" t="s">
        <v>23</v>
      </c>
      <c r="K280" t="s">
        <v>25</v>
      </c>
      <c r="L280">
        <v>50</v>
      </c>
    </row>
    <row r="281" spans="1:12" x14ac:dyDescent="0.3">
      <c r="A281">
        <v>896</v>
      </c>
      <c r="B281" t="s">
        <v>31</v>
      </c>
      <c r="C281" s="1">
        <v>45890</v>
      </c>
      <c r="D281" s="1" t="str">
        <f>TEXT(FMData[[#This Row],[Show_Date]],"mmm")</f>
        <v>Aug</v>
      </c>
      <c r="E281" s="1" t="str">
        <f>TEXT(FMData[[#This Row],[Show_Date]],"ddd")</f>
        <v>Thu</v>
      </c>
      <c r="F281" t="s">
        <v>11</v>
      </c>
      <c r="G281" t="s">
        <v>22</v>
      </c>
      <c r="H281">
        <v>1</v>
      </c>
      <c r="I281">
        <v>20</v>
      </c>
      <c r="J281" t="s">
        <v>13</v>
      </c>
      <c r="K281" t="s">
        <v>27</v>
      </c>
      <c r="L281">
        <v>20</v>
      </c>
    </row>
    <row r="282" spans="1:12" x14ac:dyDescent="0.3">
      <c r="A282">
        <v>1891</v>
      </c>
      <c r="B282" t="s">
        <v>26</v>
      </c>
      <c r="C282" s="1">
        <v>45860</v>
      </c>
      <c r="D282" s="1" t="str">
        <f>TEXT(FMData[[#This Row],[Show_Date]],"mmm")</f>
        <v>Jul</v>
      </c>
      <c r="E282" s="1" t="str">
        <f>TEXT(FMData[[#This Row],[Show_Date]],"ddd")</f>
        <v>Tue</v>
      </c>
      <c r="F282" t="s">
        <v>11</v>
      </c>
      <c r="G282" t="s">
        <v>30</v>
      </c>
      <c r="H282">
        <v>5</v>
      </c>
      <c r="I282">
        <v>8</v>
      </c>
      <c r="J282" t="s">
        <v>21</v>
      </c>
      <c r="K282" t="s">
        <v>18</v>
      </c>
      <c r="L282">
        <v>40</v>
      </c>
    </row>
    <row r="283" spans="1:12" x14ac:dyDescent="0.3">
      <c r="A283">
        <v>1054</v>
      </c>
      <c r="B283" t="s">
        <v>28</v>
      </c>
      <c r="C283" s="1">
        <v>45839</v>
      </c>
      <c r="D283" s="1" t="str">
        <f>TEXT(FMData[[#This Row],[Show_Date]],"mmm")</f>
        <v>Jul</v>
      </c>
      <c r="E283" s="1" t="str">
        <f>TEXT(FMData[[#This Row],[Show_Date]],"ddd")</f>
        <v>Tue</v>
      </c>
      <c r="F283" t="s">
        <v>11</v>
      </c>
      <c r="G283" t="s">
        <v>17</v>
      </c>
      <c r="H283">
        <v>2</v>
      </c>
      <c r="I283">
        <v>12</v>
      </c>
      <c r="J283" t="s">
        <v>13</v>
      </c>
      <c r="K283" t="s">
        <v>14</v>
      </c>
      <c r="L283">
        <v>24</v>
      </c>
    </row>
    <row r="284" spans="1:12" x14ac:dyDescent="0.3">
      <c r="A284">
        <v>251</v>
      </c>
      <c r="B284" t="s">
        <v>10</v>
      </c>
      <c r="C284" s="1">
        <v>45869</v>
      </c>
      <c r="D284" s="1" t="str">
        <f>TEXT(FMData[[#This Row],[Show_Date]],"mmm")</f>
        <v>Jul</v>
      </c>
      <c r="E284" s="1" t="str">
        <f>TEXT(FMData[[#This Row],[Show_Date]],"ddd")</f>
        <v>Thu</v>
      </c>
      <c r="F284" t="s">
        <v>11</v>
      </c>
      <c r="G284" t="s">
        <v>17</v>
      </c>
      <c r="H284">
        <v>4</v>
      </c>
      <c r="I284">
        <v>12</v>
      </c>
      <c r="J284" t="s">
        <v>23</v>
      </c>
      <c r="K284" t="s">
        <v>14</v>
      </c>
      <c r="L284">
        <v>48</v>
      </c>
    </row>
    <row r="285" spans="1:12" x14ac:dyDescent="0.3">
      <c r="A285">
        <v>1125</v>
      </c>
      <c r="B285" t="s">
        <v>10</v>
      </c>
      <c r="C285" s="1">
        <v>45923</v>
      </c>
      <c r="D285" s="1" t="str">
        <f>TEXT(FMData[[#This Row],[Show_Date]],"mmm")</f>
        <v>Sep</v>
      </c>
      <c r="E285" s="1" t="str">
        <f>TEXT(FMData[[#This Row],[Show_Date]],"ddd")</f>
        <v>Tue</v>
      </c>
      <c r="F285" t="s">
        <v>11</v>
      </c>
      <c r="G285" t="s">
        <v>30</v>
      </c>
      <c r="H285">
        <v>5</v>
      </c>
      <c r="I285">
        <v>8</v>
      </c>
      <c r="J285" t="s">
        <v>13</v>
      </c>
      <c r="K285" t="s">
        <v>25</v>
      </c>
      <c r="L285">
        <v>40</v>
      </c>
    </row>
    <row r="286" spans="1:12" x14ac:dyDescent="0.3">
      <c r="A286">
        <v>1881</v>
      </c>
      <c r="B286" t="s">
        <v>10</v>
      </c>
      <c r="C286" s="1">
        <v>45876</v>
      </c>
      <c r="D286" s="1" t="str">
        <f>TEXT(FMData[[#This Row],[Show_Date]],"mmm")</f>
        <v>Aug</v>
      </c>
      <c r="E286" s="1" t="str">
        <f>TEXT(FMData[[#This Row],[Show_Date]],"ddd")</f>
        <v>Thu</v>
      </c>
      <c r="F286" t="s">
        <v>11</v>
      </c>
      <c r="G286" t="s">
        <v>12</v>
      </c>
      <c r="H286">
        <v>2</v>
      </c>
      <c r="I286">
        <v>25</v>
      </c>
      <c r="J286" t="s">
        <v>21</v>
      </c>
      <c r="K286" t="s">
        <v>27</v>
      </c>
      <c r="L286">
        <v>50</v>
      </c>
    </row>
    <row r="287" spans="1:12" x14ac:dyDescent="0.3">
      <c r="A287">
        <v>1570</v>
      </c>
      <c r="B287" t="s">
        <v>10</v>
      </c>
      <c r="C287" s="1">
        <v>45903</v>
      </c>
      <c r="D287" s="1" t="str">
        <f>TEXT(FMData[[#This Row],[Show_Date]],"mmm")</f>
        <v>Sep</v>
      </c>
      <c r="E287" s="1" t="str">
        <f>TEXT(FMData[[#This Row],[Show_Date]],"ddd")</f>
        <v>Wed</v>
      </c>
      <c r="F287" t="s">
        <v>11</v>
      </c>
      <c r="G287" t="s">
        <v>22</v>
      </c>
      <c r="H287">
        <v>4</v>
      </c>
      <c r="I287">
        <v>20</v>
      </c>
      <c r="J287" t="s">
        <v>21</v>
      </c>
      <c r="K287" t="s">
        <v>18</v>
      </c>
      <c r="L287">
        <v>80</v>
      </c>
    </row>
    <row r="288" spans="1:12" x14ac:dyDescent="0.3">
      <c r="A288">
        <v>908</v>
      </c>
      <c r="B288" t="s">
        <v>32</v>
      </c>
      <c r="C288" s="1">
        <v>45906</v>
      </c>
      <c r="D288" s="1" t="str">
        <f>TEXT(FMData[[#This Row],[Show_Date]],"mmm")</f>
        <v>Sep</v>
      </c>
      <c r="E288" s="1" t="str">
        <f>TEXT(FMData[[#This Row],[Show_Date]],"ddd")</f>
        <v>Sat</v>
      </c>
      <c r="F288" t="s">
        <v>11</v>
      </c>
      <c r="G288" t="s">
        <v>17</v>
      </c>
      <c r="H288">
        <v>3</v>
      </c>
      <c r="I288">
        <v>12</v>
      </c>
      <c r="J288" t="s">
        <v>23</v>
      </c>
      <c r="K288" t="s">
        <v>18</v>
      </c>
      <c r="L288">
        <v>36</v>
      </c>
    </row>
    <row r="289" spans="1:12" x14ac:dyDescent="0.3">
      <c r="A289">
        <v>1516</v>
      </c>
      <c r="B289" t="s">
        <v>10</v>
      </c>
      <c r="C289" s="1">
        <v>45849</v>
      </c>
      <c r="D289" s="1" t="str">
        <f>TEXT(FMData[[#This Row],[Show_Date]],"mmm")</f>
        <v>Jul</v>
      </c>
      <c r="E289" s="1" t="str">
        <f>TEXT(FMData[[#This Row],[Show_Date]],"ddd")</f>
        <v>Fri</v>
      </c>
      <c r="F289" t="s">
        <v>11</v>
      </c>
      <c r="G289" t="s">
        <v>29</v>
      </c>
      <c r="H289">
        <v>3</v>
      </c>
      <c r="I289">
        <v>30</v>
      </c>
      <c r="J289" t="s">
        <v>13</v>
      </c>
      <c r="K289" t="s">
        <v>14</v>
      </c>
      <c r="L289">
        <v>90</v>
      </c>
    </row>
    <row r="290" spans="1:12" x14ac:dyDescent="0.3">
      <c r="A290">
        <v>277</v>
      </c>
      <c r="B290" t="s">
        <v>24</v>
      </c>
      <c r="C290" s="1">
        <v>45889</v>
      </c>
      <c r="D290" s="1" t="str">
        <f>TEXT(FMData[[#This Row],[Show_Date]],"mmm")</f>
        <v>Aug</v>
      </c>
      <c r="E290" s="1" t="str">
        <f>TEXT(FMData[[#This Row],[Show_Date]],"ddd")</f>
        <v>Wed</v>
      </c>
      <c r="F290" t="s">
        <v>11</v>
      </c>
      <c r="G290" t="s">
        <v>30</v>
      </c>
      <c r="H290">
        <v>2</v>
      </c>
      <c r="I290">
        <v>8</v>
      </c>
      <c r="J290" t="s">
        <v>23</v>
      </c>
      <c r="K290" t="s">
        <v>18</v>
      </c>
      <c r="L290">
        <v>16</v>
      </c>
    </row>
    <row r="291" spans="1:12" x14ac:dyDescent="0.3">
      <c r="A291">
        <v>1355</v>
      </c>
      <c r="B291" t="s">
        <v>26</v>
      </c>
      <c r="C291" s="1">
        <v>45927</v>
      </c>
      <c r="D291" s="1" t="str">
        <f>TEXT(FMData[[#This Row],[Show_Date]],"mmm")</f>
        <v>Sep</v>
      </c>
      <c r="E291" s="1" t="str">
        <f>TEXT(FMData[[#This Row],[Show_Date]],"ddd")</f>
        <v>Sat</v>
      </c>
      <c r="F291" t="s">
        <v>11</v>
      </c>
      <c r="G291" t="s">
        <v>17</v>
      </c>
      <c r="H291">
        <v>2</v>
      </c>
      <c r="I291">
        <v>12</v>
      </c>
      <c r="J291" t="s">
        <v>23</v>
      </c>
      <c r="K291" t="s">
        <v>14</v>
      </c>
      <c r="L291">
        <v>24</v>
      </c>
    </row>
    <row r="292" spans="1:12" x14ac:dyDescent="0.3">
      <c r="A292">
        <v>124</v>
      </c>
      <c r="B292" t="s">
        <v>28</v>
      </c>
      <c r="C292" s="1">
        <v>45849</v>
      </c>
      <c r="D292" s="1" t="str">
        <f>TEXT(FMData[[#This Row],[Show_Date]],"mmm")</f>
        <v>Jul</v>
      </c>
      <c r="E292" s="1" t="str">
        <f>TEXT(FMData[[#This Row],[Show_Date]],"ddd")</f>
        <v>Fri</v>
      </c>
      <c r="F292" t="s">
        <v>11</v>
      </c>
      <c r="G292" t="s">
        <v>17</v>
      </c>
      <c r="H292">
        <v>2</v>
      </c>
      <c r="I292">
        <v>12</v>
      </c>
      <c r="J292" t="s">
        <v>21</v>
      </c>
      <c r="K292" t="s">
        <v>14</v>
      </c>
      <c r="L292">
        <v>24</v>
      </c>
    </row>
    <row r="293" spans="1:12" x14ac:dyDescent="0.3">
      <c r="A293">
        <v>1728</v>
      </c>
      <c r="B293" t="s">
        <v>24</v>
      </c>
      <c r="C293" s="1">
        <v>45840</v>
      </c>
      <c r="D293" s="1" t="str">
        <f>TEXT(FMData[[#This Row],[Show_Date]],"mmm")</f>
        <v>Jul</v>
      </c>
      <c r="E293" s="1" t="str">
        <f>TEXT(FMData[[#This Row],[Show_Date]],"ddd")</f>
        <v>Wed</v>
      </c>
      <c r="F293" t="s">
        <v>11</v>
      </c>
      <c r="G293" t="s">
        <v>17</v>
      </c>
      <c r="H293">
        <v>3</v>
      </c>
      <c r="I293">
        <v>12</v>
      </c>
      <c r="J293" t="s">
        <v>13</v>
      </c>
      <c r="K293" t="s">
        <v>25</v>
      </c>
      <c r="L293">
        <v>36</v>
      </c>
    </row>
    <row r="294" spans="1:12" x14ac:dyDescent="0.3">
      <c r="A294">
        <v>1696</v>
      </c>
      <c r="B294" t="s">
        <v>19</v>
      </c>
      <c r="C294" s="1">
        <v>45914</v>
      </c>
      <c r="D294" s="1" t="str">
        <f>TEXT(FMData[[#This Row],[Show_Date]],"mmm")</f>
        <v>Sep</v>
      </c>
      <c r="E294" s="1" t="str">
        <f>TEXT(FMData[[#This Row],[Show_Date]],"ddd")</f>
        <v>Sun</v>
      </c>
      <c r="F294" t="s">
        <v>11</v>
      </c>
      <c r="G294" t="s">
        <v>17</v>
      </c>
      <c r="H294">
        <v>5</v>
      </c>
      <c r="I294">
        <v>12</v>
      </c>
      <c r="J294" t="s">
        <v>23</v>
      </c>
      <c r="K294" t="s">
        <v>27</v>
      </c>
      <c r="L294">
        <v>60</v>
      </c>
    </row>
    <row r="295" spans="1:12" x14ac:dyDescent="0.3">
      <c r="A295">
        <v>1086</v>
      </c>
      <c r="B295" t="s">
        <v>24</v>
      </c>
      <c r="C295" s="1">
        <v>45927</v>
      </c>
      <c r="D295" s="1" t="str">
        <f>TEXT(FMData[[#This Row],[Show_Date]],"mmm")</f>
        <v>Sep</v>
      </c>
      <c r="E295" s="1" t="str">
        <f>TEXT(FMData[[#This Row],[Show_Date]],"ddd")</f>
        <v>Sat</v>
      </c>
      <c r="F295" t="s">
        <v>11</v>
      </c>
      <c r="G295" t="s">
        <v>30</v>
      </c>
      <c r="H295">
        <v>1</v>
      </c>
      <c r="I295">
        <v>8</v>
      </c>
      <c r="J295" t="s">
        <v>13</v>
      </c>
      <c r="K295" t="s">
        <v>14</v>
      </c>
      <c r="L295">
        <v>8</v>
      </c>
    </row>
    <row r="296" spans="1:12" x14ac:dyDescent="0.3">
      <c r="A296">
        <v>1065</v>
      </c>
      <c r="B296" t="s">
        <v>10</v>
      </c>
      <c r="C296" s="1">
        <v>45893</v>
      </c>
      <c r="D296" s="1" t="str">
        <f>TEXT(FMData[[#This Row],[Show_Date]],"mmm")</f>
        <v>Aug</v>
      </c>
      <c r="E296" s="1" t="str">
        <f>TEXT(FMData[[#This Row],[Show_Date]],"ddd")</f>
        <v>Sun</v>
      </c>
      <c r="F296" t="s">
        <v>11</v>
      </c>
      <c r="G296" t="s">
        <v>12</v>
      </c>
      <c r="H296">
        <v>3</v>
      </c>
      <c r="I296">
        <v>25</v>
      </c>
      <c r="J296" t="s">
        <v>21</v>
      </c>
      <c r="K296" t="s">
        <v>14</v>
      </c>
      <c r="L296">
        <v>75</v>
      </c>
    </row>
    <row r="297" spans="1:12" x14ac:dyDescent="0.3">
      <c r="A297">
        <v>1199</v>
      </c>
      <c r="B297" t="s">
        <v>32</v>
      </c>
      <c r="C297" s="1">
        <v>45892</v>
      </c>
      <c r="D297" s="1" t="str">
        <f>TEXT(FMData[[#This Row],[Show_Date]],"mmm")</f>
        <v>Aug</v>
      </c>
      <c r="E297" s="1" t="str">
        <f>TEXT(FMData[[#This Row],[Show_Date]],"ddd")</f>
        <v>Sat</v>
      </c>
      <c r="F297" t="s">
        <v>11</v>
      </c>
      <c r="G297" t="s">
        <v>17</v>
      </c>
      <c r="H297">
        <v>4</v>
      </c>
      <c r="I297">
        <v>12</v>
      </c>
      <c r="J297" t="s">
        <v>21</v>
      </c>
      <c r="K297" t="s">
        <v>18</v>
      </c>
      <c r="L297">
        <v>48</v>
      </c>
    </row>
    <row r="298" spans="1:12" x14ac:dyDescent="0.3">
      <c r="A298">
        <v>118</v>
      </c>
      <c r="B298" t="s">
        <v>10</v>
      </c>
      <c r="C298" s="1">
        <v>45905</v>
      </c>
      <c r="D298" s="1" t="str">
        <f>TEXT(FMData[[#This Row],[Show_Date]],"mmm")</f>
        <v>Sep</v>
      </c>
      <c r="E298" s="1" t="str">
        <f>TEXT(FMData[[#This Row],[Show_Date]],"ddd")</f>
        <v>Fri</v>
      </c>
      <c r="F298" t="s">
        <v>11</v>
      </c>
      <c r="G298" t="s">
        <v>12</v>
      </c>
      <c r="H298">
        <v>3</v>
      </c>
      <c r="I298">
        <v>25</v>
      </c>
      <c r="J298" t="s">
        <v>23</v>
      </c>
      <c r="K298" t="s">
        <v>25</v>
      </c>
      <c r="L298">
        <v>75</v>
      </c>
    </row>
    <row r="299" spans="1:12" x14ac:dyDescent="0.3">
      <c r="A299">
        <v>988</v>
      </c>
      <c r="B299" t="s">
        <v>31</v>
      </c>
      <c r="C299" s="1">
        <v>45892</v>
      </c>
      <c r="D299" s="1" t="str">
        <f>TEXT(FMData[[#This Row],[Show_Date]],"mmm")</f>
        <v>Aug</v>
      </c>
      <c r="E299" s="1" t="str">
        <f>TEXT(FMData[[#This Row],[Show_Date]],"ddd")</f>
        <v>Sat</v>
      </c>
      <c r="F299" t="s">
        <v>11</v>
      </c>
      <c r="G299" t="s">
        <v>12</v>
      </c>
      <c r="H299">
        <v>3</v>
      </c>
      <c r="I299">
        <v>25</v>
      </c>
      <c r="J299" t="s">
        <v>13</v>
      </c>
      <c r="K299" t="s">
        <v>14</v>
      </c>
      <c r="L299">
        <v>75</v>
      </c>
    </row>
    <row r="300" spans="1:12" x14ac:dyDescent="0.3">
      <c r="A300">
        <v>1797</v>
      </c>
      <c r="B300" t="s">
        <v>28</v>
      </c>
      <c r="C300" s="1">
        <v>45879</v>
      </c>
      <c r="D300" s="1" t="str">
        <f>TEXT(FMData[[#This Row],[Show_Date]],"mmm")</f>
        <v>Aug</v>
      </c>
      <c r="E300" s="1" t="str">
        <f>TEXT(FMData[[#This Row],[Show_Date]],"ddd")</f>
        <v>Sun</v>
      </c>
      <c r="F300" t="s">
        <v>11</v>
      </c>
      <c r="G300" t="s">
        <v>12</v>
      </c>
      <c r="H300">
        <v>2</v>
      </c>
      <c r="I300">
        <v>25</v>
      </c>
      <c r="J300" t="s">
        <v>23</v>
      </c>
      <c r="K300" t="s">
        <v>25</v>
      </c>
      <c r="L300">
        <v>50</v>
      </c>
    </row>
    <row r="301" spans="1:12" x14ac:dyDescent="0.3">
      <c r="A301">
        <v>428</v>
      </c>
      <c r="B301" t="s">
        <v>31</v>
      </c>
      <c r="C301" s="1">
        <v>45898</v>
      </c>
      <c r="D301" s="1" t="str">
        <f>TEXT(FMData[[#This Row],[Show_Date]],"mmm")</f>
        <v>Aug</v>
      </c>
      <c r="E301" s="1" t="str">
        <f>TEXT(FMData[[#This Row],[Show_Date]],"ddd")</f>
        <v>Fri</v>
      </c>
      <c r="F301" t="s">
        <v>11</v>
      </c>
      <c r="G301" t="s">
        <v>29</v>
      </c>
      <c r="H301">
        <v>3</v>
      </c>
      <c r="I301">
        <v>30</v>
      </c>
      <c r="J301" t="s">
        <v>13</v>
      </c>
      <c r="K301" t="s">
        <v>27</v>
      </c>
      <c r="L301">
        <v>90</v>
      </c>
    </row>
    <row r="302" spans="1:12" x14ac:dyDescent="0.3">
      <c r="A302">
        <v>956</v>
      </c>
      <c r="B302" t="s">
        <v>32</v>
      </c>
      <c r="C302" s="1">
        <v>45844</v>
      </c>
      <c r="D302" s="1" t="str">
        <f>TEXT(FMData[[#This Row],[Show_Date]],"mmm")</f>
        <v>Jul</v>
      </c>
      <c r="E302" s="1" t="str">
        <f>TEXT(FMData[[#This Row],[Show_Date]],"ddd")</f>
        <v>Sun</v>
      </c>
      <c r="F302" t="s">
        <v>11</v>
      </c>
      <c r="G302" t="s">
        <v>30</v>
      </c>
      <c r="H302">
        <v>5</v>
      </c>
      <c r="I302">
        <v>8</v>
      </c>
      <c r="J302" t="s">
        <v>13</v>
      </c>
      <c r="K302" t="s">
        <v>25</v>
      </c>
      <c r="L302">
        <v>40</v>
      </c>
    </row>
    <row r="303" spans="1:12" x14ac:dyDescent="0.3">
      <c r="A303">
        <v>1035</v>
      </c>
      <c r="B303" t="s">
        <v>24</v>
      </c>
      <c r="C303" s="1">
        <v>45843</v>
      </c>
      <c r="D303" s="1" t="str">
        <f>TEXT(FMData[[#This Row],[Show_Date]],"mmm")</f>
        <v>Jul</v>
      </c>
      <c r="E303" s="1" t="str">
        <f>TEXT(FMData[[#This Row],[Show_Date]],"ddd")</f>
        <v>Sat</v>
      </c>
      <c r="F303" t="s">
        <v>11</v>
      </c>
      <c r="G303" t="s">
        <v>17</v>
      </c>
      <c r="H303">
        <v>5</v>
      </c>
      <c r="I303">
        <v>12</v>
      </c>
      <c r="J303" t="s">
        <v>23</v>
      </c>
      <c r="K303" t="s">
        <v>27</v>
      </c>
      <c r="L303">
        <v>60</v>
      </c>
    </row>
    <row r="304" spans="1:12" x14ac:dyDescent="0.3">
      <c r="A304">
        <v>606</v>
      </c>
      <c r="B304" t="s">
        <v>32</v>
      </c>
      <c r="C304" s="1">
        <v>45928</v>
      </c>
      <c r="D304" s="1" t="str">
        <f>TEXT(FMData[[#This Row],[Show_Date]],"mmm")</f>
        <v>Sep</v>
      </c>
      <c r="E304" s="1" t="str">
        <f>TEXT(FMData[[#This Row],[Show_Date]],"ddd")</f>
        <v>Sun</v>
      </c>
      <c r="F304" t="s">
        <v>11</v>
      </c>
      <c r="G304" t="s">
        <v>12</v>
      </c>
      <c r="H304">
        <v>5</v>
      </c>
      <c r="I304">
        <v>25</v>
      </c>
      <c r="J304" t="s">
        <v>21</v>
      </c>
      <c r="K304" t="s">
        <v>25</v>
      </c>
      <c r="L304">
        <v>125</v>
      </c>
    </row>
    <row r="305" spans="1:12" x14ac:dyDescent="0.3">
      <c r="A305">
        <v>1931</v>
      </c>
      <c r="B305" t="s">
        <v>19</v>
      </c>
      <c r="C305" s="1">
        <v>45906</v>
      </c>
      <c r="D305" s="1" t="str">
        <f>TEXT(FMData[[#This Row],[Show_Date]],"mmm")</f>
        <v>Sep</v>
      </c>
      <c r="E305" s="1" t="str">
        <f>TEXT(FMData[[#This Row],[Show_Date]],"ddd")</f>
        <v>Sat</v>
      </c>
      <c r="F305" t="s">
        <v>11</v>
      </c>
      <c r="G305" t="s">
        <v>29</v>
      </c>
      <c r="H305">
        <v>5</v>
      </c>
      <c r="I305">
        <v>30</v>
      </c>
      <c r="J305" t="s">
        <v>21</v>
      </c>
      <c r="K305" t="s">
        <v>27</v>
      </c>
      <c r="L305">
        <v>150</v>
      </c>
    </row>
    <row r="306" spans="1:12" x14ac:dyDescent="0.3">
      <c r="A306">
        <v>1477</v>
      </c>
      <c r="B306" t="s">
        <v>28</v>
      </c>
      <c r="C306" s="1">
        <v>45927</v>
      </c>
      <c r="D306" s="1" t="str">
        <f>TEXT(FMData[[#This Row],[Show_Date]],"mmm")</f>
        <v>Sep</v>
      </c>
      <c r="E306" s="1" t="str">
        <f>TEXT(FMData[[#This Row],[Show_Date]],"ddd")</f>
        <v>Sat</v>
      </c>
      <c r="F306" t="s">
        <v>11</v>
      </c>
      <c r="G306" t="s">
        <v>29</v>
      </c>
      <c r="H306">
        <v>4</v>
      </c>
      <c r="I306">
        <v>30</v>
      </c>
      <c r="J306" t="s">
        <v>21</v>
      </c>
      <c r="K306" t="s">
        <v>14</v>
      </c>
      <c r="L306">
        <v>120</v>
      </c>
    </row>
    <row r="307" spans="1:12" x14ac:dyDescent="0.3">
      <c r="A307">
        <v>1338</v>
      </c>
      <c r="B307" t="s">
        <v>10</v>
      </c>
      <c r="C307" s="1">
        <v>45844</v>
      </c>
      <c r="D307" s="1" t="str">
        <f>TEXT(FMData[[#This Row],[Show_Date]],"mmm")</f>
        <v>Jul</v>
      </c>
      <c r="E307" s="1" t="str">
        <f>TEXT(FMData[[#This Row],[Show_Date]],"ddd")</f>
        <v>Sun</v>
      </c>
      <c r="F307" t="s">
        <v>11</v>
      </c>
      <c r="G307" t="s">
        <v>30</v>
      </c>
      <c r="H307">
        <v>3</v>
      </c>
      <c r="I307">
        <v>8</v>
      </c>
      <c r="J307" t="s">
        <v>13</v>
      </c>
      <c r="K307" t="s">
        <v>27</v>
      </c>
      <c r="L307">
        <v>24</v>
      </c>
    </row>
    <row r="308" spans="1:12" x14ac:dyDescent="0.3">
      <c r="A308">
        <v>152</v>
      </c>
      <c r="B308" t="s">
        <v>32</v>
      </c>
      <c r="C308" s="1">
        <v>45927</v>
      </c>
      <c r="D308" s="1" t="str">
        <f>TEXT(FMData[[#This Row],[Show_Date]],"mmm")</f>
        <v>Sep</v>
      </c>
      <c r="E308" s="1" t="str">
        <f>TEXT(FMData[[#This Row],[Show_Date]],"ddd")</f>
        <v>Sat</v>
      </c>
      <c r="F308" t="s">
        <v>11</v>
      </c>
      <c r="G308" t="s">
        <v>17</v>
      </c>
      <c r="H308">
        <v>5</v>
      </c>
      <c r="I308">
        <v>12</v>
      </c>
      <c r="J308" t="s">
        <v>13</v>
      </c>
      <c r="K308" t="s">
        <v>27</v>
      </c>
      <c r="L308">
        <v>60</v>
      </c>
    </row>
    <row r="309" spans="1:12" x14ac:dyDescent="0.3">
      <c r="A309">
        <v>1833</v>
      </c>
      <c r="B309" t="s">
        <v>31</v>
      </c>
      <c r="C309" s="1">
        <v>45849</v>
      </c>
      <c r="D309" s="1" t="str">
        <f>TEXT(FMData[[#This Row],[Show_Date]],"mmm")</f>
        <v>Jul</v>
      </c>
      <c r="E309" s="1" t="str">
        <f>TEXT(FMData[[#This Row],[Show_Date]],"ddd")</f>
        <v>Fri</v>
      </c>
      <c r="F309" t="s">
        <v>11</v>
      </c>
      <c r="G309" t="s">
        <v>22</v>
      </c>
      <c r="H309">
        <v>4</v>
      </c>
      <c r="I309">
        <v>20</v>
      </c>
      <c r="J309" t="s">
        <v>21</v>
      </c>
      <c r="K309" t="s">
        <v>18</v>
      </c>
      <c r="L309">
        <v>80</v>
      </c>
    </row>
    <row r="310" spans="1:12" x14ac:dyDescent="0.3">
      <c r="A310">
        <v>209</v>
      </c>
      <c r="B310" t="s">
        <v>10</v>
      </c>
      <c r="C310" s="1">
        <v>45915</v>
      </c>
      <c r="D310" s="1" t="str">
        <f>TEXT(FMData[[#This Row],[Show_Date]],"mmm")</f>
        <v>Sep</v>
      </c>
      <c r="E310" s="1" t="str">
        <f>TEXT(FMData[[#This Row],[Show_Date]],"ddd")</f>
        <v>Mon</v>
      </c>
      <c r="F310" t="s">
        <v>11</v>
      </c>
      <c r="G310" t="s">
        <v>17</v>
      </c>
      <c r="H310">
        <v>3</v>
      </c>
      <c r="I310">
        <v>12</v>
      </c>
      <c r="J310" t="s">
        <v>23</v>
      </c>
      <c r="K310" t="s">
        <v>14</v>
      </c>
      <c r="L310">
        <v>36</v>
      </c>
    </row>
    <row r="311" spans="1:12" x14ac:dyDescent="0.3">
      <c r="A311">
        <v>290</v>
      </c>
      <c r="B311" t="s">
        <v>19</v>
      </c>
      <c r="C311" s="1">
        <v>45900</v>
      </c>
      <c r="D311" s="1" t="str">
        <f>TEXT(FMData[[#This Row],[Show_Date]],"mmm")</f>
        <v>Aug</v>
      </c>
      <c r="E311" s="1" t="str">
        <f>TEXT(FMData[[#This Row],[Show_Date]],"ddd")</f>
        <v>Sun</v>
      </c>
      <c r="F311" t="s">
        <v>11</v>
      </c>
      <c r="G311" t="s">
        <v>17</v>
      </c>
      <c r="H311">
        <v>4</v>
      </c>
      <c r="I311">
        <v>12</v>
      </c>
      <c r="J311" t="s">
        <v>21</v>
      </c>
      <c r="K311" t="s">
        <v>27</v>
      </c>
      <c r="L311">
        <v>48</v>
      </c>
    </row>
    <row r="312" spans="1:12" x14ac:dyDescent="0.3">
      <c r="A312">
        <v>340</v>
      </c>
      <c r="B312" t="s">
        <v>31</v>
      </c>
      <c r="C312" s="1">
        <v>45851</v>
      </c>
      <c r="D312" s="1" t="str">
        <f>TEXT(FMData[[#This Row],[Show_Date]],"mmm")</f>
        <v>Jul</v>
      </c>
      <c r="E312" s="1" t="str">
        <f>TEXT(FMData[[#This Row],[Show_Date]],"ddd")</f>
        <v>Sun</v>
      </c>
      <c r="F312" t="s">
        <v>11</v>
      </c>
      <c r="G312" t="s">
        <v>17</v>
      </c>
      <c r="H312">
        <v>1</v>
      </c>
      <c r="I312">
        <v>12</v>
      </c>
      <c r="J312" t="s">
        <v>13</v>
      </c>
      <c r="K312" t="s">
        <v>14</v>
      </c>
      <c r="L312">
        <v>12</v>
      </c>
    </row>
    <row r="313" spans="1:12" x14ac:dyDescent="0.3">
      <c r="A313">
        <v>1719</v>
      </c>
      <c r="B313" t="s">
        <v>26</v>
      </c>
      <c r="C313" s="1">
        <v>45892</v>
      </c>
      <c r="D313" s="1" t="str">
        <f>TEXT(FMData[[#This Row],[Show_Date]],"mmm")</f>
        <v>Aug</v>
      </c>
      <c r="E313" s="1" t="str">
        <f>TEXT(FMData[[#This Row],[Show_Date]],"ddd")</f>
        <v>Sat</v>
      </c>
      <c r="F313" t="s">
        <v>11</v>
      </c>
      <c r="G313" t="s">
        <v>17</v>
      </c>
      <c r="H313">
        <v>3</v>
      </c>
      <c r="I313">
        <v>12</v>
      </c>
      <c r="J313" t="s">
        <v>23</v>
      </c>
      <c r="K313" t="s">
        <v>25</v>
      </c>
      <c r="L313">
        <v>36</v>
      </c>
    </row>
    <row r="314" spans="1:12" x14ac:dyDescent="0.3">
      <c r="A314">
        <v>799</v>
      </c>
      <c r="B314" t="s">
        <v>24</v>
      </c>
      <c r="C314" s="1">
        <v>45900</v>
      </c>
      <c r="D314" s="1" t="str">
        <f>TEXT(FMData[[#This Row],[Show_Date]],"mmm")</f>
        <v>Aug</v>
      </c>
      <c r="E314" s="1" t="str">
        <f>TEXT(FMData[[#This Row],[Show_Date]],"ddd")</f>
        <v>Sun</v>
      </c>
      <c r="F314" t="s">
        <v>11</v>
      </c>
      <c r="G314" t="s">
        <v>29</v>
      </c>
      <c r="H314">
        <v>3</v>
      </c>
      <c r="I314">
        <v>30</v>
      </c>
      <c r="J314" t="s">
        <v>13</v>
      </c>
      <c r="K314" t="s">
        <v>27</v>
      </c>
      <c r="L314">
        <v>90</v>
      </c>
    </row>
    <row r="315" spans="1:12" x14ac:dyDescent="0.3">
      <c r="A315">
        <v>825</v>
      </c>
      <c r="B315" t="s">
        <v>19</v>
      </c>
      <c r="C315" s="1">
        <v>45900</v>
      </c>
      <c r="D315" s="1" t="str">
        <f>TEXT(FMData[[#This Row],[Show_Date]],"mmm")</f>
        <v>Aug</v>
      </c>
      <c r="E315" s="1" t="str">
        <f>TEXT(FMData[[#This Row],[Show_Date]],"ddd")</f>
        <v>Sun</v>
      </c>
      <c r="F315" t="s">
        <v>11</v>
      </c>
      <c r="G315" t="s">
        <v>17</v>
      </c>
      <c r="H315">
        <v>5</v>
      </c>
      <c r="I315">
        <v>12</v>
      </c>
      <c r="J315" t="s">
        <v>13</v>
      </c>
      <c r="K315" t="s">
        <v>18</v>
      </c>
      <c r="L315">
        <v>60</v>
      </c>
    </row>
    <row r="316" spans="1:12" x14ac:dyDescent="0.3">
      <c r="A316">
        <v>1188</v>
      </c>
      <c r="B316" t="s">
        <v>24</v>
      </c>
      <c r="C316" s="1">
        <v>45912</v>
      </c>
      <c r="D316" s="1" t="str">
        <f>TEXT(FMData[[#This Row],[Show_Date]],"mmm")</f>
        <v>Sep</v>
      </c>
      <c r="E316" s="1" t="str">
        <f>TEXT(FMData[[#This Row],[Show_Date]],"ddd")</f>
        <v>Fri</v>
      </c>
      <c r="F316" t="s">
        <v>11</v>
      </c>
      <c r="G316" t="s">
        <v>17</v>
      </c>
      <c r="H316">
        <v>5</v>
      </c>
      <c r="I316">
        <v>12</v>
      </c>
      <c r="J316" t="s">
        <v>21</v>
      </c>
      <c r="K316" t="s">
        <v>27</v>
      </c>
      <c r="L316">
        <v>60</v>
      </c>
    </row>
    <row r="317" spans="1:12" x14ac:dyDescent="0.3">
      <c r="A317">
        <v>690</v>
      </c>
      <c r="B317" t="s">
        <v>26</v>
      </c>
      <c r="C317" s="1">
        <v>45908</v>
      </c>
      <c r="D317" s="1" t="str">
        <f>TEXT(FMData[[#This Row],[Show_Date]],"mmm")</f>
        <v>Sep</v>
      </c>
      <c r="E317" s="1" t="str">
        <f>TEXT(FMData[[#This Row],[Show_Date]],"ddd")</f>
        <v>Mon</v>
      </c>
      <c r="F317" t="s">
        <v>11</v>
      </c>
      <c r="G317" t="s">
        <v>17</v>
      </c>
      <c r="H317">
        <v>4</v>
      </c>
      <c r="I317">
        <v>12</v>
      </c>
      <c r="J317" t="s">
        <v>13</v>
      </c>
      <c r="K317" t="s">
        <v>14</v>
      </c>
      <c r="L317">
        <v>48</v>
      </c>
    </row>
    <row r="318" spans="1:12" x14ac:dyDescent="0.3">
      <c r="A318">
        <v>1953</v>
      </c>
      <c r="B318" t="s">
        <v>32</v>
      </c>
      <c r="C318" s="1">
        <v>45877</v>
      </c>
      <c r="D318" s="1" t="str">
        <f>TEXT(FMData[[#This Row],[Show_Date]],"mmm")</f>
        <v>Aug</v>
      </c>
      <c r="E318" s="1" t="str">
        <f>TEXT(FMData[[#This Row],[Show_Date]],"ddd")</f>
        <v>Fri</v>
      </c>
      <c r="F318" t="s">
        <v>11</v>
      </c>
      <c r="G318" t="s">
        <v>29</v>
      </c>
      <c r="H318">
        <v>3</v>
      </c>
      <c r="I318">
        <v>30</v>
      </c>
      <c r="J318" t="s">
        <v>13</v>
      </c>
      <c r="K318" t="s">
        <v>18</v>
      </c>
      <c r="L318">
        <v>90</v>
      </c>
    </row>
    <row r="319" spans="1:12" x14ac:dyDescent="0.3">
      <c r="A319">
        <v>192</v>
      </c>
      <c r="B319" t="s">
        <v>32</v>
      </c>
      <c r="C319" s="1">
        <v>45864</v>
      </c>
      <c r="D319" s="1" t="str">
        <f>TEXT(FMData[[#This Row],[Show_Date]],"mmm")</f>
        <v>Jul</v>
      </c>
      <c r="E319" s="1" t="str">
        <f>TEXT(FMData[[#This Row],[Show_Date]],"ddd")</f>
        <v>Sat</v>
      </c>
      <c r="F319" t="s">
        <v>11</v>
      </c>
      <c r="G319" t="s">
        <v>29</v>
      </c>
      <c r="H319">
        <v>5</v>
      </c>
      <c r="I319">
        <v>30</v>
      </c>
      <c r="J319" t="s">
        <v>23</v>
      </c>
      <c r="K319" t="s">
        <v>25</v>
      </c>
      <c r="L319">
        <v>150</v>
      </c>
    </row>
    <row r="320" spans="1:12" x14ac:dyDescent="0.3">
      <c r="A320">
        <v>53</v>
      </c>
      <c r="B320" t="s">
        <v>32</v>
      </c>
      <c r="C320" s="1">
        <v>45899</v>
      </c>
      <c r="D320" s="1" t="str">
        <f>TEXT(FMData[[#This Row],[Show_Date]],"mmm")</f>
        <v>Aug</v>
      </c>
      <c r="E320" s="1" t="str">
        <f>TEXT(FMData[[#This Row],[Show_Date]],"ddd")</f>
        <v>Sat</v>
      </c>
      <c r="F320" t="s">
        <v>11</v>
      </c>
      <c r="G320" t="s">
        <v>17</v>
      </c>
      <c r="H320">
        <v>5</v>
      </c>
      <c r="I320">
        <v>12</v>
      </c>
      <c r="J320" t="s">
        <v>21</v>
      </c>
      <c r="K320" t="s">
        <v>25</v>
      </c>
      <c r="L320">
        <v>60</v>
      </c>
    </row>
    <row r="321" spans="1:12" x14ac:dyDescent="0.3">
      <c r="A321">
        <v>295</v>
      </c>
      <c r="B321" t="s">
        <v>26</v>
      </c>
      <c r="C321" s="1">
        <v>45907</v>
      </c>
      <c r="D321" s="1" t="str">
        <f>TEXT(FMData[[#This Row],[Show_Date]],"mmm")</f>
        <v>Sep</v>
      </c>
      <c r="E321" s="1" t="str">
        <f>TEXT(FMData[[#This Row],[Show_Date]],"ddd")</f>
        <v>Sun</v>
      </c>
      <c r="F321" t="s">
        <v>11</v>
      </c>
      <c r="G321" t="s">
        <v>17</v>
      </c>
      <c r="H321">
        <v>3</v>
      </c>
      <c r="I321">
        <v>12</v>
      </c>
      <c r="J321" t="s">
        <v>21</v>
      </c>
      <c r="K321" t="s">
        <v>25</v>
      </c>
      <c r="L321">
        <v>36</v>
      </c>
    </row>
    <row r="322" spans="1:12" x14ac:dyDescent="0.3">
      <c r="A322">
        <v>1267</v>
      </c>
      <c r="B322" t="s">
        <v>28</v>
      </c>
      <c r="C322" s="1">
        <v>45876</v>
      </c>
      <c r="D322" s="1" t="str">
        <f>TEXT(FMData[[#This Row],[Show_Date]],"mmm")</f>
        <v>Aug</v>
      </c>
      <c r="E322" s="1" t="str">
        <f>TEXT(FMData[[#This Row],[Show_Date]],"ddd")</f>
        <v>Thu</v>
      </c>
      <c r="F322" t="s">
        <v>11</v>
      </c>
      <c r="G322" t="s">
        <v>17</v>
      </c>
      <c r="H322">
        <v>1</v>
      </c>
      <c r="I322">
        <v>12</v>
      </c>
      <c r="J322" t="s">
        <v>21</v>
      </c>
      <c r="K322" t="s">
        <v>14</v>
      </c>
      <c r="L322">
        <v>12</v>
      </c>
    </row>
    <row r="323" spans="1:12" x14ac:dyDescent="0.3">
      <c r="A323">
        <v>377</v>
      </c>
      <c r="B323" t="s">
        <v>31</v>
      </c>
      <c r="C323" s="1">
        <v>45899</v>
      </c>
      <c r="D323" s="1" t="str">
        <f>TEXT(FMData[[#This Row],[Show_Date]],"mmm")</f>
        <v>Aug</v>
      </c>
      <c r="E323" s="1" t="str">
        <f>TEXT(FMData[[#This Row],[Show_Date]],"ddd")</f>
        <v>Sat</v>
      </c>
      <c r="F323" t="s">
        <v>11</v>
      </c>
      <c r="G323" t="s">
        <v>17</v>
      </c>
      <c r="H323">
        <v>2</v>
      </c>
      <c r="I323">
        <v>12</v>
      </c>
      <c r="J323" t="s">
        <v>13</v>
      </c>
      <c r="K323" t="s">
        <v>25</v>
      </c>
      <c r="L323">
        <v>24</v>
      </c>
    </row>
    <row r="324" spans="1:12" x14ac:dyDescent="0.3">
      <c r="A324">
        <v>588</v>
      </c>
      <c r="B324" t="s">
        <v>32</v>
      </c>
      <c r="C324" s="1">
        <v>45927</v>
      </c>
      <c r="D324" s="1" t="str">
        <f>TEXT(FMData[[#This Row],[Show_Date]],"mmm")</f>
        <v>Sep</v>
      </c>
      <c r="E324" s="1" t="str">
        <f>TEXT(FMData[[#This Row],[Show_Date]],"ddd")</f>
        <v>Sat</v>
      </c>
      <c r="F324" t="s">
        <v>11</v>
      </c>
      <c r="G324" t="s">
        <v>30</v>
      </c>
      <c r="H324">
        <v>5</v>
      </c>
      <c r="I324">
        <v>8</v>
      </c>
      <c r="J324" t="s">
        <v>21</v>
      </c>
      <c r="K324" t="s">
        <v>18</v>
      </c>
      <c r="L324">
        <v>40</v>
      </c>
    </row>
    <row r="325" spans="1:12" x14ac:dyDescent="0.3">
      <c r="A325">
        <v>1907</v>
      </c>
      <c r="B325" t="s">
        <v>15</v>
      </c>
      <c r="C325" s="1">
        <v>45914</v>
      </c>
      <c r="D325" s="1" t="str">
        <f>TEXT(FMData[[#This Row],[Show_Date]],"mmm")</f>
        <v>Sep</v>
      </c>
      <c r="E325" s="1" t="str">
        <f>TEXT(FMData[[#This Row],[Show_Date]],"ddd")</f>
        <v>Sun</v>
      </c>
      <c r="F325" t="s">
        <v>11</v>
      </c>
      <c r="G325" t="s">
        <v>12</v>
      </c>
      <c r="H325">
        <v>1</v>
      </c>
      <c r="I325">
        <v>25</v>
      </c>
      <c r="J325" t="s">
        <v>13</v>
      </c>
      <c r="K325" t="s">
        <v>25</v>
      </c>
      <c r="L325">
        <v>25</v>
      </c>
    </row>
    <row r="326" spans="1:12" x14ac:dyDescent="0.3">
      <c r="A326">
        <v>1744</v>
      </c>
      <c r="B326" t="s">
        <v>32</v>
      </c>
      <c r="C326" s="1">
        <v>45841</v>
      </c>
      <c r="D326" s="1" t="str">
        <f>TEXT(FMData[[#This Row],[Show_Date]],"mmm")</f>
        <v>Jul</v>
      </c>
      <c r="E326" s="1" t="str">
        <f>TEXT(FMData[[#This Row],[Show_Date]],"ddd")</f>
        <v>Thu</v>
      </c>
      <c r="F326" t="s">
        <v>11</v>
      </c>
      <c r="G326" t="s">
        <v>17</v>
      </c>
      <c r="H326">
        <v>4</v>
      </c>
      <c r="I326">
        <v>12</v>
      </c>
      <c r="J326" t="s">
        <v>23</v>
      </c>
      <c r="K326" t="s">
        <v>25</v>
      </c>
      <c r="L326">
        <v>48</v>
      </c>
    </row>
    <row r="327" spans="1:12" x14ac:dyDescent="0.3">
      <c r="A327">
        <v>1823</v>
      </c>
      <c r="B327" t="s">
        <v>31</v>
      </c>
      <c r="C327" s="1">
        <v>45901</v>
      </c>
      <c r="D327" s="1" t="str">
        <f>TEXT(FMData[[#This Row],[Show_Date]],"mmm")</f>
        <v>Sep</v>
      </c>
      <c r="E327" s="1" t="str">
        <f>TEXT(FMData[[#This Row],[Show_Date]],"ddd")</f>
        <v>Mon</v>
      </c>
      <c r="F327" t="s">
        <v>11</v>
      </c>
      <c r="G327" t="s">
        <v>22</v>
      </c>
      <c r="H327">
        <v>2</v>
      </c>
      <c r="I327">
        <v>20</v>
      </c>
      <c r="J327" t="s">
        <v>23</v>
      </c>
      <c r="K327" t="s">
        <v>18</v>
      </c>
      <c r="L327">
        <v>40</v>
      </c>
    </row>
    <row r="328" spans="1:12" x14ac:dyDescent="0.3">
      <c r="A328">
        <v>143</v>
      </c>
      <c r="B328" t="s">
        <v>31</v>
      </c>
      <c r="C328" s="1">
        <v>45865</v>
      </c>
      <c r="D328" s="1" t="str">
        <f>TEXT(FMData[[#This Row],[Show_Date]],"mmm")</f>
        <v>Jul</v>
      </c>
      <c r="E328" s="1" t="str">
        <f>TEXT(FMData[[#This Row],[Show_Date]],"ddd")</f>
        <v>Sun</v>
      </c>
      <c r="F328" t="s">
        <v>11</v>
      </c>
      <c r="G328" t="s">
        <v>30</v>
      </c>
      <c r="H328">
        <v>2</v>
      </c>
      <c r="I328">
        <v>8</v>
      </c>
      <c r="J328" t="s">
        <v>23</v>
      </c>
      <c r="K328" t="s">
        <v>18</v>
      </c>
      <c r="L328">
        <v>16</v>
      </c>
    </row>
    <row r="329" spans="1:12" x14ac:dyDescent="0.3">
      <c r="A329">
        <v>591</v>
      </c>
      <c r="B329" t="s">
        <v>24</v>
      </c>
      <c r="C329" s="1">
        <v>45905</v>
      </c>
      <c r="D329" s="1" t="str">
        <f>TEXT(FMData[[#This Row],[Show_Date]],"mmm")</f>
        <v>Sep</v>
      </c>
      <c r="E329" s="1" t="str">
        <f>TEXT(FMData[[#This Row],[Show_Date]],"ddd")</f>
        <v>Fri</v>
      </c>
      <c r="F329" t="s">
        <v>11</v>
      </c>
      <c r="G329" t="s">
        <v>22</v>
      </c>
      <c r="H329">
        <v>2</v>
      </c>
      <c r="I329">
        <v>20</v>
      </c>
      <c r="J329" t="s">
        <v>13</v>
      </c>
      <c r="K329" t="s">
        <v>25</v>
      </c>
      <c r="L329">
        <v>40</v>
      </c>
    </row>
    <row r="330" spans="1:12" x14ac:dyDescent="0.3">
      <c r="A330">
        <v>1442</v>
      </c>
      <c r="B330" t="s">
        <v>26</v>
      </c>
      <c r="C330" s="1">
        <v>45880</v>
      </c>
      <c r="D330" s="1" t="str">
        <f>TEXT(FMData[[#This Row],[Show_Date]],"mmm")</f>
        <v>Aug</v>
      </c>
      <c r="E330" s="1" t="str">
        <f>TEXT(FMData[[#This Row],[Show_Date]],"ddd")</f>
        <v>Mon</v>
      </c>
      <c r="F330" t="s">
        <v>11</v>
      </c>
      <c r="G330" t="s">
        <v>12</v>
      </c>
      <c r="H330">
        <v>2</v>
      </c>
      <c r="I330">
        <v>25</v>
      </c>
      <c r="J330" t="s">
        <v>23</v>
      </c>
      <c r="K330" t="s">
        <v>27</v>
      </c>
      <c r="L330">
        <v>50</v>
      </c>
    </row>
    <row r="331" spans="1:12" x14ac:dyDescent="0.3">
      <c r="A331">
        <v>633</v>
      </c>
      <c r="B331" t="s">
        <v>15</v>
      </c>
      <c r="C331" s="1">
        <v>45922</v>
      </c>
      <c r="D331" s="1" t="str">
        <f>TEXT(FMData[[#This Row],[Show_Date]],"mmm")</f>
        <v>Sep</v>
      </c>
      <c r="E331" s="1" t="str">
        <f>TEXT(FMData[[#This Row],[Show_Date]],"ddd")</f>
        <v>Mon</v>
      </c>
      <c r="F331" t="s">
        <v>11</v>
      </c>
      <c r="G331" t="s">
        <v>17</v>
      </c>
      <c r="H331">
        <v>1</v>
      </c>
      <c r="I331">
        <v>12</v>
      </c>
      <c r="J331" t="s">
        <v>21</v>
      </c>
      <c r="K331" t="s">
        <v>14</v>
      </c>
      <c r="L331">
        <v>12</v>
      </c>
    </row>
    <row r="332" spans="1:12" x14ac:dyDescent="0.3">
      <c r="A332">
        <v>1365</v>
      </c>
      <c r="B332" t="s">
        <v>19</v>
      </c>
      <c r="C332" s="1">
        <v>45853</v>
      </c>
      <c r="D332" s="1" t="str">
        <f>TEXT(FMData[[#This Row],[Show_Date]],"mmm")</f>
        <v>Jul</v>
      </c>
      <c r="E332" s="1" t="str">
        <f>TEXT(FMData[[#This Row],[Show_Date]],"ddd")</f>
        <v>Tue</v>
      </c>
      <c r="F332" t="s">
        <v>11</v>
      </c>
      <c r="G332" t="s">
        <v>29</v>
      </c>
      <c r="H332">
        <v>5</v>
      </c>
      <c r="I332">
        <v>30</v>
      </c>
      <c r="J332" t="s">
        <v>23</v>
      </c>
      <c r="K332" t="s">
        <v>14</v>
      </c>
      <c r="L332">
        <v>150</v>
      </c>
    </row>
    <row r="333" spans="1:12" x14ac:dyDescent="0.3">
      <c r="A333">
        <v>1980</v>
      </c>
      <c r="B333" t="s">
        <v>26</v>
      </c>
      <c r="C333" s="1">
        <v>45921</v>
      </c>
      <c r="D333" s="1" t="str">
        <f>TEXT(FMData[[#This Row],[Show_Date]],"mmm")</f>
        <v>Sep</v>
      </c>
      <c r="E333" s="1" t="str">
        <f>TEXT(FMData[[#This Row],[Show_Date]],"ddd")</f>
        <v>Sun</v>
      </c>
      <c r="F333" t="s">
        <v>11</v>
      </c>
      <c r="G333" t="s">
        <v>17</v>
      </c>
      <c r="H333">
        <v>1</v>
      </c>
      <c r="I333">
        <v>12</v>
      </c>
      <c r="J333" t="s">
        <v>23</v>
      </c>
      <c r="K333" t="s">
        <v>27</v>
      </c>
      <c r="L333">
        <v>12</v>
      </c>
    </row>
    <row r="334" spans="1:12" x14ac:dyDescent="0.3">
      <c r="A334">
        <v>1274</v>
      </c>
      <c r="B334" t="s">
        <v>32</v>
      </c>
      <c r="C334" s="1">
        <v>45879</v>
      </c>
      <c r="D334" s="1" t="str">
        <f>TEXT(FMData[[#This Row],[Show_Date]],"mmm")</f>
        <v>Aug</v>
      </c>
      <c r="E334" s="1" t="str">
        <f>TEXT(FMData[[#This Row],[Show_Date]],"ddd")</f>
        <v>Sun</v>
      </c>
      <c r="F334" t="s">
        <v>11</v>
      </c>
      <c r="G334" t="s">
        <v>12</v>
      </c>
      <c r="H334">
        <v>4</v>
      </c>
      <c r="I334">
        <v>25</v>
      </c>
      <c r="J334" t="s">
        <v>23</v>
      </c>
      <c r="K334" t="s">
        <v>18</v>
      </c>
      <c r="L334">
        <v>100</v>
      </c>
    </row>
    <row r="335" spans="1:12" x14ac:dyDescent="0.3">
      <c r="A335">
        <v>1072</v>
      </c>
      <c r="B335" t="s">
        <v>26</v>
      </c>
      <c r="C335" s="1">
        <v>45864</v>
      </c>
      <c r="D335" s="1" t="str">
        <f>TEXT(FMData[[#This Row],[Show_Date]],"mmm")</f>
        <v>Jul</v>
      </c>
      <c r="E335" s="1" t="str">
        <f>TEXT(FMData[[#This Row],[Show_Date]],"ddd")</f>
        <v>Sat</v>
      </c>
      <c r="F335" t="s">
        <v>11</v>
      </c>
      <c r="G335" t="s">
        <v>12</v>
      </c>
      <c r="H335">
        <v>4</v>
      </c>
      <c r="I335">
        <v>25</v>
      </c>
      <c r="J335" t="s">
        <v>23</v>
      </c>
      <c r="K335" t="s">
        <v>27</v>
      </c>
      <c r="L335">
        <v>100</v>
      </c>
    </row>
    <row r="336" spans="1:12" x14ac:dyDescent="0.3">
      <c r="A336">
        <v>346</v>
      </c>
      <c r="B336" t="s">
        <v>28</v>
      </c>
      <c r="C336" s="1">
        <v>45921</v>
      </c>
      <c r="D336" s="1" t="str">
        <f>TEXT(FMData[[#This Row],[Show_Date]],"mmm")</f>
        <v>Sep</v>
      </c>
      <c r="E336" s="1" t="str">
        <f>TEXT(FMData[[#This Row],[Show_Date]],"ddd")</f>
        <v>Sun</v>
      </c>
      <c r="F336" t="s">
        <v>11</v>
      </c>
      <c r="G336" t="s">
        <v>30</v>
      </c>
      <c r="H336">
        <v>1</v>
      </c>
      <c r="I336">
        <v>8</v>
      </c>
      <c r="J336" t="s">
        <v>21</v>
      </c>
      <c r="K336" t="s">
        <v>14</v>
      </c>
      <c r="L336">
        <v>8</v>
      </c>
    </row>
    <row r="337" spans="1:12" x14ac:dyDescent="0.3">
      <c r="A337">
        <v>832</v>
      </c>
      <c r="B337" t="s">
        <v>15</v>
      </c>
      <c r="C337" s="1">
        <v>45914</v>
      </c>
      <c r="D337" s="1" t="str">
        <f>TEXT(FMData[[#This Row],[Show_Date]],"mmm")</f>
        <v>Sep</v>
      </c>
      <c r="E337" s="1" t="str">
        <f>TEXT(FMData[[#This Row],[Show_Date]],"ddd")</f>
        <v>Sun</v>
      </c>
      <c r="F337" t="s">
        <v>11</v>
      </c>
      <c r="G337" t="s">
        <v>30</v>
      </c>
      <c r="H337">
        <v>1</v>
      </c>
      <c r="I337">
        <v>8</v>
      </c>
      <c r="J337" t="s">
        <v>13</v>
      </c>
      <c r="K337" t="s">
        <v>14</v>
      </c>
      <c r="L337">
        <v>8</v>
      </c>
    </row>
    <row r="338" spans="1:12" x14ac:dyDescent="0.3">
      <c r="A338">
        <v>338</v>
      </c>
      <c r="B338" t="s">
        <v>32</v>
      </c>
      <c r="C338" s="1">
        <v>45886</v>
      </c>
      <c r="D338" s="1" t="str">
        <f>TEXT(FMData[[#This Row],[Show_Date]],"mmm")</f>
        <v>Aug</v>
      </c>
      <c r="E338" s="1" t="str">
        <f>TEXT(FMData[[#This Row],[Show_Date]],"ddd")</f>
        <v>Sun</v>
      </c>
      <c r="F338" t="s">
        <v>11</v>
      </c>
      <c r="G338" t="s">
        <v>17</v>
      </c>
      <c r="H338">
        <v>1</v>
      </c>
      <c r="I338">
        <v>12</v>
      </c>
      <c r="J338" t="s">
        <v>23</v>
      </c>
      <c r="K338" t="s">
        <v>18</v>
      </c>
      <c r="L338">
        <v>12</v>
      </c>
    </row>
    <row r="339" spans="1:12" x14ac:dyDescent="0.3">
      <c r="A339">
        <v>361</v>
      </c>
      <c r="B339" t="s">
        <v>31</v>
      </c>
      <c r="C339" s="1">
        <v>45843</v>
      </c>
      <c r="D339" s="1" t="str">
        <f>TEXT(FMData[[#This Row],[Show_Date]],"mmm")</f>
        <v>Jul</v>
      </c>
      <c r="E339" s="1" t="str">
        <f>TEXT(FMData[[#This Row],[Show_Date]],"ddd")</f>
        <v>Sat</v>
      </c>
      <c r="F339" t="s">
        <v>11</v>
      </c>
      <c r="G339" t="s">
        <v>17</v>
      </c>
      <c r="H339">
        <v>2</v>
      </c>
      <c r="I339">
        <v>12</v>
      </c>
      <c r="J339" t="s">
        <v>21</v>
      </c>
      <c r="K339" t="s">
        <v>14</v>
      </c>
      <c r="L339">
        <v>24</v>
      </c>
    </row>
    <row r="340" spans="1:12" x14ac:dyDescent="0.3">
      <c r="A340">
        <v>1025</v>
      </c>
      <c r="B340" t="s">
        <v>19</v>
      </c>
      <c r="C340" s="1">
        <v>45909</v>
      </c>
      <c r="D340" s="1" t="str">
        <f>TEXT(FMData[[#This Row],[Show_Date]],"mmm")</f>
        <v>Sep</v>
      </c>
      <c r="E340" s="1" t="str">
        <f>TEXT(FMData[[#This Row],[Show_Date]],"ddd")</f>
        <v>Tue</v>
      </c>
      <c r="F340" t="s">
        <v>11</v>
      </c>
      <c r="G340" t="s">
        <v>17</v>
      </c>
      <c r="H340">
        <v>2</v>
      </c>
      <c r="I340">
        <v>12</v>
      </c>
      <c r="J340" t="s">
        <v>13</v>
      </c>
      <c r="K340" t="s">
        <v>14</v>
      </c>
      <c r="L340">
        <v>24</v>
      </c>
    </row>
    <row r="341" spans="1:12" x14ac:dyDescent="0.3">
      <c r="A341">
        <v>358</v>
      </c>
      <c r="B341" t="s">
        <v>19</v>
      </c>
      <c r="C341" s="1">
        <v>45888</v>
      </c>
      <c r="D341" s="1" t="str">
        <f>TEXT(FMData[[#This Row],[Show_Date]],"mmm")</f>
        <v>Aug</v>
      </c>
      <c r="E341" s="1" t="str">
        <f>TEXT(FMData[[#This Row],[Show_Date]],"ddd")</f>
        <v>Tue</v>
      </c>
      <c r="F341" t="s">
        <v>11</v>
      </c>
      <c r="G341" t="s">
        <v>17</v>
      </c>
      <c r="H341">
        <v>1</v>
      </c>
      <c r="I341">
        <v>12</v>
      </c>
      <c r="J341" t="s">
        <v>13</v>
      </c>
      <c r="K341" t="s">
        <v>27</v>
      </c>
      <c r="L341">
        <v>12</v>
      </c>
    </row>
    <row r="342" spans="1:12" x14ac:dyDescent="0.3">
      <c r="A342">
        <v>1617</v>
      </c>
      <c r="B342" t="s">
        <v>28</v>
      </c>
      <c r="C342" s="1">
        <v>45842</v>
      </c>
      <c r="D342" s="1" t="str">
        <f>TEXT(FMData[[#This Row],[Show_Date]],"mmm")</f>
        <v>Jul</v>
      </c>
      <c r="E342" s="1" t="str">
        <f>TEXT(FMData[[#This Row],[Show_Date]],"ddd")</f>
        <v>Fri</v>
      </c>
      <c r="F342" t="s">
        <v>11</v>
      </c>
      <c r="G342" t="s">
        <v>12</v>
      </c>
      <c r="H342">
        <v>1</v>
      </c>
      <c r="I342">
        <v>25</v>
      </c>
      <c r="J342" t="s">
        <v>13</v>
      </c>
      <c r="K342" t="s">
        <v>18</v>
      </c>
      <c r="L342">
        <v>25</v>
      </c>
    </row>
    <row r="343" spans="1:12" x14ac:dyDescent="0.3">
      <c r="A343">
        <v>1830</v>
      </c>
      <c r="B343" t="s">
        <v>24</v>
      </c>
      <c r="C343" s="1">
        <v>45866</v>
      </c>
      <c r="D343" s="1" t="str">
        <f>TEXT(FMData[[#This Row],[Show_Date]],"mmm")</f>
        <v>Jul</v>
      </c>
      <c r="E343" s="1" t="str">
        <f>TEXT(FMData[[#This Row],[Show_Date]],"ddd")</f>
        <v>Mon</v>
      </c>
      <c r="F343" t="s">
        <v>11</v>
      </c>
      <c r="G343" t="s">
        <v>17</v>
      </c>
      <c r="H343">
        <v>3</v>
      </c>
      <c r="I343">
        <v>12</v>
      </c>
      <c r="J343" t="s">
        <v>13</v>
      </c>
      <c r="K343" t="s">
        <v>27</v>
      </c>
      <c r="L343">
        <v>36</v>
      </c>
    </row>
    <row r="344" spans="1:12" x14ac:dyDescent="0.3">
      <c r="A344">
        <v>1064</v>
      </c>
      <c r="B344" t="s">
        <v>15</v>
      </c>
      <c r="C344" s="1">
        <v>45906</v>
      </c>
      <c r="D344" s="1" t="str">
        <f>TEXT(FMData[[#This Row],[Show_Date]],"mmm")</f>
        <v>Sep</v>
      </c>
      <c r="E344" s="1" t="str">
        <f>TEXT(FMData[[#This Row],[Show_Date]],"ddd")</f>
        <v>Sat</v>
      </c>
      <c r="F344" t="s">
        <v>11</v>
      </c>
      <c r="G344" t="s">
        <v>12</v>
      </c>
      <c r="H344">
        <v>1</v>
      </c>
      <c r="I344">
        <v>25</v>
      </c>
      <c r="J344" t="s">
        <v>21</v>
      </c>
      <c r="K344" t="s">
        <v>14</v>
      </c>
      <c r="L344">
        <v>25</v>
      </c>
    </row>
    <row r="345" spans="1:12" x14ac:dyDescent="0.3">
      <c r="A345">
        <v>1755</v>
      </c>
      <c r="B345" t="s">
        <v>15</v>
      </c>
      <c r="C345" s="1">
        <v>45921</v>
      </c>
      <c r="D345" s="1" t="str">
        <f>TEXT(FMData[[#This Row],[Show_Date]],"mmm")</f>
        <v>Sep</v>
      </c>
      <c r="E345" s="1" t="str">
        <f>TEXT(FMData[[#This Row],[Show_Date]],"ddd")</f>
        <v>Sun</v>
      </c>
      <c r="F345" t="s">
        <v>11</v>
      </c>
      <c r="G345" t="s">
        <v>17</v>
      </c>
      <c r="H345">
        <v>3</v>
      </c>
      <c r="I345">
        <v>12</v>
      </c>
      <c r="J345" t="s">
        <v>13</v>
      </c>
      <c r="K345" t="s">
        <v>27</v>
      </c>
      <c r="L345">
        <v>36</v>
      </c>
    </row>
    <row r="346" spans="1:12" x14ac:dyDescent="0.3">
      <c r="A346">
        <v>888</v>
      </c>
      <c r="B346" t="s">
        <v>10</v>
      </c>
      <c r="C346" s="1">
        <v>45843</v>
      </c>
      <c r="D346" s="1" t="str">
        <f>TEXT(FMData[[#This Row],[Show_Date]],"mmm")</f>
        <v>Jul</v>
      </c>
      <c r="E346" s="1" t="str">
        <f>TEXT(FMData[[#This Row],[Show_Date]],"ddd")</f>
        <v>Sat</v>
      </c>
      <c r="F346" t="s">
        <v>11</v>
      </c>
      <c r="G346" t="s">
        <v>17</v>
      </c>
      <c r="H346">
        <v>5</v>
      </c>
      <c r="I346">
        <v>12</v>
      </c>
      <c r="J346" t="s">
        <v>23</v>
      </c>
      <c r="K346" t="s">
        <v>25</v>
      </c>
      <c r="L346">
        <v>60</v>
      </c>
    </row>
    <row r="347" spans="1:12" x14ac:dyDescent="0.3">
      <c r="A347">
        <v>1449</v>
      </c>
      <c r="B347" t="s">
        <v>10</v>
      </c>
      <c r="C347" s="1">
        <v>45874</v>
      </c>
      <c r="D347" s="1" t="str">
        <f>TEXT(FMData[[#This Row],[Show_Date]],"mmm")</f>
        <v>Aug</v>
      </c>
      <c r="E347" s="1" t="str">
        <f>TEXT(FMData[[#This Row],[Show_Date]],"ddd")</f>
        <v>Tue</v>
      </c>
      <c r="F347" t="s">
        <v>11</v>
      </c>
      <c r="G347" t="s">
        <v>12</v>
      </c>
      <c r="H347">
        <v>3</v>
      </c>
      <c r="I347">
        <v>25</v>
      </c>
      <c r="J347" t="s">
        <v>23</v>
      </c>
      <c r="K347" t="s">
        <v>25</v>
      </c>
      <c r="L347">
        <v>75</v>
      </c>
    </row>
    <row r="348" spans="1:12" x14ac:dyDescent="0.3">
      <c r="A348">
        <v>715</v>
      </c>
      <c r="B348" t="s">
        <v>19</v>
      </c>
      <c r="C348" s="1">
        <v>45888</v>
      </c>
      <c r="D348" s="1" t="str">
        <f>TEXT(FMData[[#This Row],[Show_Date]],"mmm")</f>
        <v>Aug</v>
      </c>
      <c r="E348" s="1" t="str">
        <f>TEXT(FMData[[#This Row],[Show_Date]],"ddd")</f>
        <v>Tue</v>
      </c>
      <c r="F348" t="s">
        <v>11</v>
      </c>
      <c r="G348" t="s">
        <v>17</v>
      </c>
      <c r="H348">
        <v>5</v>
      </c>
      <c r="I348">
        <v>12</v>
      </c>
      <c r="J348" t="s">
        <v>13</v>
      </c>
      <c r="K348" t="s">
        <v>18</v>
      </c>
      <c r="L348">
        <v>60</v>
      </c>
    </row>
    <row r="349" spans="1:12" x14ac:dyDescent="0.3">
      <c r="A349">
        <v>1585</v>
      </c>
      <c r="B349" t="s">
        <v>10</v>
      </c>
      <c r="C349" s="1">
        <v>45840</v>
      </c>
      <c r="D349" s="1" t="str">
        <f>TEXT(FMData[[#This Row],[Show_Date]],"mmm")</f>
        <v>Jul</v>
      </c>
      <c r="E349" s="1" t="str">
        <f>TEXT(FMData[[#This Row],[Show_Date]],"ddd")</f>
        <v>Wed</v>
      </c>
      <c r="F349" t="s">
        <v>33</v>
      </c>
      <c r="G349" t="s">
        <v>17</v>
      </c>
      <c r="H349">
        <v>4</v>
      </c>
      <c r="I349">
        <v>12</v>
      </c>
      <c r="J349" t="s">
        <v>13</v>
      </c>
      <c r="K349" t="s">
        <v>27</v>
      </c>
      <c r="L349">
        <v>48</v>
      </c>
    </row>
    <row r="350" spans="1:12" x14ac:dyDescent="0.3">
      <c r="A350">
        <v>1519</v>
      </c>
      <c r="B350" t="s">
        <v>31</v>
      </c>
      <c r="C350" s="1">
        <v>45906</v>
      </c>
      <c r="D350" s="1" t="str">
        <f>TEXT(FMData[[#This Row],[Show_Date]],"mmm")</f>
        <v>Sep</v>
      </c>
      <c r="E350" s="1" t="str">
        <f>TEXT(FMData[[#This Row],[Show_Date]],"ddd")</f>
        <v>Sat</v>
      </c>
      <c r="F350" t="s">
        <v>16</v>
      </c>
      <c r="G350" t="s">
        <v>17</v>
      </c>
      <c r="H350">
        <v>2</v>
      </c>
      <c r="I350">
        <v>12</v>
      </c>
      <c r="J350" t="s">
        <v>13</v>
      </c>
      <c r="K350" t="s">
        <v>18</v>
      </c>
      <c r="L350">
        <v>24</v>
      </c>
    </row>
    <row r="351" spans="1:12" x14ac:dyDescent="0.3">
      <c r="A351">
        <v>1960</v>
      </c>
      <c r="B351" t="s">
        <v>32</v>
      </c>
      <c r="C351" s="1">
        <v>45879</v>
      </c>
      <c r="D351" s="1" t="str">
        <f>TEXT(FMData[[#This Row],[Show_Date]],"mmm")</f>
        <v>Aug</v>
      </c>
      <c r="E351" s="1" t="str">
        <f>TEXT(FMData[[#This Row],[Show_Date]],"ddd")</f>
        <v>Sun</v>
      </c>
      <c r="F351" t="s">
        <v>16</v>
      </c>
      <c r="G351" t="s">
        <v>17</v>
      </c>
      <c r="H351">
        <v>3</v>
      </c>
      <c r="I351">
        <v>12</v>
      </c>
      <c r="J351" t="s">
        <v>23</v>
      </c>
      <c r="K351" t="s">
        <v>18</v>
      </c>
      <c r="L351">
        <v>36</v>
      </c>
    </row>
    <row r="352" spans="1:12" x14ac:dyDescent="0.3">
      <c r="A352">
        <v>1962</v>
      </c>
      <c r="B352" t="s">
        <v>24</v>
      </c>
      <c r="C352" s="1">
        <v>45872</v>
      </c>
      <c r="D352" s="1" t="str">
        <f>TEXT(FMData[[#This Row],[Show_Date]],"mmm")</f>
        <v>Aug</v>
      </c>
      <c r="E352" s="1" t="str">
        <f>TEXT(FMData[[#This Row],[Show_Date]],"ddd")</f>
        <v>Sun</v>
      </c>
      <c r="F352" t="s">
        <v>16</v>
      </c>
      <c r="G352" t="s">
        <v>17</v>
      </c>
      <c r="H352">
        <v>4</v>
      </c>
      <c r="I352">
        <v>12</v>
      </c>
      <c r="J352" t="s">
        <v>23</v>
      </c>
      <c r="K352" t="s">
        <v>27</v>
      </c>
      <c r="L352">
        <v>48</v>
      </c>
    </row>
    <row r="353" spans="1:12" x14ac:dyDescent="0.3">
      <c r="A353">
        <v>539</v>
      </c>
      <c r="B353" t="s">
        <v>15</v>
      </c>
      <c r="C353" s="1">
        <v>45915</v>
      </c>
      <c r="D353" s="1" t="str">
        <f>TEXT(FMData[[#This Row],[Show_Date]],"mmm")</f>
        <v>Sep</v>
      </c>
      <c r="E353" s="1" t="str">
        <f>TEXT(FMData[[#This Row],[Show_Date]],"ddd")</f>
        <v>Mon</v>
      </c>
      <c r="F353" t="s">
        <v>16</v>
      </c>
      <c r="G353" t="s">
        <v>30</v>
      </c>
      <c r="H353">
        <v>5</v>
      </c>
      <c r="I353">
        <v>8</v>
      </c>
      <c r="J353" t="s">
        <v>21</v>
      </c>
      <c r="K353" t="s">
        <v>27</v>
      </c>
      <c r="L353">
        <v>40</v>
      </c>
    </row>
    <row r="354" spans="1:12" x14ac:dyDescent="0.3">
      <c r="A354">
        <v>1640</v>
      </c>
      <c r="B354" t="s">
        <v>26</v>
      </c>
      <c r="C354" s="1">
        <v>45892</v>
      </c>
      <c r="D354" s="1" t="str">
        <f>TEXT(FMData[[#This Row],[Show_Date]],"mmm")</f>
        <v>Aug</v>
      </c>
      <c r="E354" s="1" t="str">
        <f>TEXT(FMData[[#This Row],[Show_Date]],"ddd")</f>
        <v>Sat</v>
      </c>
      <c r="F354" t="s">
        <v>11</v>
      </c>
      <c r="G354" t="s">
        <v>17</v>
      </c>
      <c r="H354">
        <v>1</v>
      </c>
      <c r="I354">
        <v>12</v>
      </c>
      <c r="J354" t="s">
        <v>23</v>
      </c>
      <c r="K354" t="s">
        <v>27</v>
      </c>
      <c r="L354">
        <v>12</v>
      </c>
    </row>
    <row r="355" spans="1:12" x14ac:dyDescent="0.3">
      <c r="A355">
        <v>1377</v>
      </c>
      <c r="B355" t="s">
        <v>31</v>
      </c>
      <c r="C355" s="1">
        <v>45865</v>
      </c>
      <c r="D355" s="1" t="str">
        <f>TEXT(FMData[[#This Row],[Show_Date]],"mmm")</f>
        <v>Jul</v>
      </c>
      <c r="E355" s="1" t="str">
        <f>TEXT(FMData[[#This Row],[Show_Date]],"ddd")</f>
        <v>Sun</v>
      </c>
      <c r="F355" t="s">
        <v>11</v>
      </c>
      <c r="G355" t="s">
        <v>30</v>
      </c>
      <c r="H355">
        <v>5</v>
      </c>
      <c r="I355">
        <v>8</v>
      </c>
      <c r="J355" t="s">
        <v>21</v>
      </c>
      <c r="K355" t="s">
        <v>14</v>
      </c>
      <c r="L355">
        <v>40</v>
      </c>
    </row>
    <row r="356" spans="1:12" x14ac:dyDescent="0.3">
      <c r="A356">
        <v>106</v>
      </c>
      <c r="B356" t="s">
        <v>26</v>
      </c>
      <c r="C356" s="1">
        <v>45893</v>
      </c>
      <c r="D356" s="1" t="str">
        <f>TEXT(FMData[[#This Row],[Show_Date]],"mmm")</f>
        <v>Aug</v>
      </c>
      <c r="E356" s="1" t="str">
        <f>TEXT(FMData[[#This Row],[Show_Date]],"ddd")</f>
        <v>Sun</v>
      </c>
      <c r="F356" t="s">
        <v>11</v>
      </c>
      <c r="G356" t="s">
        <v>17</v>
      </c>
      <c r="H356">
        <v>2</v>
      </c>
      <c r="I356">
        <v>12</v>
      </c>
      <c r="J356" t="s">
        <v>23</v>
      </c>
      <c r="K356" t="s">
        <v>25</v>
      </c>
      <c r="L356">
        <v>24</v>
      </c>
    </row>
    <row r="357" spans="1:12" x14ac:dyDescent="0.3">
      <c r="A357">
        <v>1255</v>
      </c>
      <c r="B357" t="s">
        <v>15</v>
      </c>
      <c r="C357" s="1">
        <v>45844</v>
      </c>
      <c r="D357" s="1" t="str">
        <f>TEXT(FMData[[#This Row],[Show_Date]],"mmm")</f>
        <v>Jul</v>
      </c>
      <c r="E357" s="1" t="str">
        <f>TEXT(FMData[[#This Row],[Show_Date]],"ddd")</f>
        <v>Sun</v>
      </c>
      <c r="F357" t="s">
        <v>11</v>
      </c>
      <c r="G357" t="s">
        <v>17</v>
      </c>
      <c r="H357">
        <v>3</v>
      </c>
      <c r="I357">
        <v>12</v>
      </c>
      <c r="J357" t="s">
        <v>21</v>
      </c>
      <c r="K357" t="s">
        <v>18</v>
      </c>
      <c r="L357">
        <v>36</v>
      </c>
    </row>
    <row r="358" spans="1:12" x14ac:dyDescent="0.3">
      <c r="A358">
        <v>1070</v>
      </c>
      <c r="B358" t="s">
        <v>15</v>
      </c>
      <c r="C358" s="1">
        <v>45851</v>
      </c>
      <c r="D358" s="1" t="str">
        <f>TEXT(FMData[[#This Row],[Show_Date]],"mmm")</f>
        <v>Jul</v>
      </c>
      <c r="E358" s="1" t="str">
        <f>TEXT(FMData[[#This Row],[Show_Date]],"ddd")</f>
        <v>Sun</v>
      </c>
      <c r="F358" t="s">
        <v>11</v>
      </c>
      <c r="G358" t="s">
        <v>30</v>
      </c>
      <c r="H358">
        <v>1</v>
      </c>
      <c r="I358">
        <v>8</v>
      </c>
      <c r="J358" t="s">
        <v>13</v>
      </c>
      <c r="K358" t="s">
        <v>18</v>
      </c>
      <c r="L358">
        <v>8</v>
      </c>
    </row>
    <row r="359" spans="1:12" x14ac:dyDescent="0.3">
      <c r="A359">
        <v>1180</v>
      </c>
      <c r="B359" t="s">
        <v>32</v>
      </c>
      <c r="C359" s="1">
        <v>45843</v>
      </c>
      <c r="D359" s="1" t="str">
        <f>TEXT(FMData[[#This Row],[Show_Date]],"mmm")</f>
        <v>Jul</v>
      </c>
      <c r="E359" s="1" t="str">
        <f>TEXT(FMData[[#This Row],[Show_Date]],"ddd")</f>
        <v>Sat</v>
      </c>
      <c r="F359" t="s">
        <v>11</v>
      </c>
      <c r="G359" t="s">
        <v>30</v>
      </c>
      <c r="H359">
        <v>5</v>
      </c>
      <c r="I359">
        <v>8</v>
      </c>
      <c r="J359" t="s">
        <v>13</v>
      </c>
      <c r="K359" t="s">
        <v>27</v>
      </c>
      <c r="L359">
        <v>40</v>
      </c>
    </row>
    <row r="360" spans="1:12" x14ac:dyDescent="0.3">
      <c r="A360">
        <v>1395</v>
      </c>
      <c r="B360" t="s">
        <v>15</v>
      </c>
      <c r="C360" s="1">
        <v>45858</v>
      </c>
      <c r="D360" s="1" t="str">
        <f>TEXT(FMData[[#This Row],[Show_Date]],"mmm")</f>
        <v>Jul</v>
      </c>
      <c r="E360" s="1" t="str">
        <f>TEXT(FMData[[#This Row],[Show_Date]],"ddd")</f>
        <v>Sun</v>
      </c>
      <c r="F360" t="s">
        <v>11</v>
      </c>
      <c r="G360" t="s">
        <v>29</v>
      </c>
      <c r="H360">
        <v>5</v>
      </c>
      <c r="I360">
        <v>30</v>
      </c>
      <c r="J360" t="s">
        <v>21</v>
      </c>
      <c r="K360" t="s">
        <v>25</v>
      </c>
      <c r="L360">
        <v>150</v>
      </c>
    </row>
    <row r="361" spans="1:12" x14ac:dyDescent="0.3">
      <c r="A361">
        <v>1837</v>
      </c>
      <c r="B361" t="s">
        <v>10</v>
      </c>
      <c r="C361" s="1">
        <v>45920</v>
      </c>
      <c r="D361" s="1" t="str">
        <f>TEXT(FMData[[#This Row],[Show_Date]],"mmm")</f>
        <v>Sep</v>
      </c>
      <c r="E361" s="1" t="str">
        <f>TEXT(FMData[[#This Row],[Show_Date]],"ddd")</f>
        <v>Sat</v>
      </c>
      <c r="F361" t="s">
        <v>11</v>
      </c>
      <c r="G361" t="s">
        <v>29</v>
      </c>
      <c r="H361">
        <v>4</v>
      </c>
      <c r="I361">
        <v>30</v>
      </c>
      <c r="J361" t="s">
        <v>21</v>
      </c>
      <c r="K361" t="s">
        <v>18</v>
      </c>
      <c r="L361">
        <v>120</v>
      </c>
    </row>
    <row r="362" spans="1:12" x14ac:dyDescent="0.3">
      <c r="A362">
        <v>853</v>
      </c>
      <c r="B362" t="s">
        <v>15</v>
      </c>
      <c r="C362" s="1">
        <v>45846</v>
      </c>
      <c r="D362" s="1" t="str">
        <f>TEXT(FMData[[#This Row],[Show_Date]],"mmm")</f>
        <v>Jul</v>
      </c>
      <c r="E362" s="1" t="str">
        <f>TEXT(FMData[[#This Row],[Show_Date]],"ddd")</f>
        <v>Tue</v>
      </c>
      <c r="F362" t="s">
        <v>11</v>
      </c>
      <c r="G362" t="s">
        <v>17</v>
      </c>
      <c r="H362">
        <v>2</v>
      </c>
      <c r="I362">
        <v>12</v>
      </c>
      <c r="J362" t="s">
        <v>13</v>
      </c>
      <c r="K362" t="s">
        <v>25</v>
      </c>
      <c r="L362">
        <v>24</v>
      </c>
    </row>
    <row r="363" spans="1:12" x14ac:dyDescent="0.3">
      <c r="A363">
        <v>935</v>
      </c>
      <c r="B363" t="s">
        <v>19</v>
      </c>
      <c r="C363" s="1">
        <v>45905</v>
      </c>
      <c r="D363" s="1" t="str">
        <f>TEXT(FMData[[#This Row],[Show_Date]],"mmm")</f>
        <v>Sep</v>
      </c>
      <c r="E363" s="1" t="str">
        <f>TEXT(FMData[[#This Row],[Show_Date]],"ddd")</f>
        <v>Fri</v>
      </c>
      <c r="F363" t="s">
        <v>11</v>
      </c>
      <c r="G363" t="s">
        <v>30</v>
      </c>
      <c r="H363">
        <v>5</v>
      </c>
      <c r="I363">
        <v>8</v>
      </c>
      <c r="J363" t="s">
        <v>21</v>
      </c>
      <c r="K363" t="s">
        <v>18</v>
      </c>
      <c r="L363">
        <v>40</v>
      </c>
    </row>
    <row r="364" spans="1:12" x14ac:dyDescent="0.3">
      <c r="A364">
        <v>1100</v>
      </c>
      <c r="B364" t="s">
        <v>32</v>
      </c>
      <c r="C364" s="1">
        <v>45875</v>
      </c>
      <c r="D364" s="1" t="str">
        <f>TEXT(FMData[[#This Row],[Show_Date]],"mmm")</f>
        <v>Aug</v>
      </c>
      <c r="E364" s="1" t="str">
        <f>TEXT(FMData[[#This Row],[Show_Date]],"ddd")</f>
        <v>Wed</v>
      </c>
      <c r="F364" t="s">
        <v>11</v>
      </c>
      <c r="G364" t="s">
        <v>17</v>
      </c>
      <c r="H364">
        <v>1</v>
      </c>
      <c r="I364">
        <v>12</v>
      </c>
      <c r="J364" t="s">
        <v>21</v>
      </c>
      <c r="K364" t="s">
        <v>25</v>
      </c>
      <c r="L364">
        <v>12</v>
      </c>
    </row>
    <row r="365" spans="1:12" x14ac:dyDescent="0.3">
      <c r="A365">
        <v>1242</v>
      </c>
      <c r="B365" t="s">
        <v>31</v>
      </c>
      <c r="C365" s="1">
        <v>45858</v>
      </c>
      <c r="D365" s="1" t="str">
        <f>TEXT(FMData[[#This Row],[Show_Date]],"mmm")</f>
        <v>Jul</v>
      </c>
      <c r="E365" s="1" t="str">
        <f>TEXT(FMData[[#This Row],[Show_Date]],"ddd")</f>
        <v>Sun</v>
      </c>
      <c r="F365" t="s">
        <v>16</v>
      </c>
      <c r="G365" t="s">
        <v>17</v>
      </c>
      <c r="H365">
        <v>4</v>
      </c>
      <c r="I365">
        <v>12</v>
      </c>
      <c r="J365" t="s">
        <v>23</v>
      </c>
      <c r="K365" t="s">
        <v>14</v>
      </c>
      <c r="L365">
        <v>48</v>
      </c>
    </row>
    <row r="366" spans="1:12" x14ac:dyDescent="0.3">
      <c r="A366">
        <v>1727</v>
      </c>
      <c r="B366" t="s">
        <v>31</v>
      </c>
      <c r="C366" s="1">
        <v>45857</v>
      </c>
      <c r="D366" s="1" t="str">
        <f>TEXT(FMData[[#This Row],[Show_Date]],"mmm")</f>
        <v>Jul</v>
      </c>
      <c r="E366" s="1" t="str">
        <f>TEXT(FMData[[#This Row],[Show_Date]],"ddd")</f>
        <v>Sat</v>
      </c>
      <c r="F366" t="s">
        <v>20</v>
      </c>
      <c r="G366" t="s">
        <v>17</v>
      </c>
      <c r="H366">
        <v>3</v>
      </c>
      <c r="I366">
        <v>12</v>
      </c>
      <c r="J366" t="s">
        <v>21</v>
      </c>
      <c r="K366" t="s">
        <v>14</v>
      </c>
      <c r="L366">
        <v>36</v>
      </c>
    </row>
    <row r="367" spans="1:12" x14ac:dyDescent="0.3">
      <c r="A367">
        <v>576</v>
      </c>
      <c r="B367" t="s">
        <v>10</v>
      </c>
      <c r="C367" s="1">
        <v>45878</v>
      </c>
      <c r="D367" s="1" t="str">
        <f>TEXT(FMData[[#This Row],[Show_Date]],"mmm")</f>
        <v>Aug</v>
      </c>
      <c r="E367" s="1" t="str">
        <f>TEXT(FMData[[#This Row],[Show_Date]],"ddd")</f>
        <v>Sat</v>
      </c>
      <c r="F367" t="s">
        <v>20</v>
      </c>
      <c r="G367" t="s">
        <v>12</v>
      </c>
      <c r="H367">
        <v>5</v>
      </c>
      <c r="I367">
        <v>25</v>
      </c>
      <c r="J367" t="s">
        <v>13</v>
      </c>
      <c r="K367" t="s">
        <v>14</v>
      </c>
      <c r="L367">
        <v>125</v>
      </c>
    </row>
    <row r="368" spans="1:12" x14ac:dyDescent="0.3">
      <c r="A368">
        <v>1934</v>
      </c>
      <c r="B368" t="s">
        <v>32</v>
      </c>
      <c r="C368" s="1">
        <v>45845</v>
      </c>
      <c r="D368" s="1" t="str">
        <f>TEXT(FMData[[#This Row],[Show_Date]],"mmm")</f>
        <v>Jul</v>
      </c>
      <c r="E368" s="1" t="str">
        <f>TEXT(FMData[[#This Row],[Show_Date]],"ddd")</f>
        <v>Mon</v>
      </c>
      <c r="F368" t="s">
        <v>16</v>
      </c>
      <c r="G368" t="s">
        <v>17</v>
      </c>
      <c r="H368">
        <v>5</v>
      </c>
      <c r="I368">
        <v>12</v>
      </c>
      <c r="J368" t="s">
        <v>13</v>
      </c>
      <c r="K368" t="s">
        <v>14</v>
      </c>
      <c r="L368">
        <v>60</v>
      </c>
    </row>
    <row r="369" spans="1:12" x14ac:dyDescent="0.3">
      <c r="A369">
        <v>1135</v>
      </c>
      <c r="B369" t="s">
        <v>32</v>
      </c>
      <c r="C369" s="1">
        <v>45919</v>
      </c>
      <c r="D369" s="1" t="str">
        <f>TEXT(FMData[[#This Row],[Show_Date]],"mmm")</f>
        <v>Sep</v>
      </c>
      <c r="E369" s="1" t="str">
        <f>TEXT(FMData[[#This Row],[Show_Date]],"ddd")</f>
        <v>Fri</v>
      </c>
      <c r="F369" t="s">
        <v>20</v>
      </c>
      <c r="G369" t="s">
        <v>17</v>
      </c>
      <c r="H369">
        <v>5</v>
      </c>
      <c r="I369">
        <v>12</v>
      </c>
      <c r="J369" t="s">
        <v>23</v>
      </c>
      <c r="K369" t="s">
        <v>25</v>
      </c>
      <c r="L369">
        <v>60</v>
      </c>
    </row>
    <row r="370" spans="1:12" x14ac:dyDescent="0.3">
      <c r="A370">
        <v>248</v>
      </c>
      <c r="B370" t="s">
        <v>24</v>
      </c>
      <c r="C370" s="1">
        <v>45907</v>
      </c>
      <c r="D370" s="1" t="str">
        <f>TEXT(FMData[[#This Row],[Show_Date]],"mmm")</f>
        <v>Sep</v>
      </c>
      <c r="E370" s="1" t="str">
        <f>TEXT(FMData[[#This Row],[Show_Date]],"ddd")</f>
        <v>Sun</v>
      </c>
      <c r="F370" t="s">
        <v>11</v>
      </c>
      <c r="G370" t="s">
        <v>22</v>
      </c>
      <c r="H370">
        <v>3</v>
      </c>
      <c r="I370">
        <v>20</v>
      </c>
      <c r="J370" t="s">
        <v>13</v>
      </c>
      <c r="K370" t="s">
        <v>27</v>
      </c>
      <c r="L370">
        <v>60</v>
      </c>
    </row>
    <row r="371" spans="1:12" x14ac:dyDescent="0.3">
      <c r="A371">
        <v>1197</v>
      </c>
      <c r="B371" t="s">
        <v>24</v>
      </c>
      <c r="C371" s="1">
        <v>45850</v>
      </c>
      <c r="D371" s="1" t="str">
        <f>TEXT(FMData[[#This Row],[Show_Date]],"mmm")</f>
        <v>Jul</v>
      </c>
      <c r="E371" s="1" t="str">
        <f>TEXT(FMData[[#This Row],[Show_Date]],"ddd")</f>
        <v>Sat</v>
      </c>
      <c r="F371" t="s">
        <v>16</v>
      </c>
      <c r="G371" t="s">
        <v>29</v>
      </c>
      <c r="H371">
        <v>1</v>
      </c>
      <c r="I371">
        <v>30</v>
      </c>
      <c r="J371" t="s">
        <v>21</v>
      </c>
      <c r="K371" t="s">
        <v>18</v>
      </c>
      <c r="L371">
        <v>30</v>
      </c>
    </row>
    <row r="372" spans="1:12" x14ac:dyDescent="0.3">
      <c r="A372">
        <v>587</v>
      </c>
      <c r="B372" t="s">
        <v>24</v>
      </c>
      <c r="C372" s="1">
        <v>45864</v>
      </c>
      <c r="D372" s="1" t="str">
        <f>TEXT(FMData[[#This Row],[Show_Date]],"mmm")</f>
        <v>Jul</v>
      </c>
      <c r="E372" s="1" t="str">
        <f>TEXT(FMData[[#This Row],[Show_Date]],"ddd")</f>
        <v>Sat</v>
      </c>
      <c r="F372" t="s">
        <v>20</v>
      </c>
      <c r="G372" t="s">
        <v>17</v>
      </c>
      <c r="H372">
        <v>4</v>
      </c>
      <c r="I372">
        <v>12</v>
      </c>
      <c r="J372" t="s">
        <v>13</v>
      </c>
      <c r="K372" t="s">
        <v>18</v>
      </c>
      <c r="L372">
        <v>48</v>
      </c>
    </row>
    <row r="373" spans="1:12" x14ac:dyDescent="0.3">
      <c r="A373">
        <v>577</v>
      </c>
      <c r="B373" t="s">
        <v>24</v>
      </c>
      <c r="C373" s="1">
        <v>45886</v>
      </c>
      <c r="D373" s="1" t="str">
        <f>TEXT(FMData[[#This Row],[Show_Date]],"mmm")</f>
        <v>Aug</v>
      </c>
      <c r="E373" s="1" t="str">
        <f>TEXT(FMData[[#This Row],[Show_Date]],"ddd")</f>
        <v>Sun</v>
      </c>
      <c r="F373" t="s">
        <v>33</v>
      </c>
      <c r="G373" t="s">
        <v>29</v>
      </c>
      <c r="H373">
        <v>1</v>
      </c>
      <c r="I373">
        <v>30</v>
      </c>
      <c r="J373" t="s">
        <v>21</v>
      </c>
      <c r="K373" t="s">
        <v>27</v>
      </c>
      <c r="L373">
        <v>30</v>
      </c>
    </row>
    <row r="374" spans="1:12" x14ac:dyDescent="0.3">
      <c r="A374">
        <v>219</v>
      </c>
      <c r="B374" t="s">
        <v>24</v>
      </c>
      <c r="C374" s="1">
        <v>45905</v>
      </c>
      <c r="D374" s="1" t="str">
        <f>TEXT(FMData[[#This Row],[Show_Date]],"mmm")</f>
        <v>Sep</v>
      </c>
      <c r="E374" s="1" t="str">
        <f>TEXT(FMData[[#This Row],[Show_Date]],"ddd")</f>
        <v>Fri</v>
      </c>
      <c r="F374" t="s">
        <v>16</v>
      </c>
      <c r="G374" t="s">
        <v>22</v>
      </c>
      <c r="H374">
        <v>4</v>
      </c>
      <c r="I374">
        <v>20</v>
      </c>
      <c r="J374" t="s">
        <v>13</v>
      </c>
      <c r="K374" t="s">
        <v>25</v>
      </c>
      <c r="L374">
        <v>80</v>
      </c>
    </row>
    <row r="375" spans="1:12" x14ac:dyDescent="0.3">
      <c r="A375">
        <v>1639</v>
      </c>
      <c r="B375" t="s">
        <v>24</v>
      </c>
      <c r="C375" s="1">
        <v>45849</v>
      </c>
      <c r="D375" s="1" t="str">
        <f>TEXT(FMData[[#This Row],[Show_Date]],"mmm")</f>
        <v>Jul</v>
      </c>
      <c r="E375" s="1" t="str">
        <f>TEXT(FMData[[#This Row],[Show_Date]],"ddd")</f>
        <v>Fri</v>
      </c>
      <c r="F375" t="s">
        <v>20</v>
      </c>
      <c r="G375" t="s">
        <v>17</v>
      </c>
      <c r="H375">
        <v>1</v>
      </c>
      <c r="I375">
        <v>12</v>
      </c>
      <c r="J375" t="s">
        <v>21</v>
      </c>
      <c r="K375" t="s">
        <v>18</v>
      </c>
      <c r="L375">
        <v>12</v>
      </c>
    </row>
    <row r="376" spans="1:12" x14ac:dyDescent="0.3">
      <c r="A376">
        <v>982</v>
      </c>
      <c r="B376" t="s">
        <v>19</v>
      </c>
      <c r="C376" s="1">
        <v>45881</v>
      </c>
      <c r="D376" s="1" t="str">
        <f>TEXT(FMData[[#This Row],[Show_Date]],"mmm")</f>
        <v>Aug</v>
      </c>
      <c r="E376" s="1" t="str">
        <f>TEXT(FMData[[#This Row],[Show_Date]],"ddd")</f>
        <v>Tue</v>
      </c>
      <c r="F376" t="s">
        <v>16</v>
      </c>
      <c r="G376" t="s">
        <v>17</v>
      </c>
      <c r="H376">
        <v>1</v>
      </c>
      <c r="I376">
        <v>12</v>
      </c>
      <c r="J376" t="s">
        <v>21</v>
      </c>
      <c r="K376" t="s">
        <v>25</v>
      </c>
      <c r="L376">
        <v>12</v>
      </c>
    </row>
    <row r="377" spans="1:12" x14ac:dyDescent="0.3">
      <c r="A377">
        <v>1432</v>
      </c>
      <c r="B377" t="s">
        <v>15</v>
      </c>
      <c r="C377" s="1">
        <v>45899</v>
      </c>
      <c r="D377" s="1" t="str">
        <f>TEXT(FMData[[#This Row],[Show_Date]],"mmm")</f>
        <v>Aug</v>
      </c>
      <c r="E377" s="1" t="str">
        <f>TEXT(FMData[[#This Row],[Show_Date]],"ddd")</f>
        <v>Sat</v>
      </c>
      <c r="F377" t="s">
        <v>20</v>
      </c>
      <c r="G377" t="s">
        <v>29</v>
      </c>
      <c r="H377">
        <v>5</v>
      </c>
      <c r="I377">
        <v>30</v>
      </c>
      <c r="J377" t="s">
        <v>23</v>
      </c>
      <c r="K377" t="s">
        <v>14</v>
      </c>
      <c r="L377">
        <v>150</v>
      </c>
    </row>
    <row r="378" spans="1:12" x14ac:dyDescent="0.3">
      <c r="A378">
        <v>523</v>
      </c>
      <c r="B378" t="s">
        <v>10</v>
      </c>
      <c r="C378" s="1">
        <v>45914</v>
      </c>
      <c r="D378" s="1" t="str">
        <f>TEXT(FMData[[#This Row],[Show_Date]],"mmm")</f>
        <v>Sep</v>
      </c>
      <c r="E378" s="1" t="str">
        <f>TEXT(FMData[[#This Row],[Show_Date]],"ddd")</f>
        <v>Sun</v>
      </c>
      <c r="F378" t="s">
        <v>16</v>
      </c>
      <c r="G378" t="s">
        <v>17</v>
      </c>
      <c r="H378">
        <v>3</v>
      </c>
      <c r="I378">
        <v>12</v>
      </c>
      <c r="J378" t="s">
        <v>23</v>
      </c>
      <c r="K378" t="s">
        <v>25</v>
      </c>
      <c r="L378">
        <v>36</v>
      </c>
    </row>
    <row r="379" spans="1:12" x14ac:dyDescent="0.3">
      <c r="A379">
        <v>1764</v>
      </c>
      <c r="B379" t="s">
        <v>10</v>
      </c>
      <c r="C379" s="1">
        <v>45886</v>
      </c>
      <c r="D379" s="1" t="str">
        <f>TEXT(FMData[[#This Row],[Show_Date]],"mmm")</f>
        <v>Aug</v>
      </c>
      <c r="E379" s="1" t="str">
        <f>TEXT(FMData[[#This Row],[Show_Date]],"ddd")</f>
        <v>Sun</v>
      </c>
      <c r="F379" t="s">
        <v>16</v>
      </c>
      <c r="G379" t="s">
        <v>17</v>
      </c>
      <c r="H379">
        <v>4</v>
      </c>
      <c r="I379">
        <v>12</v>
      </c>
      <c r="J379" t="s">
        <v>13</v>
      </c>
      <c r="K379" t="s">
        <v>18</v>
      </c>
      <c r="L379">
        <v>48</v>
      </c>
    </row>
    <row r="380" spans="1:12" x14ac:dyDescent="0.3">
      <c r="A380">
        <v>51</v>
      </c>
      <c r="B380" t="s">
        <v>10</v>
      </c>
      <c r="C380" s="1">
        <v>45922</v>
      </c>
      <c r="D380" s="1" t="str">
        <f>TEXT(FMData[[#This Row],[Show_Date]],"mmm")</f>
        <v>Sep</v>
      </c>
      <c r="E380" s="1" t="str">
        <f>TEXT(FMData[[#This Row],[Show_Date]],"ddd")</f>
        <v>Mon</v>
      </c>
      <c r="F380" t="s">
        <v>20</v>
      </c>
      <c r="G380" t="s">
        <v>17</v>
      </c>
      <c r="H380">
        <v>1</v>
      </c>
      <c r="I380">
        <v>12</v>
      </c>
      <c r="J380" t="s">
        <v>13</v>
      </c>
      <c r="K380" t="s">
        <v>18</v>
      </c>
      <c r="L380">
        <v>12</v>
      </c>
    </row>
    <row r="381" spans="1:12" x14ac:dyDescent="0.3">
      <c r="A381">
        <v>1595</v>
      </c>
      <c r="B381" t="s">
        <v>10</v>
      </c>
      <c r="C381" s="1">
        <v>45856</v>
      </c>
      <c r="D381" s="1" t="str">
        <f>TEXT(FMData[[#This Row],[Show_Date]],"mmm")</f>
        <v>Jul</v>
      </c>
      <c r="E381" s="1" t="str">
        <f>TEXT(FMData[[#This Row],[Show_Date]],"ddd")</f>
        <v>Fri</v>
      </c>
      <c r="F381" t="s">
        <v>20</v>
      </c>
      <c r="G381" t="s">
        <v>17</v>
      </c>
      <c r="H381">
        <v>4</v>
      </c>
      <c r="I381">
        <v>12</v>
      </c>
      <c r="J381" t="s">
        <v>13</v>
      </c>
      <c r="K381" t="s">
        <v>25</v>
      </c>
      <c r="L381">
        <v>48</v>
      </c>
    </row>
    <row r="382" spans="1:12" x14ac:dyDescent="0.3">
      <c r="A382">
        <v>110</v>
      </c>
      <c r="B382" t="s">
        <v>10</v>
      </c>
      <c r="C382" s="1">
        <v>45918</v>
      </c>
      <c r="D382" s="1" t="str">
        <f>TEXT(FMData[[#This Row],[Show_Date]],"mmm")</f>
        <v>Sep</v>
      </c>
      <c r="E382" s="1" t="str">
        <f>TEXT(FMData[[#This Row],[Show_Date]],"ddd")</f>
        <v>Thu</v>
      </c>
      <c r="F382" t="s">
        <v>20</v>
      </c>
      <c r="G382" t="s">
        <v>29</v>
      </c>
      <c r="H382">
        <v>5</v>
      </c>
      <c r="I382">
        <v>30</v>
      </c>
      <c r="J382" t="s">
        <v>23</v>
      </c>
      <c r="K382" t="s">
        <v>25</v>
      </c>
      <c r="L382">
        <v>150</v>
      </c>
    </row>
    <row r="383" spans="1:12" x14ac:dyDescent="0.3">
      <c r="A383">
        <v>350</v>
      </c>
      <c r="B383" t="s">
        <v>10</v>
      </c>
      <c r="C383" s="1">
        <v>45851</v>
      </c>
      <c r="D383" s="1" t="str">
        <f>TEXT(FMData[[#This Row],[Show_Date]],"mmm")</f>
        <v>Jul</v>
      </c>
      <c r="E383" s="1" t="str">
        <f>TEXT(FMData[[#This Row],[Show_Date]],"ddd")</f>
        <v>Sun</v>
      </c>
      <c r="F383" t="s">
        <v>16</v>
      </c>
      <c r="G383" t="s">
        <v>17</v>
      </c>
      <c r="H383">
        <v>4</v>
      </c>
      <c r="I383">
        <v>12</v>
      </c>
      <c r="J383" t="s">
        <v>21</v>
      </c>
      <c r="K383" t="s">
        <v>25</v>
      </c>
      <c r="L383">
        <v>48</v>
      </c>
    </row>
    <row r="384" spans="1:12" x14ac:dyDescent="0.3">
      <c r="A384">
        <v>1695</v>
      </c>
      <c r="B384" t="s">
        <v>15</v>
      </c>
      <c r="C384" s="1">
        <v>45893</v>
      </c>
      <c r="D384" s="1" t="str">
        <f>TEXT(FMData[[#This Row],[Show_Date]],"mmm")</f>
        <v>Aug</v>
      </c>
      <c r="E384" s="1" t="str">
        <f>TEXT(FMData[[#This Row],[Show_Date]],"ddd")</f>
        <v>Sun</v>
      </c>
      <c r="F384" t="s">
        <v>16</v>
      </c>
      <c r="G384" t="s">
        <v>17</v>
      </c>
      <c r="H384">
        <v>2</v>
      </c>
      <c r="I384">
        <v>12</v>
      </c>
      <c r="J384" t="s">
        <v>13</v>
      </c>
      <c r="K384" t="s">
        <v>25</v>
      </c>
      <c r="L384">
        <v>24</v>
      </c>
    </row>
    <row r="385" spans="1:12" x14ac:dyDescent="0.3">
      <c r="A385">
        <v>702</v>
      </c>
      <c r="B385" t="s">
        <v>19</v>
      </c>
      <c r="C385" s="1">
        <v>45851</v>
      </c>
      <c r="D385" s="1" t="str">
        <f>TEXT(FMData[[#This Row],[Show_Date]],"mmm")</f>
        <v>Jul</v>
      </c>
      <c r="E385" s="1" t="str">
        <f>TEXT(FMData[[#This Row],[Show_Date]],"ddd")</f>
        <v>Sun</v>
      </c>
      <c r="F385" t="s">
        <v>11</v>
      </c>
      <c r="G385" t="s">
        <v>29</v>
      </c>
      <c r="H385">
        <v>1</v>
      </c>
      <c r="I385">
        <v>30</v>
      </c>
      <c r="J385" t="s">
        <v>23</v>
      </c>
      <c r="K385" t="s">
        <v>27</v>
      </c>
      <c r="L385">
        <v>30</v>
      </c>
    </row>
    <row r="386" spans="1:12" x14ac:dyDescent="0.3">
      <c r="A386">
        <v>866</v>
      </c>
      <c r="B386" t="s">
        <v>24</v>
      </c>
      <c r="C386" s="1">
        <v>45866</v>
      </c>
      <c r="D386" s="1" t="str">
        <f>TEXT(FMData[[#This Row],[Show_Date]],"mmm")</f>
        <v>Jul</v>
      </c>
      <c r="E386" s="1" t="str">
        <f>TEXT(FMData[[#This Row],[Show_Date]],"ddd")</f>
        <v>Mon</v>
      </c>
      <c r="F386" t="s">
        <v>11</v>
      </c>
      <c r="G386" t="s">
        <v>12</v>
      </c>
      <c r="H386">
        <v>5</v>
      </c>
      <c r="I386">
        <v>25</v>
      </c>
      <c r="J386" t="s">
        <v>13</v>
      </c>
      <c r="K386" t="s">
        <v>25</v>
      </c>
      <c r="L386">
        <v>125</v>
      </c>
    </row>
    <row r="387" spans="1:12" x14ac:dyDescent="0.3">
      <c r="A387">
        <v>835</v>
      </c>
      <c r="B387" t="s">
        <v>24</v>
      </c>
      <c r="C387" s="1">
        <v>45888</v>
      </c>
      <c r="D387" s="1" t="str">
        <f>TEXT(FMData[[#This Row],[Show_Date]],"mmm")</f>
        <v>Aug</v>
      </c>
      <c r="E387" s="1" t="str">
        <f>TEXT(FMData[[#This Row],[Show_Date]],"ddd")</f>
        <v>Tue</v>
      </c>
      <c r="F387" t="s">
        <v>11</v>
      </c>
      <c r="G387" t="s">
        <v>17</v>
      </c>
      <c r="H387">
        <v>3</v>
      </c>
      <c r="I387">
        <v>12</v>
      </c>
      <c r="J387" t="s">
        <v>13</v>
      </c>
      <c r="K387" t="s">
        <v>27</v>
      </c>
      <c r="L387">
        <v>36</v>
      </c>
    </row>
    <row r="388" spans="1:12" x14ac:dyDescent="0.3">
      <c r="A388">
        <v>1417</v>
      </c>
      <c r="B388" t="s">
        <v>24</v>
      </c>
      <c r="C388" s="1">
        <v>45898</v>
      </c>
      <c r="D388" s="1" t="str">
        <f>TEXT(FMData[[#This Row],[Show_Date]],"mmm")</f>
        <v>Aug</v>
      </c>
      <c r="E388" s="1" t="str">
        <f>TEXT(FMData[[#This Row],[Show_Date]],"ddd")</f>
        <v>Fri</v>
      </c>
      <c r="F388" t="s">
        <v>11</v>
      </c>
      <c r="G388" t="s">
        <v>17</v>
      </c>
      <c r="H388">
        <v>2</v>
      </c>
      <c r="I388">
        <v>12</v>
      </c>
      <c r="J388" t="s">
        <v>23</v>
      </c>
      <c r="K388" t="s">
        <v>18</v>
      </c>
      <c r="L388">
        <v>24</v>
      </c>
    </row>
    <row r="389" spans="1:12" x14ac:dyDescent="0.3">
      <c r="A389">
        <v>83</v>
      </c>
      <c r="B389" t="s">
        <v>15</v>
      </c>
      <c r="C389" s="1">
        <v>45892</v>
      </c>
      <c r="D389" s="1" t="str">
        <f>TEXT(FMData[[#This Row],[Show_Date]],"mmm")</f>
        <v>Aug</v>
      </c>
      <c r="E389" s="1" t="str">
        <f>TEXT(FMData[[#This Row],[Show_Date]],"ddd")</f>
        <v>Sat</v>
      </c>
      <c r="F389" t="s">
        <v>11</v>
      </c>
      <c r="G389" t="s">
        <v>17</v>
      </c>
      <c r="H389">
        <v>4</v>
      </c>
      <c r="I389">
        <v>12</v>
      </c>
      <c r="J389" t="s">
        <v>13</v>
      </c>
      <c r="K389" t="s">
        <v>18</v>
      </c>
      <c r="L389">
        <v>48</v>
      </c>
    </row>
    <row r="390" spans="1:12" x14ac:dyDescent="0.3">
      <c r="A390">
        <v>1770</v>
      </c>
      <c r="B390" t="s">
        <v>15</v>
      </c>
      <c r="C390" s="1">
        <v>45866</v>
      </c>
      <c r="D390" s="1" t="str">
        <f>TEXT(FMData[[#This Row],[Show_Date]],"mmm")</f>
        <v>Jul</v>
      </c>
      <c r="E390" s="1" t="str">
        <f>TEXT(FMData[[#This Row],[Show_Date]],"ddd")</f>
        <v>Mon</v>
      </c>
      <c r="F390" t="s">
        <v>11</v>
      </c>
      <c r="G390" t="s">
        <v>17</v>
      </c>
      <c r="H390">
        <v>3</v>
      </c>
      <c r="I390">
        <v>12</v>
      </c>
      <c r="J390" t="s">
        <v>13</v>
      </c>
      <c r="K390" t="s">
        <v>25</v>
      </c>
      <c r="L390">
        <v>36</v>
      </c>
    </row>
    <row r="391" spans="1:12" x14ac:dyDescent="0.3">
      <c r="A391">
        <v>1706</v>
      </c>
      <c r="B391" t="s">
        <v>19</v>
      </c>
      <c r="C391" s="1">
        <v>45907</v>
      </c>
      <c r="D391" s="1" t="str">
        <f>TEXT(FMData[[#This Row],[Show_Date]],"mmm")</f>
        <v>Sep</v>
      </c>
      <c r="E391" s="1" t="str">
        <f>TEXT(FMData[[#This Row],[Show_Date]],"ddd")</f>
        <v>Sun</v>
      </c>
      <c r="F391" t="s">
        <v>11</v>
      </c>
      <c r="G391" t="s">
        <v>22</v>
      </c>
      <c r="H391">
        <v>5</v>
      </c>
      <c r="I391">
        <v>20</v>
      </c>
      <c r="J391" t="s">
        <v>13</v>
      </c>
      <c r="K391" t="s">
        <v>18</v>
      </c>
      <c r="L391">
        <v>100</v>
      </c>
    </row>
    <row r="392" spans="1:12" x14ac:dyDescent="0.3">
      <c r="A392">
        <v>206</v>
      </c>
      <c r="B392" t="s">
        <v>15</v>
      </c>
      <c r="C392" s="1">
        <v>45879</v>
      </c>
      <c r="D392" s="1" t="str">
        <f>TEXT(FMData[[#This Row],[Show_Date]],"mmm")</f>
        <v>Aug</v>
      </c>
      <c r="E392" s="1" t="str">
        <f>TEXT(FMData[[#This Row],[Show_Date]],"ddd")</f>
        <v>Sun</v>
      </c>
      <c r="F392" t="s">
        <v>11</v>
      </c>
      <c r="G392" t="s">
        <v>29</v>
      </c>
      <c r="H392">
        <v>5</v>
      </c>
      <c r="I392">
        <v>30</v>
      </c>
      <c r="J392" t="s">
        <v>13</v>
      </c>
      <c r="K392" t="s">
        <v>27</v>
      </c>
      <c r="L392">
        <v>150</v>
      </c>
    </row>
    <row r="393" spans="1:12" x14ac:dyDescent="0.3">
      <c r="A393">
        <v>1230</v>
      </c>
      <c r="B393" t="s">
        <v>32</v>
      </c>
      <c r="C393" s="1">
        <v>45864</v>
      </c>
      <c r="D393" s="1" t="str">
        <f>TEXT(FMData[[#This Row],[Show_Date]],"mmm")</f>
        <v>Jul</v>
      </c>
      <c r="E393" s="1" t="str">
        <f>TEXT(FMData[[#This Row],[Show_Date]],"ddd")</f>
        <v>Sat</v>
      </c>
      <c r="F393" t="s">
        <v>11</v>
      </c>
      <c r="G393" t="s">
        <v>17</v>
      </c>
      <c r="H393">
        <v>3</v>
      </c>
      <c r="I393">
        <v>12</v>
      </c>
      <c r="J393" t="s">
        <v>23</v>
      </c>
      <c r="K393" t="s">
        <v>25</v>
      </c>
      <c r="L393">
        <v>36</v>
      </c>
    </row>
    <row r="394" spans="1:12" x14ac:dyDescent="0.3">
      <c r="A394">
        <v>1527</v>
      </c>
      <c r="B394" t="s">
        <v>28</v>
      </c>
      <c r="C394" s="1">
        <v>45873</v>
      </c>
      <c r="D394" s="1" t="str">
        <f>TEXT(FMData[[#This Row],[Show_Date]],"mmm")</f>
        <v>Aug</v>
      </c>
      <c r="E394" s="1" t="str">
        <f>TEXT(FMData[[#This Row],[Show_Date]],"ddd")</f>
        <v>Mon</v>
      </c>
      <c r="F394" t="s">
        <v>11</v>
      </c>
      <c r="G394" t="s">
        <v>29</v>
      </c>
      <c r="H394">
        <v>2</v>
      </c>
      <c r="I394">
        <v>30</v>
      </c>
      <c r="J394" t="s">
        <v>21</v>
      </c>
      <c r="K394" t="s">
        <v>14</v>
      </c>
      <c r="L394">
        <v>60</v>
      </c>
    </row>
    <row r="395" spans="1:12" x14ac:dyDescent="0.3">
      <c r="A395">
        <v>161</v>
      </c>
      <c r="B395" t="s">
        <v>28</v>
      </c>
      <c r="C395" s="1">
        <v>45889</v>
      </c>
      <c r="D395" s="1" t="str">
        <f>TEXT(FMData[[#This Row],[Show_Date]],"mmm")</f>
        <v>Aug</v>
      </c>
      <c r="E395" s="1" t="str">
        <f>TEXT(FMData[[#This Row],[Show_Date]],"ddd")</f>
        <v>Wed</v>
      </c>
      <c r="F395" t="s">
        <v>11</v>
      </c>
      <c r="G395" t="s">
        <v>30</v>
      </c>
      <c r="H395">
        <v>4</v>
      </c>
      <c r="I395">
        <v>8</v>
      </c>
      <c r="J395" t="s">
        <v>21</v>
      </c>
      <c r="K395" t="s">
        <v>14</v>
      </c>
      <c r="L395">
        <v>32</v>
      </c>
    </row>
    <row r="396" spans="1:12" x14ac:dyDescent="0.3">
      <c r="A396">
        <v>1161</v>
      </c>
      <c r="B396" t="s">
        <v>19</v>
      </c>
      <c r="C396" s="1">
        <v>45872</v>
      </c>
      <c r="D396" s="1" t="str">
        <f>TEXT(FMData[[#This Row],[Show_Date]],"mmm")</f>
        <v>Aug</v>
      </c>
      <c r="E396" s="1" t="str">
        <f>TEXT(FMData[[#This Row],[Show_Date]],"ddd")</f>
        <v>Sun</v>
      </c>
      <c r="F396" t="s">
        <v>11</v>
      </c>
      <c r="G396" t="s">
        <v>17</v>
      </c>
      <c r="H396">
        <v>2</v>
      </c>
      <c r="I396">
        <v>12</v>
      </c>
      <c r="J396" t="s">
        <v>13</v>
      </c>
      <c r="K396" t="s">
        <v>18</v>
      </c>
      <c r="L396">
        <v>24</v>
      </c>
    </row>
    <row r="397" spans="1:12" x14ac:dyDescent="0.3">
      <c r="A397">
        <v>1097</v>
      </c>
      <c r="B397" t="s">
        <v>26</v>
      </c>
      <c r="C397" s="1">
        <v>45922</v>
      </c>
      <c r="D397" s="1" t="str">
        <f>TEXT(FMData[[#This Row],[Show_Date]],"mmm")</f>
        <v>Sep</v>
      </c>
      <c r="E397" s="1" t="str">
        <f>TEXT(FMData[[#This Row],[Show_Date]],"ddd")</f>
        <v>Mon</v>
      </c>
      <c r="F397" t="s">
        <v>11</v>
      </c>
      <c r="G397" t="s">
        <v>29</v>
      </c>
      <c r="H397">
        <v>1</v>
      </c>
      <c r="I397">
        <v>30</v>
      </c>
      <c r="J397" t="s">
        <v>23</v>
      </c>
      <c r="K397" t="s">
        <v>25</v>
      </c>
      <c r="L397">
        <v>30</v>
      </c>
    </row>
    <row r="398" spans="1:12" x14ac:dyDescent="0.3">
      <c r="A398">
        <v>810</v>
      </c>
      <c r="B398" t="s">
        <v>15</v>
      </c>
      <c r="C398" s="1">
        <v>45857</v>
      </c>
      <c r="D398" s="1" t="str">
        <f>TEXT(FMData[[#This Row],[Show_Date]],"mmm")</f>
        <v>Jul</v>
      </c>
      <c r="E398" s="1" t="str">
        <f>TEXT(FMData[[#This Row],[Show_Date]],"ddd")</f>
        <v>Sat</v>
      </c>
      <c r="F398" t="s">
        <v>11</v>
      </c>
      <c r="G398" t="s">
        <v>30</v>
      </c>
      <c r="H398">
        <v>1</v>
      </c>
      <c r="I398">
        <v>8</v>
      </c>
      <c r="J398" t="s">
        <v>13</v>
      </c>
      <c r="K398" t="s">
        <v>18</v>
      </c>
      <c r="L398">
        <v>8</v>
      </c>
    </row>
    <row r="399" spans="1:12" x14ac:dyDescent="0.3">
      <c r="A399">
        <v>1901</v>
      </c>
      <c r="B399" t="s">
        <v>31</v>
      </c>
      <c r="C399" s="1">
        <v>45902</v>
      </c>
      <c r="D399" s="1" t="str">
        <f>TEXT(FMData[[#This Row],[Show_Date]],"mmm")</f>
        <v>Sep</v>
      </c>
      <c r="E399" s="1" t="str">
        <f>TEXT(FMData[[#This Row],[Show_Date]],"ddd")</f>
        <v>Tue</v>
      </c>
      <c r="F399" t="s">
        <v>11</v>
      </c>
      <c r="G399" t="s">
        <v>17</v>
      </c>
      <c r="H399">
        <v>5</v>
      </c>
      <c r="I399">
        <v>12</v>
      </c>
      <c r="J399" t="s">
        <v>21</v>
      </c>
      <c r="K399" t="s">
        <v>18</v>
      </c>
      <c r="L399">
        <v>60</v>
      </c>
    </row>
    <row r="400" spans="1:12" x14ac:dyDescent="0.3">
      <c r="A400">
        <v>17</v>
      </c>
      <c r="B400" t="s">
        <v>31</v>
      </c>
      <c r="C400" s="1">
        <v>45850</v>
      </c>
      <c r="D400" s="1" t="str">
        <f>TEXT(FMData[[#This Row],[Show_Date]],"mmm")</f>
        <v>Jul</v>
      </c>
      <c r="E400" s="1" t="str">
        <f>TEXT(FMData[[#This Row],[Show_Date]],"ddd")</f>
        <v>Sat</v>
      </c>
      <c r="F400" t="s">
        <v>11</v>
      </c>
      <c r="G400" t="s">
        <v>17</v>
      </c>
      <c r="H400">
        <v>5</v>
      </c>
      <c r="I400">
        <v>12</v>
      </c>
      <c r="J400" t="s">
        <v>13</v>
      </c>
      <c r="K400" t="s">
        <v>14</v>
      </c>
      <c r="L400">
        <v>60</v>
      </c>
    </row>
    <row r="401" spans="1:12" x14ac:dyDescent="0.3">
      <c r="A401">
        <v>636</v>
      </c>
      <c r="B401" t="s">
        <v>26</v>
      </c>
      <c r="C401" s="1">
        <v>45887</v>
      </c>
      <c r="D401" s="1" t="str">
        <f>TEXT(FMData[[#This Row],[Show_Date]],"mmm")</f>
        <v>Aug</v>
      </c>
      <c r="E401" s="1" t="str">
        <f>TEXT(FMData[[#This Row],[Show_Date]],"ddd")</f>
        <v>Mon</v>
      </c>
      <c r="F401" t="s">
        <v>20</v>
      </c>
      <c r="G401" t="s">
        <v>30</v>
      </c>
      <c r="H401">
        <v>1</v>
      </c>
      <c r="I401">
        <v>8</v>
      </c>
      <c r="J401" t="s">
        <v>23</v>
      </c>
      <c r="K401" t="s">
        <v>14</v>
      </c>
      <c r="L401">
        <v>8</v>
      </c>
    </row>
    <row r="402" spans="1:12" x14ac:dyDescent="0.3">
      <c r="A402">
        <v>1356</v>
      </c>
      <c r="B402" t="s">
        <v>31</v>
      </c>
      <c r="C402" s="1">
        <v>45912</v>
      </c>
      <c r="D402" s="1" t="str">
        <f>TEXT(FMData[[#This Row],[Show_Date]],"mmm")</f>
        <v>Sep</v>
      </c>
      <c r="E402" s="1" t="str">
        <f>TEXT(FMData[[#This Row],[Show_Date]],"ddd")</f>
        <v>Fri</v>
      </c>
      <c r="F402" t="s">
        <v>11</v>
      </c>
      <c r="G402" t="s">
        <v>17</v>
      </c>
      <c r="H402">
        <v>2</v>
      </c>
      <c r="I402">
        <v>12</v>
      </c>
      <c r="J402" t="s">
        <v>23</v>
      </c>
      <c r="K402" t="s">
        <v>14</v>
      </c>
      <c r="L402">
        <v>24</v>
      </c>
    </row>
    <row r="403" spans="1:12" x14ac:dyDescent="0.3">
      <c r="A403">
        <v>1185</v>
      </c>
      <c r="B403" t="s">
        <v>19</v>
      </c>
      <c r="C403" s="1">
        <v>45873</v>
      </c>
      <c r="D403" s="1" t="str">
        <f>TEXT(FMData[[#This Row],[Show_Date]],"mmm")</f>
        <v>Aug</v>
      </c>
      <c r="E403" s="1" t="str">
        <f>TEXT(FMData[[#This Row],[Show_Date]],"ddd")</f>
        <v>Mon</v>
      </c>
      <c r="F403" t="s">
        <v>16</v>
      </c>
      <c r="G403" t="s">
        <v>12</v>
      </c>
      <c r="H403">
        <v>1</v>
      </c>
      <c r="I403">
        <v>25</v>
      </c>
      <c r="J403" t="s">
        <v>23</v>
      </c>
      <c r="K403" t="s">
        <v>14</v>
      </c>
      <c r="L403">
        <v>25</v>
      </c>
    </row>
    <row r="404" spans="1:12" x14ac:dyDescent="0.3">
      <c r="A404">
        <v>1582</v>
      </c>
      <c r="B404" t="s">
        <v>26</v>
      </c>
      <c r="C404" s="1">
        <v>45919</v>
      </c>
      <c r="D404" s="1" t="str">
        <f>TEXT(FMData[[#This Row],[Show_Date]],"mmm")</f>
        <v>Sep</v>
      </c>
      <c r="E404" s="1" t="str">
        <f>TEXT(FMData[[#This Row],[Show_Date]],"ddd")</f>
        <v>Fri</v>
      </c>
      <c r="F404" t="s">
        <v>33</v>
      </c>
      <c r="G404" t="s">
        <v>22</v>
      </c>
      <c r="H404">
        <v>3</v>
      </c>
      <c r="I404">
        <v>20</v>
      </c>
      <c r="J404" t="s">
        <v>23</v>
      </c>
      <c r="K404" t="s">
        <v>25</v>
      </c>
      <c r="L404">
        <v>60</v>
      </c>
    </row>
    <row r="405" spans="1:12" x14ac:dyDescent="0.3">
      <c r="A405">
        <v>369</v>
      </c>
      <c r="B405" t="s">
        <v>32</v>
      </c>
      <c r="C405" s="1">
        <v>45882</v>
      </c>
      <c r="D405" s="1" t="str">
        <f>TEXT(FMData[[#This Row],[Show_Date]],"mmm")</f>
        <v>Aug</v>
      </c>
      <c r="E405" s="1" t="str">
        <f>TEXT(FMData[[#This Row],[Show_Date]],"ddd")</f>
        <v>Wed</v>
      </c>
      <c r="F405" t="s">
        <v>33</v>
      </c>
      <c r="G405" t="s">
        <v>17</v>
      </c>
      <c r="H405">
        <v>3</v>
      </c>
      <c r="I405">
        <v>12</v>
      </c>
      <c r="J405" t="s">
        <v>13</v>
      </c>
      <c r="K405" t="s">
        <v>25</v>
      </c>
      <c r="L405">
        <v>36</v>
      </c>
    </row>
    <row r="406" spans="1:12" x14ac:dyDescent="0.3">
      <c r="A406">
        <v>1773</v>
      </c>
      <c r="B406" t="s">
        <v>24</v>
      </c>
      <c r="C406" s="1">
        <v>45840</v>
      </c>
      <c r="D406" s="1" t="str">
        <f>TEXT(FMData[[#This Row],[Show_Date]],"mmm")</f>
        <v>Jul</v>
      </c>
      <c r="E406" s="1" t="str">
        <f>TEXT(FMData[[#This Row],[Show_Date]],"ddd")</f>
        <v>Wed</v>
      </c>
      <c r="F406" t="s">
        <v>16</v>
      </c>
      <c r="G406" t="s">
        <v>17</v>
      </c>
      <c r="H406">
        <v>4</v>
      </c>
      <c r="I406">
        <v>12</v>
      </c>
      <c r="J406" t="s">
        <v>23</v>
      </c>
      <c r="K406" t="s">
        <v>14</v>
      </c>
      <c r="L406">
        <v>48</v>
      </c>
    </row>
    <row r="407" spans="1:12" x14ac:dyDescent="0.3">
      <c r="A407">
        <v>79</v>
      </c>
      <c r="B407" t="s">
        <v>28</v>
      </c>
      <c r="C407" s="1">
        <v>45857</v>
      </c>
      <c r="D407" s="1" t="str">
        <f>TEXT(FMData[[#This Row],[Show_Date]],"mmm")</f>
        <v>Jul</v>
      </c>
      <c r="E407" s="1" t="str">
        <f>TEXT(FMData[[#This Row],[Show_Date]],"ddd")</f>
        <v>Sat</v>
      </c>
      <c r="F407" t="s">
        <v>11</v>
      </c>
      <c r="G407" t="s">
        <v>29</v>
      </c>
      <c r="H407">
        <v>5</v>
      </c>
      <c r="I407">
        <v>30</v>
      </c>
      <c r="J407" t="s">
        <v>23</v>
      </c>
      <c r="K407" t="s">
        <v>14</v>
      </c>
      <c r="L407">
        <v>150</v>
      </c>
    </row>
    <row r="408" spans="1:12" x14ac:dyDescent="0.3">
      <c r="A408">
        <v>667</v>
      </c>
      <c r="B408" t="s">
        <v>10</v>
      </c>
      <c r="C408" s="1">
        <v>45898</v>
      </c>
      <c r="D408" s="1" t="str">
        <f>TEXT(FMData[[#This Row],[Show_Date]],"mmm")</f>
        <v>Aug</v>
      </c>
      <c r="E408" s="1" t="str">
        <f>TEXT(FMData[[#This Row],[Show_Date]],"ddd")</f>
        <v>Fri</v>
      </c>
      <c r="F408" t="s">
        <v>16</v>
      </c>
      <c r="G408" t="s">
        <v>17</v>
      </c>
      <c r="H408">
        <v>1</v>
      </c>
      <c r="I408">
        <v>12</v>
      </c>
      <c r="J408" t="s">
        <v>21</v>
      </c>
      <c r="K408" t="s">
        <v>14</v>
      </c>
      <c r="L408">
        <v>12</v>
      </c>
    </row>
    <row r="409" spans="1:12" x14ac:dyDescent="0.3">
      <c r="A409">
        <v>515</v>
      </c>
      <c r="B409" t="s">
        <v>26</v>
      </c>
      <c r="C409" s="1">
        <v>45885</v>
      </c>
      <c r="D409" s="1" t="str">
        <f>TEXT(FMData[[#This Row],[Show_Date]],"mmm")</f>
        <v>Aug</v>
      </c>
      <c r="E409" s="1" t="str">
        <f>TEXT(FMData[[#This Row],[Show_Date]],"ddd")</f>
        <v>Sat</v>
      </c>
      <c r="F409" t="s">
        <v>33</v>
      </c>
      <c r="G409" t="s">
        <v>12</v>
      </c>
      <c r="H409">
        <v>5</v>
      </c>
      <c r="I409">
        <v>25</v>
      </c>
      <c r="J409" t="s">
        <v>21</v>
      </c>
      <c r="K409" t="s">
        <v>14</v>
      </c>
      <c r="L409">
        <v>125</v>
      </c>
    </row>
    <row r="410" spans="1:12" x14ac:dyDescent="0.3">
      <c r="A410">
        <v>397</v>
      </c>
      <c r="B410" t="s">
        <v>19</v>
      </c>
      <c r="C410" s="1">
        <v>45864</v>
      </c>
      <c r="D410" s="1" t="str">
        <f>TEXT(FMData[[#This Row],[Show_Date]],"mmm")</f>
        <v>Jul</v>
      </c>
      <c r="E410" s="1" t="str">
        <f>TEXT(FMData[[#This Row],[Show_Date]],"ddd")</f>
        <v>Sat</v>
      </c>
      <c r="F410" t="s">
        <v>16</v>
      </c>
      <c r="G410" t="s">
        <v>17</v>
      </c>
      <c r="H410">
        <v>5</v>
      </c>
      <c r="I410">
        <v>12</v>
      </c>
      <c r="J410" t="s">
        <v>23</v>
      </c>
      <c r="K410" t="s">
        <v>18</v>
      </c>
      <c r="L410">
        <v>60</v>
      </c>
    </row>
    <row r="411" spans="1:12" x14ac:dyDescent="0.3">
      <c r="A411">
        <v>168</v>
      </c>
      <c r="B411" t="s">
        <v>28</v>
      </c>
      <c r="C411" s="1">
        <v>45885</v>
      </c>
      <c r="D411" s="1" t="str">
        <f>TEXT(FMData[[#This Row],[Show_Date]],"mmm")</f>
        <v>Aug</v>
      </c>
      <c r="E411" s="1" t="str">
        <f>TEXT(FMData[[#This Row],[Show_Date]],"ddd")</f>
        <v>Sat</v>
      </c>
      <c r="F411" t="s">
        <v>11</v>
      </c>
      <c r="G411" t="s">
        <v>17</v>
      </c>
      <c r="H411">
        <v>3</v>
      </c>
      <c r="I411">
        <v>12</v>
      </c>
      <c r="J411" t="s">
        <v>13</v>
      </c>
      <c r="K411" t="s">
        <v>27</v>
      </c>
      <c r="L411">
        <v>36</v>
      </c>
    </row>
    <row r="412" spans="1:12" x14ac:dyDescent="0.3">
      <c r="A412">
        <v>1200</v>
      </c>
      <c r="B412" t="s">
        <v>15</v>
      </c>
      <c r="C412" s="1">
        <v>45862</v>
      </c>
      <c r="D412" s="1" t="str">
        <f>TEXT(FMData[[#This Row],[Show_Date]],"mmm")</f>
        <v>Jul</v>
      </c>
      <c r="E412" s="1" t="str">
        <f>TEXT(FMData[[#This Row],[Show_Date]],"ddd")</f>
        <v>Thu</v>
      </c>
      <c r="F412" t="s">
        <v>16</v>
      </c>
      <c r="G412" t="s">
        <v>17</v>
      </c>
      <c r="H412">
        <v>3</v>
      </c>
      <c r="I412">
        <v>12</v>
      </c>
      <c r="J412" t="s">
        <v>23</v>
      </c>
      <c r="K412" t="s">
        <v>18</v>
      </c>
      <c r="L412">
        <v>36</v>
      </c>
    </row>
    <row r="413" spans="1:12" x14ac:dyDescent="0.3">
      <c r="A413">
        <v>871</v>
      </c>
      <c r="B413" t="s">
        <v>15</v>
      </c>
      <c r="C413" s="1">
        <v>45911</v>
      </c>
      <c r="D413" s="1" t="str">
        <f>TEXT(FMData[[#This Row],[Show_Date]],"mmm")</f>
        <v>Sep</v>
      </c>
      <c r="E413" s="1" t="str">
        <f>TEXT(FMData[[#This Row],[Show_Date]],"ddd")</f>
        <v>Thu</v>
      </c>
      <c r="F413" t="s">
        <v>16</v>
      </c>
      <c r="G413" t="s">
        <v>22</v>
      </c>
      <c r="H413">
        <v>5</v>
      </c>
      <c r="I413">
        <v>20</v>
      </c>
      <c r="J413" t="s">
        <v>23</v>
      </c>
      <c r="K413" t="s">
        <v>27</v>
      </c>
      <c r="L413">
        <v>100</v>
      </c>
    </row>
    <row r="414" spans="1:12" x14ac:dyDescent="0.3">
      <c r="A414">
        <v>1102</v>
      </c>
      <c r="B414" t="s">
        <v>26</v>
      </c>
      <c r="C414" s="1">
        <v>45882</v>
      </c>
      <c r="D414" s="1" t="str">
        <f>TEXT(FMData[[#This Row],[Show_Date]],"mmm")</f>
        <v>Aug</v>
      </c>
      <c r="E414" s="1" t="str">
        <f>TEXT(FMData[[#This Row],[Show_Date]],"ddd")</f>
        <v>Wed</v>
      </c>
      <c r="F414" t="s">
        <v>16</v>
      </c>
      <c r="G414" t="s">
        <v>30</v>
      </c>
      <c r="H414">
        <v>2</v>
      </c>
      <c r="I414">
        <v>8</v>
      </c>
      <c r="J414" t="s">
        <v>23</v>
      </c>
      <c r="K414" t="s">
        <v>27</v>
      </c>
      <c r="L414">
        <v>16</v>
      </c>
    </row>
    <row r="415" spans="1:12" x14ac:dyDescent="0.3">
      <c r="A415">
        <v>1820</v>
      </c>
      <c r="B415" t="s">
        <v>32</v>
      </c>
      <c r="C415" s="1">
        <v>45878</v>
      </c>
      <c r="D415" s="1" t="str">
        <f>TEXT(FMData[[#This Row],[Show_Date]],"mmm")</f>
        <v>Aug</v>
      </c>
      <c r="E415" s="1" t="str">
        <f>TEXT(FMData[[#This Row],[Show_Date]],"ddd")</f>
        <v>Sat</v>
      </c>
      <c r="F415" t="s">
        <v>16</v>
      </c>
      <c r="G415" t="s">
        <v>17</v>
      </c>
      <c r="H415">
        <v>4</v>
      </c>
      <c r="I415">
        <v>12</v>
      </c>
      <c r="J415" t="s">
        <v>21</v>
      </c>
      <c r="K415" t="s">
        <v>14</v>
      </c>
      <c r="L415">
        <v>48</v>
      </c>
    </row>
    <row r="416" spans="1:12" x14ac:dyDescent="0.3">
      <c r="A416">
        <v>1148</v>
      </c>
      <c r="B416" t="s">
        <v>26</v>
      </c>
      <c r="C416" s="1">
        <v>45921</v>
      </c>
      <c r="D416" s="1" t="str">
        <f>TEXT(FMData[[#This Row],[Show_Date]],"mmm")</f>
        <v>Sep</v>
      </c>
      <c r="E416" s="1" t="str">
        <f>TEXT(FMData[[#This Row],[Show_Date]],"ddd")</f>
        <v>Sun</v>
      </c>
      <c r="F416" t="s">
        <v>16</v>
      </c>
      <c r="G416" t="s">
        <v>30</v>
      </c>
      <c r="H416">
        <v>5</v>
      </c>
      <c r="I416">
        <v>8</v>
      </c>
      <c r="J416" t="s">
        <v>13</v>
      </c>
      <c r="K416" t="s">
        <v>25</v>
      </c>
      <c r="L416">
        <v>40</v>
      </c>
    </row>
    <row r="417" spans="1:12" x14ac:dyDescent="0.3">
      <c r="A417">
        <v>1158</v>
      </c>
      <c r="B417" t="s">
        <v>24</v>
      </c>
      <c r="C417" s="1">
        <v>45913</v>
      </c>
      <c r="D417" s="1" t="str">
        <f>TEXT(FMData[[#This Row],[Show_Date]],"mmm")</f>
        <v>Sep</v>
      </c>
      <c r="E417" s="1" t="str">
        <f>TEXT(FMData[[#This Row],[Show_Date]],"ddd")</f>
        <v>Sat</v>
      </c>
      <c r="F417" t="s">
        <v>16</v>
      </c>
      <c r="G417" t="s">
        <v>17</v>
      </c>
      <c r="H417">
        <v>2</v>
      </c>
      <c r="I417">
        <v>12</v>
      </c>
      <c r="J417" t="s">
        <v>13</v>
      </c>
      <c r="K417" t="s">
        <v>27</v>
      </c>
      <c r="L417">
        <v>24</v>
      </c>
    </row>
    <row r="418" spans="1:12" x14ac:dyDescent="0.3">
      <c r="A418">
        <v>1547</v>
      </c>
      <c r="B418" t="s">
        <v>19</v>
      </c>
      <c r="C418" s="1">
        <v>45871</v>
      </c>
      <c r="D418" s="1" t="str">
        <f>TEXT(FMData[[#This Row],[Show_Date]],"mmm")</f>
        <v>Aug</v>
      </c>
      <c r="E418" s="1" t="str">
        <f>TEXT(FMData[[#This Row],[Show_Date]],"ddd")</f>
        <v>Sat</v>
      </c>
      <c r="F418" t="s">
        <v>16</v>
      </c>
      <c r="G418" t="s">
        <v>17</v>
      </c>
      <c r="H418">
        <v>2</v>
      </c>
      <c r="I418">
        <v>12</v>
      </c>
      <c r="J418" t="s">
        <v>21</v>
      </c>
      <c r="K418" t="s">
        <v>14</v>
      </c>
      <c r="L418">
        <v>24</v>
      </c>
    </row>
    <row r="419" spans="1:12" x14ac:dyDescent="0.3">
      <c r="A419">
        <v>1325</v>
      </c>
      <c r="B419" t="s">
        <v>15</v>
      </c>
      <c r="C419" s="1">
        <v>45900</v>
      </c>
      <c r="D419" s="1" t="str">
        <f>TEXT(FMData[[#This Row],[Show_Date]],"mmm")</f>
        <v>Aug</v>
      </c>
      <c r="E419" s="1" t="str">
        <f>TEXT(FMData[[#This Row],[Show_Date]],"ddd")</f>
        <v>Sun</v>
      </c>
      <c r="F419" t="s">
        <v>16</v>
      </c>
      <c r="G419" t="s">
        <v>30</v>
      </c>
      <c r="H419">
        <v>2</v>
      </c>
      <c r="I419">
        <v>8</v>
      </c>
      <c r="J419" t="s">
        <v>13</v>
      </c>
      <c r="K419" t="s">
        <v>14</v>
      </c>
      <c r="L419">
        <v>16</v>
      </c>
    </row>
    <row r="420" spans="1:12" x14ac:dyDescent="0.3">
      <c r="A420">
        <v>876</v>
      </c>
      <c r="B420" t="s">
        <v>32</v>
      </c>
      <c r="C420" s="1">
        <v>45908</v>
      </c>
      <c r="D420" s="1" t="str">
        <f>TEXT(FMData[[#This Row],[Show_Date]],"mmm")</f>
        <v>Sep</v>
      </c>
      <c r="E420" s="1" t="str">
        <f>TEXT(FMData[[#This Row],[Show_Date]],"ddd")</f>
        <v>Mon</v>
      </c>
      <c r="F420" t="s">
        <v>16</v>
      </c>
      <c r="G420" t="s">
        <v>17</v>
      </c>
      <c r="H420">
        <v>5</v>
      </c>
      <c r="I420">
        <v>12</v>
      </c>
      <c r="J420" t="s">
        <v>21</v>
      </c>
      <c r="K420" t="s">
        <v>25</v>
      </c>
      <c r="L420">
        <v>60</v>
      </c>
    </row>
    <row r="421" spans="1:12" x14ac:dyDescent="0.3">
      <c r="A421">
        <v>64</v>
      </c>
      <c r="B421" t="s">
        <v>24</v>
      </c>
      <c r="C421" s="1">
        <v>45919</v>
      </c>
      <c r="D421" s="1" t="str">
        <f>TEXT(FMData[[#This Row],[Show_Date]],"mmm")</f>
        <v>Sep</v>
      </c>
      <c r="E421" s="1" t="str">
        <f>TEXT(FMData[[#This Row],[Show_Date]],"ddd")</f>
        <v>Fri</v>
      </c>
      <c r="F421" t="s">
        <v>16</v>
      </c>
      <c r="G421" t="s">
        <v>17</v>
      </c>
      <c r="H421">
        <v>5</v>
      </c>
      <c r="I421">
        <v>12</v>
      </c>
      <c r="J421" t="s">
        <v>23</v>
      </c>
      <c r="K421" t="s">
        <v>14</v>
      </c>
      <c r="L421">
        <v>60</v>
      </c>
    </row>
    <row r="422" spans="1:12" x14ac:dyDescent="0.3">
      <c r="A422">
        <v>1077</v>
      </c>
      <c r="B422" t="s">
        <v>10</v>
      </c>
      <c r="C422" s="1">
        <v>45843</v>
      </c>
      <c r="D422" s="1" t="str">
        <f>TEXT(FMData[[#This Row],[Show_Date]],"mmm")</f>
        <v>Jul</v>
      </c>
      <c r="E422" s="1" t="str">
        <f>TEXT(FMData[[#This Row],[Show_Date]],"ddd")</f>
        <v>Sat</v>
      </c>
      <c r="F422" t="s">
        <v>16</v>
      </c>
      <c r="G422" t="s">
        <v>29</v>
      </c>
      <c r="H422">
        <v>5</v>
      </c>
      <c r="I422">
        <v>30</v>
      </c>
      <c r="J422" t="s">
        <v>21</v>
      </c>
      <c r="K422" t="s">
        <v>14</v>
      </c>
      <c r="L422">
        <v>150</v>
      </c>
    </row>
    <row r="423" spans="1:12" x14ac:dyDescent="0.3">
      <c r="A423">
        <v>1859</v>
      </c>
      <c r="B423" t="s">
        <v>28</v>
      </c>
      <c r="C423" s="1">
        <v>45893</v>
      </c>
      <c r="D423" s="1" t="str">
        <f>TEXT(FMData[[#This Row],[Show_Date]],"mmm")</f>
        <v>Aug</v>
      </c>
      <c r="E423" s="1" t="str">
        <f>TEXT(FMData[[#This Row],[Show_Date]],"ddd")</f>
        <v>Sun</v>
      </c>
      <c r="F423" t="s">
        <v>16</v>
      </c>
      <c r="G423" t="s">
        <v>17</v>
      </c>
      <c r="H423">
        <v>3</v>
      </c>
      <c r="I423">
        <v>12</v>
      </c>
      <c r="J423" t="s">
        <v>23</v>
      </c>
      <c r="K423" t="s">
        <v>25</v>
      </c>
      <c r="L423">
        <v>36</v>
      </c>
    </row>
    <row r="424" spans="1:12" x14ac:dyDescent="0.3">
      <c r="A424">
        <v>943</v>
      </c>
      <c r="B424" t="s">
        <v>19</v>
      </c>
      <c r="C424" s="1">
        <v>45844</v>
      </c>
      <c r="D424" s="1" t="str">
        <f>TEXT(FMData[[#This Row],[Show_Date]],"mmm")</f>
        <v>Jul</v>
      </c>
      <c r="E424" s="1" t="str">
        <f>TEXT(FMData[[#This Row],[Show_Date]],"ddd")</f>
        <v>Sun</v>
      </c>
      <c r="F424" t="s">
        <v>16</v>
      </c>
      <c r="G424" t="s">
        <v>17</v>
      </c>
      <c r="H424">
        <v>2</v>
      </c>
      <c r="I424">
        <v>12</v>
      </c>
      <c r="J424" t="s">
        <v>21</v>
      </c>
      <c r="K424" t="s">
        <v>18</v>
      </c>
      <c r="L424">
        <v>24</v>
      </c>
    </row>
    <row r="425" spans="1:12" x14ac:dyDescent="0.3">
      <c r="A425">
        <v>773</v>
      </c>
      <c r="B425" t="s">
        <v>24</v>
      </c>
      <c r="C425" s="1">
        <v>45858</v>
      </c>
      <c r="D425" s="1" t="str">
        <f>TEXT(FMData[[#This Row],[Show_Date]],"mmm")</f>
        <v>Jul</v>
      </c>
      <c r="E425" s="1" t="str">
        <f>TEXT(FMData[[#This Row],[Show_Date]],"ddd")</f>
        <v>Sun</v>
      </c>
      <c r="F425" t="s">
        <v>16</v>
      </c>
      <c r="G425" t="s">
        <v>22</v>
      </c>
      <c r="H425">
        <v>1</v>
      </c>
      <c r="I425">
        <v>20</v>
      </c>
      <c r="J425" t="s">
        <v>23</v>
      </c>
      <c r="K425" t="s">
        <v>18</v>
      </c>
      <c r="L425">
        <v>20</v>
      </c>
    </row>
    <row r="426" spans="1:12" x14ac:dyDescent="0.3">
      <c r="A426">
        <v>679</v>
      </c>
      <c r="B426" t="s">
        <v>26</v>
      </c>
      <c r="C426" s="1">
        <v>45858</v>
      </c>
      <c r="D426" s="1" t="str">
        <f>TEXT(FMData[[#This Row],[Show_Date]],"mmm")</f>
        <v>Jul</v>
      </c>
      <c r="E426" s="1" t="str">
        <f>TEXT(FMData[[#This Row],[Show_Date]],"ddd")</f>
        <v>Sun</v>
      </c>
      <c r="F426" t="s">
        <v>16</v>
      </c>
      <c r="G426" t="s">
        <v>17</v>
      </c>
      <c r="H426">
        <v>5</v>
      </c>
      <c r="I426">
        <v>12</v>
      </c>
      <c r="J426" t="s">
        <v>21</v>
      </c>
      <c r="K426" t="s">
        <v>14</v>
      </c>
      <c r="L426">
        <v>60</v>
      </c>
    </row>
    <row r="427" spans="1:12" x14ac:dyDescent="0.3">
      <c r="A427">
        <v>1143</v>
      </c>
      <c r="B427" t="s">
        <v>19</v>
      </c>
      <c r="C427" s="1">
        <v>45914</v>
      </c>
      <c r="D427" s="1" t="str">
        <f>TEXT(FMData[[#This Row],[Show_Date]],"mmm")</f>
        <v>Sep</v>
      </c>
      <c r="E427" s="1" t="str">
        <f>TEXT(FMData[[#This Row],[Show_Date]],"ddd")</f>
        <v>Sun</v>
      </c>
      <c r="F427" t="s">
        <v>16</v>
      </c>
      <c r="G427" t="s">
        <v>12</v>
      </c>
      <c r="H427">
        <v>3</v>
      </c>
      <c r="I427">
        <v>25</v>
      </c>
      <c r="J427" t="s">
        <v>13</v>
      </c>
      <c r="K427" t="s">
        <v>27</v>
      </c>
      <c r="L427">
        <v>75</v>
      </c>
    </row>
    <row r="428" spans="1:12" x14ac:dyDescent="0.3">
      <c r="A428">
        <v>1452</v>
      </c>
      <c r="B428" t="s">
        <v>15</v>
      </c>
      <c r="C428" s="1">
        <v>45850</v>
      </c>
      <c r="D428" s="1" t="str">
        <f>TEXT(FMData[[#This Row],[Show_Date]],"mmm")</f>
        <v>Jul</v>
      </c>
      <c r="E428" s="1" t="str">
        <f>TEXT(FMData[[#This Row],[Show_Date]],"ddd")</f>
        <v>Sat</v>
      </c>
      <c r="F428" t="s">
        <v>16</v>
      </c>
      <c r="G428" t="s">
        <v>30</v>
      </c>
      <c r="H428">
        <v>5</v>
      </c>
      <c r="I428">
        <v>8</v>
      </c>
      <c r="J428" t="s">
        <v>21</v>
      </c>
      <c r="K428" t="s">
        <v>14</v>
      </c>
      <c r="L428">
        <v>40</v>
      </c>
    </row>
    <row r="429" spans="1:12" x14ac:dyDescent="0.3">
      <c r="A429">
        <v>932</v>
      </c>
      <c r="B429" t="s">
        <v>31</v>
      </c>
      <c r="C429" s="1">
        <v>45878</v>
      </c>
      <c r="D429" s="1" t="str">
        <f>TEXT(FMData[[#This Row],[Show_Date]],"mmm")</f>
        <v>Aug</v>
      </c>
      <c r="E429" s="1" t="str">
        <f>TEXT(FMData[[#This Row],[Show_Date]],"ddd")</f>
        <v>Sat</v>
      </c>
      <c r="F429" t="s">
        <v>16</v>
      </c>
      <c r="G429" t="s">
        <v>30</v>
      </c>
      <c r="H429">
        <v>2</v>
      </c>
      <c r="I429">
        <v>8</v>
      </c>
      <c r="J429" t="s">
        <v>13</v>
      </c>
      <c r="K429" t="s">
        <v>27</v>
      </c>
      <c r="L429">
        <v>16</v>
      </c>
    </row>
    <row r="430" spans="1:12" x14ac:dyDescent="0.3">
      <c r="A430">
        <v>1037</v>
      </c>
      <c r="B430" t="s">
        <v>19</v>
      </c>
      <c r="C430" s="1">
        <v>45864</v>
      </c>
      <c r="D430" s="1" t="str">
        <f>TEXT(FMData[[#This Row],[Show_Date]],"mmm")</f>
        <v>Jul</v>
      </c>
      <c r="E430" s="1" t="str">
        <f>TEXT(FMData[[#This Row],[Show_Date]],"ddd")</f>
        <v>Sat</v>
      </c>
      <c r="F430" t="s">
        <v>16</v>
      </c>
      <c r="G430" t="s">
        <v>17</v>
      </c>
      <c r="H430">
        <v>3</v>
      </c>
      <c r="I430">
        <v>12</v>
      </c>
      <c r="J430" t="s">
        <v>21</v>
      </c>
      <c r="K430" t="s">
        <v>27</v>
      </c>
      <c r="L430">
        <v>36</v>
      </c>
    </row>
    <row r="431" spans="1:12" x14ac:dyDescent="0.3">
      <c r="A431">
        <v>1905</v>
      </c>
      <c r="B431" t="s">
        <v>28</v>
      </c>
      <c r="C431" s="1">
        <v>45872</v>
      </c>
      <c r="D431" s="1" t="str">
        <f>TEXT(FMData[[#This Row],[Show_Date]],"mmm")</f>
        <v>Aug</v>
      </c>
      <c r="E431" s="1" t="str">
        <f>TEXT(FMData[[#This Row],[Show_Date]],"ddd")</f>
        <v>Sun</v>
      </c>
      <c r="F431" t="s">
        <v>16</v>
      </c>
      <c r="G431" t="s">
        <v>22</v>
      </c>
      <c r="H431">
        <v>2</v>
      </c>
      <c r="I431">
        <v>20</v>
      </c>
      <c r="J431" t="s">
        <v>21</v>
      </c>
      <c r="K431" t="s">
        <v>27</v>
      </c>
      <c r="L431">
        <v>40</v>
      </c>
    </row>
    <row r="432" spans="1:12" x14ac:dyDescent="0.3">
      <c r="A432">
        <v>380</v>
      </c>
      <c r="B432" t="s">
        <v>24</v>
      </c>
      <c r="C432" s="1">
        <v>45894</v>
      </c>
      <c r="D432" s="1" t="str">
        <f>TEXT(FMData[[#This Row],[Show_Date]],"mmm")</f>
        <v>Aug</v>
      </c>
      <c r="E432" s="1" t="str">
        <f>TEXT(FMData[[#This Row],[Show_Date]],"ddd")</f>
        <v>Mon</v>
      </c>
      <c r="F432" t="s">
        <v>16</v>
      </c>
      <c r="G432" t="s">
        <v>30</v>
      </c>
      <c r="H432">
        <v>5</v>
      </c>
      <c r="I432">
        <v>8</v>
      </c>
      <c r="J432" t="s">
        <v>21</v>
      </c>
      <c r="K432" t="s">
        <v>25</v>
      </c>
      <c r="L432">
        <v>40</v>
      </c>
    </row>
    <row r="433" spans="1:12" x14ac:dyDescent="0.3">
      <c r="A433">
        <v>1868</v>
      </c>
      <c r="B433" t="s">
        <v>15</v>
      </c>
      <c r="C433" s="1">
        <v>45864</v>
      </c>
      <c r="D433" s="1" t="str">
        <f>TEXT(FMData[[#This Row],[Show_Date]],"mmm")</f>
        <v>Jul</v>
      </c>
      <c r="E433" s="1" t="str">
        <f>TEXT(FMData[[#This Row],[Show_Date]],"ddd")</f>
        <v>Sat</v>
      </c>
      <c r="F433" t="s">
        <v>16</v>
      </c>
      <c r="G433" t="s">
        <v>30</v>
      </c>
      <c r="H433">
        <v>1</v>
      </c>
      <c r="I433">
        <v>8</v>
      </c>
      <c r="J433" t="s">
        <v>21</v>
      </c>
      <c r="K433" t="s">
        <v>18</v>
      </c>
      <c r="L433">
        <v>8</v>
      </c>
    </row>
    <row r="434" spans="1:12" x14ac:dyDescent="0.3">
      <c r="A434">
        <v>1132</v>
      </c>
      <c r="B434" t="s">
        <v>26</v>
      </c>
      <c r="C434" s="1">
        <v>45857</v>
      </c>
      <c r="D434" s="1" t="str">
        <f>TEXT(FMData[[#This Row],[Show_Date]],"mmm")</f>
        <v>Jul</v>
      </c>
      <c r="E434" s="1" t="str">
        <f>TEXT(FMData[[#This Row],[Show_Date]],"ddd")</f>
        <v>Sat</v>
      </c>
      <c r="F434" t="s">
        <v>16</v>
      </c>
      <c r="G434" t="s">
        <v>22</v>
      </c>
      <c r="H434">
        <v>2</v>
      </c>
      <c r="I434">
        <v>20</v>
      </c>
      <c r="J434" t="s">
        <v>21</v>
      </c>
      <c r="K434" t="s">
        <v>18</v>
      </c>
      <c r="L434">
        <v>40</v>
      </c>
    </row>
    <row r="435" spans="1:12" x14ac:dyDescent="0.3">
      <c r="A435">
        <v>287</v>
      </c>
      <c r="B435" t="s">
        <v>24</v>
      </c>
      <c r="C435" s="1">
        <v>45860</v>
      </c>
      <c r="D435" s="1" t="str">
        <f>TEXT(FMData[[#This Row],[Show_Date]],"mmm")</f>
        <v>Jul</v>
      </c>
      <c r="E435" s="1" t="str">
        <f>TEXT(FMData[[#This Row],[Show_Date]],"ddd")</f>
        <v>Tue</v>
      </c>
      <c r="F435" t="s">
        <v>16</v>
      </c>
      <c r="G435" t="s">
        <v>29</v>
      </c>
      <c r="H435">
        <v>4</v>
      </c>
      <c r="I435">
        <v>30</v>
      </c>
      <c r="J435" t="s">
        <v>23</v>
      </c>
      <c r="K435" t="s">
        <v>14</v>
      </c>
      <c r="L435">
        <v>120</v>
      </c>
    </row>
    <row r="436" spans="1:12" x14ac:dyDescent="0.3">
      <c r="A436">
        <v>1229</v>
      </c>
      <c r="B436" t="s">
        <v>10</v>
      </c>
      <c r="C436" s="1">
        <v>45912</v>
      </c>
      <c r="D436" s="1" t="str">
        <f>TEXT(FMData[[#This Row],[Show_Date]],"mmm")</f>
        <v>Sep</v>
      </c>
      <c r="E436" s="1" t="str">
        <f>TEXT(FMData[[#This Row],[Show_Date]],"ddd")</f>
        <v>Fri</v>
      </c>
      <c r="F436" t="s">
        <v>16</v>
      </c>
      <c r="G436" t="s">
        <v>17</v>
      </c>
      <c r="H436">
        <v>3</v>
      </c>
      <c r="I436">
        <v>12</v>
      </c>
      <c r="J436" t="s">
        <v>21</v>
      </c>
      <c r="K436" t="s">
        <v>27</v>
      </c>
      <c r="L436">
        <v>36</v>
      </c>
    </row>
    <row r="437" spans="1:12" x14ac:dyDescent="0.3">
      <c r="A437">
        <v>894</v>
      </c>
      <c r="B437" t="s">
        <v>15</v>
      </c>
      <c r="C437" s="1">
        <v>45855</v>
      </c>
      <c r="D437" s="1" t="str">
        <f>TEXT(FMData[[#This Row],[Show_Date]],"mmm")</f>
        <v>Jul</v>
      </c>
      <c r="E437" s="1" t="str">
        <f>TEXT(FMData[[#This Row],[Show_Date]],"ddd")</f>
        <v>Thu</v>
      </c>
      <c r="F437" t="s">
        <v>16</v>
      </c>
      <c r="G437" t="s">
        <v>30</v>
      </c>
      <c r="H437">
        <v>4</v>
      </c>
      <c r="I437">
        <v>8</v>
      </c>
      <c r="J437" t="s">
        <v>23</v>
      </c>
      <c r="K437" t="s">
        <v>27</v>
      </c>
      <c r="L437">
        <v>32</v>
      </c>
    </row>
    <row r="438" spans="1:12" x14ac:dyDescent="0.3">
      <c r="A438">
        <v>1614</v>
      </c>
      <c r="B438" t="s">
        <v>24</v>
      </c>
      <c r="C438" s="1">
        <v>45928</v>
      </c>
      <c r="D438" s="1" t="str">
        <f>TEXT(FMData[[#This Row],[Show_Date]],"mmm")</f>
        <v>Sep</v>
      </c>
      <c r="E438" s="1" t="str">
        <f>TEXT(FMData[[#This Row],[Show_Date]],"ddd")</f>
        <v>Sun</v>
      </c>
      <c r="F438" t="s">
        <v>11</v>
      </c>
      <c r="G438" t="s">
        <v>30</v>
      </c>
      <c r="H438">
        <v>1</v>
      </c>
      <c r="I438">
        <v>8</v>
      </c>
      <c r="J438" t="s">
        <v>21</v>
      </c>
      <c r="K438" t="s">
        <v>27</v>
      </c>
      <c r="L438">
        <v>8</v>
      </c>
    </row>
    <row r="439" spans="1:12" x14ac:dyDescent="0.3">
      <c r="A439">
        <v>1554</v>
      </c>
      <c r="B439" t="s">
        <v>31</v>
      </c>
      <c r="C439" s="1">
        <v>45886</v>
      </c>
      <c r="D439" s="1" t="str">
        <f>TEXT(FMData[[#This Row],[Show_Date]],"mmm")</f>
        <v>Aug</v>
      </c>
      <c r="E439" s="1" t="str">
        <f>TEXT(FMData[[#This Row],[Show_Date]],"ddd")</f>
        <v>Sun</v>
      </c>
      <c r="F439" t="s">
        <v>20</v>
      </c>
      <c r="G439" t="s">
        <v>12</v>
      </c>
      <c r="H439">
        <v>2</v>
      </c>
      <c r="I439">
        <v>25</v>
      </c>
      <c r="J439" t="s">
        <v>21</v>
      </c>
      <c r="K439" t="s">
        <v>25</v>
      </c>
      <c r="L439">
        <v>50</v>
      </c>
    </row>
    <row r="440" spans="1:12" x14ac:dyDescent="0.3">
      <c r="A440">
        <v>1013</v>
      </c>
      <c r="B440" t="s">
        <v>10</v>
      </c>
      <c r="C440" s="1">
        <v>45887</v>
      </c>
      <c r="D440" s="1" t="str">
        <f>TEXT(FMData[[#This Row],[Show_Date]],"mmm")</f>
        <v>Aug</v>
      </c>
      <c r="E440" s="1" t="str">
        <f>TEXT(FMData[[#This Row],[Show_Date]],"ddd")</f>
        <v>Mon</v>
      </c>
      <c r="F440" t="s">
        <v>33</v>
      </c>
      <c r="G440" t="s">
        <v>17</v>
      </c>
      <c r="H440">
        <v>2</v>
      </c>
      <c r="I440">
        <v>12</v>
      </c>
      <c r="J440" t="s">
        <v>13</v>
      </c>
      <c r="K440" t="s">
        <v>14</v>
      </c>
      <c r="L440">
        <v>24</v>
      </c>
    </row>
    <row r="441" spans="1:12" x14ac:dyDescent="0.3">
      <c r="A441">
        <v>1533</v>
      </c>
      <c r="B441" t="s">
        <v>10</v>
      </c>
      <c r="C441" s="1">
        <v>45902</v>
      </c>
      <c r="D441" s="1" t="str">
        <f>TEXT(FMData[[#This Row],[Show_Date]],"mmm")</f>
        <v>Sep</v>
      </c>
      <c r="E441" s="1" t="str">
        <f>TEXT(FMData[[#This Row],[Show_Date]],"ddd")</f>
        <v>Tue</v>
      </c>
      <c r="F441" t="s">
        <v>16</v>
      </c>
      <c r="G441" t="s">
        <v>17</v>
      </c>
      <c r="H441">
        <v>1</v>
      </c>
      <c r="I441">
        <v>12</v>
      </c>
      <c r="J441" t="s">
        <v>23</v>
      </c>
      <c r="K441" t="s">
        <v>25</v>
      </c>
      <c r="L441">
        <v>12</v>
      </c>
    </row>
    <row r="442" spans="1:12" x14ac:dyDescent="0.3">
      <c r="A442">
        <v>746</v>
      </c>
      <c r="B442" t="s">
        <v>10</v>
      </c>
      <c r="C442" s="1">
        <v>45893</v>
      </c>
      <c r="D442" s="1" t="str">
        <f>TEXT(FMData[[#This Row],[Show_Date]],"mmm")</f>
        <v>Aug</v>
      </c>
      <c r="E442" s="1" t="str">
        <f>TEXT(FMData[[#This Row],[Show_Date]],"ddd")</f>
        <v>Sun</v>
      </c>
      <c r="F442" t="s">
        <v>20</v>
      </c>
      <c r="G442" t="s">
        <v>30</v>
      </c>
      <c r="H442">
        <v>5</v>
      </c>
      <c r="I442">
        <v>8</v>
      </c>
      <c r="J442" t="s">
        <v>21</v>
      </c>
      <c r="K442" t="s">
        <v>14</v>
      </c>
      <c r="L442">
        <v>40</v>
      </c>
    </row>
    <row r="443" spans="1:12" x14ac:dyDescent="0.3">
      <c r="A443">
        <v>718</v>
      </c>
      <c r="B443" t="s">
        <v>10</v>
      </c>
      <c r="C443" s="1">
        <v>45854</v>
      </c>
      <c r="D443" s="1" t="str">
        <f>TEXT(FMData[[#This Row],[Show_Date]],"mmm")</f>
        <v>Jul</v>
      </c>
      <c r="E443" s="1" t="str">
        <f>TEXT(FMData[[#This Row],[Show_Date]],"ddd")</f>
        <v>Wed</v>
      </c>
      <c r="F443" t="s">
        <v>11</v>
      </c>
      <c r="G443" t="s">
        <v>29</v>
      </c>
      <c r="H443">
        <v>1</v>
      </c>
      <c r="I443">
        <v>30</v>
      </c>
      <c r="J443" t="s">
        <v>23</v>
      </c>
      <c r="K443" t="s">
        <v>27</v>
      </c>
      <c r="L443">
        <v>30</v>
      </c>
    </row>
    <row r="444" spans="1:12" x14ac:dyDescent="0.3">
      <c r="A444">
        <v>1124</v>
      </c>
      <c r="B444" t="s">
        <v>10</v>
      </c>
      <c r="C444" s="1">
        <v>45879</v>
      </c>
      <c r="D444" s="1" t="str">
        <f>TEXT(FMData[[#This Row],[Show_Date]],"mmm")</f>
        <v>Aug</v>
      </c>
      <c r="E444" s="1" t="str">
        <f>TEXT(FMData[[#This Row],[Show_Date]],"ddd")</f>
        <v>Sun</v>
      </c>
      <c r="F444" t="s">
        <v>11</v>
      </c>
      <c r="G444" t="s">
        <v>17</v>
      </c>
      <c r="H444">
        <v>5</v>
      </c>
      <c r="I444">
        <v>12</v>
      </c>
      <c r="J444" t="s">
        <v>13</v>
      </c>
      <c r="K444" t="s">
        <v>25</v>
      </c>
      <c r="L444">
        <v>60</v>
      </c>
    </row>
    <row r="445" spans="1:12" x14ac:dyDescent="0.3">
      <c r="A445">
        <v>650</v>
      </c>
      <c r="B445" t="s">
        <v>10</v>
      </c>
      <c r="C445" s="1">
        <v>45892</v>
      </c>
      <c r="D445" s="1" t="str">
        <f>TEXT(FMData[[#This Row],[Show_Date]],"mmm")</f>
        <v>Aug</v>
      </c>
      <c r="E445" s="1" t="str">
        <f>TEXT(FMData[[#This Row],[Show_Date]],"ddd")</f>
        <v>Sat</v>
      </c>
      <c r="F445" t="s">
        <v>20</v>
      </c>
      <c r="G445" t="s">
        <v>17</v>
      </c>
      <c r="H445">
        <v>4</v>
      </c>
      <c r="I445">
        <v>12</v>
      </c>
      <c r="J445" t="s">
        <v>21</v>
      </c>
      <c r="K445" t="s">
        <v>27</v>
      </c>
      <c r="L445">
        <v>48</v>
      </c>
    </row>
    <row r="446" spans="1:12" x14ac:dyDescent="0.3">
      <c r="A446">
        <v>846</v>
      </c>
      <c r="B446" t="s">
        <v>10</v>
      </c>
      <c r="C446" s="1">
        <v>45889</v>
      </c>
      <c r="D446" s="1" t="str">
        <f>TEXT(FMData[[#This Row],[Show_Date]],"mmm")</f>
        <v>Aug</v>
      </c>
      <c r="E446" s="1" t="str">
        <f>TEXT(FMData[[#This Row],[Show_Date]],"ddd")</f>
        <v>Wed</v>
      </c>
      <c r="F446" t="s">
        <v>16</v>
      </c>
      <c r="G446" t="s">
        <v>17</v>
      </c>
      <c r="H446">
        <v>2</v>
      </c>
      <c r="I446">
        <v>12</v>
      </c>
      <c r="J446" t="s">
        <v>13</v>
      </c>
      <c r="K446" t="s">
        <v>25</v>
      </c>
      <c r="L446">
        <v>24</v>
      </c>
    </row>
    <row r="447" spans="1:12" x14ac:dyDescent="0.3">
      <c r="A447">
        <v>1236</v>
      </c>
      <c r="B447" t="s">
        <v>10</v>
      </c>
      <c r="C447" s="1">
        <v>45866</v>
      </c>
      <c r="D447" s="1" t="str">
        <f>TEXT(FMData[[#This Row],[Show_Date]],"mmm")</f>
        <v>Jul</v>
      </c>
      <c r="E447" s="1" t="str">
        <f>TEXT(FMData[[#This Row],[Show_Date]],"ddd")</f>
        <v>Mon</v>
      </c>
      <c r="F447" t="s">
        <v>20</v>
      </c>
      <c r="G447" t="s">
        <v>17</v>
      </c>
      <c r="H447">
        <v>4</v>
      </c>
      <c r="I447">
        <v>12</v>
      </c>
      <c r="J447" t="s">
        <v>23</v>
      </c>
      <c r="K447" t="s">
        <v>27</v>
      </c>
      <c r="L447">
        <v>48</v>
      </c>
    </row>
    <row r="448" spans="1:12" x14ac:dyDescent="0.3">
      <c r="A448">
        <v>476</v>
      </c>
      <c r="B448" t="s">
        <v>10</v>
      </c>
      <c r="C448" s="1">
        <v>45899</v>
      </c>
      <c r="D448" s="1" t="str">
        <f>TEXT(FMData[[#This Row],[Show_Date]],"mmm")</f>
        <v>Aug</v>
      </c>
      <c r="E448" s="1" t="str">
        <f>TEXT(FMData[[#This Row],[Show_Date]],"ddd")</f>
        <v>Sat</v>
      </c>
      <c r="F448" t="s">
        <v>11</v>
      </c>
      <c r="G448" t="s">
        <v>22</v>
      </c>
      <c r="H448">
        <v>4</v>
      </c>
      <c r="I448">
        <v>20</v>
      </c>
      <c r="J448" t="s">
        <v>21</v>
      </c>
      <c r="K448" t="s">
        <v>27</v>
      </c>
      <c r="L448">
        <v>80</v>
      </c>
    </row>
    <row r="449" spans="1:12" x14ac:dyDescent="0.3">
      <c r="A449">
        <v>100</v>
      </c>
      <c r="B449" t="s">
        <v>10</v>
      </c>
      <c r="C449" s="1">
        <v>45874</v>
      </c>
      <c r="D449" s="1" t="str">
        <f>TEXT(FMData[[#This Row],[Show_Date]],"mmm")</f>
        <v>Aug</v>
      </c>
      <c r="E449" s="1" t="str">
        <f>TEXT(FMData[[#This Row],[Show_Date]],"ddd")</f>
        <v>Tue</v>
      </c>
      <c r="F449" t="s">
        <v>11</v>
      </c>
      <c r="G449" t="s">
        <v>17</v>
      </c>
      <c r="H449">
        <v>2</v>
      </c>
      <c r="I449">
        <v>12</v>
      </c>
      <c r="J449" t="s">
        <v>21</v>
      </c>
      <c r="K449" t="s">
        <v>27</v>
      </c>
      <c r="L449">
        <v>24</v>
      </c>
    </row>
    <row r="450" spans="1:12" x14ac:dyDescent="0.3">
      <c r="A450">
        <v>644</v>
      </c>
      <c r="B450" t="s">
        <v>24</v>
      </c>
      <c r="C450" s="1">
        <v>45889</v>
      </c>
      <c r="D450" s="1" t="str">
        <f>TEXT(FMData[[#This Row],[Show_Date]],"mmm")</f>
        <v>Aug</v>
      </c>
      <c r="E450" s="1" t="str">
        <f>TEXT(FMData[[#This Row],[Show_Date]],"ddd")</f>
        <v>Wed</v>
      </c>
      <c r="F450" t="s">
        <v>11</v>
      </c>
      <c r="G450" t="s">
        <v>12</v>
      </c>
      <c r="H450">
        <v>5</v>
      </c>
      <c r="I450">
        <v>25</v>
      </c>
      <c r="J450" t="s">
        <v>23</v>
      </c>
      <c r="K450" t="s">
        <v>27</v>
      </c>
      <c r="L450">
        <v>125</v>
      </c>
    </row>
    <row r="451" spans="1:12" x14ac:dyDescent="0.3">
      <c r="A451">
        <v>873</v>
      </c>
      <c r="B451" t="s">
        <v>26</v>
      </c>
      <c r="C451" s="1">
        <v>45839</v>
      </c>
      <c r="D451" s="1" t="str">
        <f>TEXT(FMData[[#This Row],[Show_Date]],"mmm")</f>
        <v>Jul</v>
      </c>
      <c r="E451" s="1" t="str">
        <f>TEXT(FMData[[#This Row],[Show_Date]],"ddd")</f>
        <v>Tue</v>
      </c>
      <c r="F451" t="s">
        <v>11</v>
      </c>
      <c r="G451" t="s">
        <v>22</v>
      </c>
      <c r="H451">
        <v>5</v>
      </c>
      <c r="I451">
        <v>20</v>
      </c>
      <c r="J451" t="s">
        <v>13</v>
      </c>
      <c r="K451" t="s">
        <v>18</v>
      </c>
      <c r="L451">
        <v>100</v>
      </c>
    </row>
    <row r="452" spans="1:12" x14ac:dyDescent="0.3">
      <c r="A452">
        <v>1986</v>
      </c>
      <c r="B452" t="s">
        <v>10</v>
      </c>
      <c r="C452" s="1">
        <v>45850</v>
      </c>
      <c r="D452" s="1" t="str">
        <f>TEXT(FMData[[#This Row],[Show_Date]],"mmm")</f>
        <v>Jul</v>
      </c>
      <c r="E452" s="1" t="str">
        <f>TEXT(FMData[[#This Row],[Show_Date]],"ddd")</f>
        <v>Sat</v>
      </c>
      <c r="F452" t="s">
        <v>16</v>
      </c>
      <c r="G452" t="s">
        <v>29</v>
      </c>
      <c r="H452">
        <v>2</v>
      </c>
      <c r="I452">
        <v>30</v>
      </c>
      <c r="J452" t="s">
        <v>21</v>
      </c>
      <c r="K452" t="s">
        <v>25</v>
      </c>
      <c r="L452">
        <v>60</v>
      </c>
    </row>
    <row r="453" spans="1:12" x14ac:dyDescent="0.3">
      <c r="A453">
        <v>414</v>
      </c>
      <c r="B453" t="s">
        <v>24</v>
      </c>
      <c r="C453" s="1">
        <v>45888</v>
      </c>
      <c r="D453" s="1" t="str">
        <f>TEXT(FMData[[#This Row],[Show_Date]],"mmm")</f>
        <v>Aug</v>
      </c>
      <c r="E453" s="1" t="str">
        <f>TEXT(FMData[[#This Row],[Show_Date]],"ddd")</f>
        <v>Tue</v>
      </c>
      <c r="F453" t="s">
        <v>11</v>
      </c>
      <c r="G453" t="s">
        <v>17</v>
      </c>
      <c r="H453">
        <v>4</v>
      </c>
      <c r="I453">
        <v>12</v>
      </c>
      <c r="J453" t="s">
        <v>21</v>
      </c>
      <c r="K453" t="s">
        <v>18</v>
      </c>
      <c r="L453">
        <v>48</v>
      </c>
    </row>
    <row r="454" spans="1:12" x14ac:dyDescent="0.3">
      <c r="A454">
        <v>310</v>
      </c>
      <c r="B454" t="s">
        <v>10</v>
      </c>
      <c r="C454" s="1">
        <v>45861</v>
      </c>
      <c r="D454" s="1" t="str">
        <f>TEXT(FMData[[#This Row],[Show_Date]],"mmm")</f>
        <v>Jul</v>
      </c>
      <c r="E454" s="1" t="str">
        <f>TEXT(FMData[[#This Row],[Show_Date]],"ddd")</f>
        <v>Wed</v>
      </c>
      <c r="F454" t="s">
        <v>11</v>
      </c>
      <c r="G454" t="s">
        <v>17</v>
      </c>
      <c r="H454">
        <v>3</v>
      </c>
      <c r="I454">
        <v>12</v>
      </c>
      <c r="J454" t="s">
        <v>23</v>
      </c>
      <c r="K454" t="s">
        <v>27</v>
      </c>
      <c r="L454">
        <v>36</v>
      </c>
    </row>
    <row r="455" spans="1:12" x14ac:dyDescent="0.3">
      <c r="A455">
        <v>321</v>
      </c>
      <c r="B455" t="s">
        <v>19</v>
      </c>
      <c r="C455" s="1">
        <v>45883</v>
      </c>
      <c r="D455" s="1" t="str">
        <f>TEXT(FMData[[#This Row],[Show_Date]],"mmm")</f>
        <v>Aug</v>
      </c>
      <c r="E455" s="1" t="str">
        <f>TEXT(FMData[[#This Row],[Show_Date]],"ddd")</f>
        <v>Thu</v>
      </c>
      <c r="F455" t="s">
        <v>11</v>
      </c>
      <c r="G455" t="s">
        <v>29</v>
      </c>
      <c r="H455">
        <v>3</v>
      </c>
      <c r="I455">
        <v>30</v>
      </c>
      <c r="J455" t="s">
        <v>13</v>
      </c>
      <c r="K455" t="s">
        <v>25</v>
      </c>
      <c r="L455">
        <v>90</v>
      </c>
    </row>
    <row r="456" spans="1:12" x14ac:dyDescent="0.3">
      <c r="A456">
        <v>947</v>
      </c>
      <c r="B456" t="s">
        <v>15</v>
      </c>
      <c r="C456" s="1">
        <v>45885</v>
      </c>
      <c r="D456" s="1" t="str">
        <f>TEXT(FMData[[#This Row],[Show_Date]],"mmm")</f>
        <v>Aug</v>
      </c>
      <c r="E456" s="1" t="str">
        <f>TEXT(FMData[[#This Row],[Show_Date]],"ddd")</f>
        <v>Sat</v>
      </c>
      <c r="F456" t="s">
        <v>11</v>
      </c>
      <c r="G456" t="s">
        <v>12</v>
      </c>
      <c r="H456">
        <v>2</v>
      </c>
      <c r="I456">
        <v>25</v>
      </c>
      <c r="J456" t="s">
        <v>21</v>
      </c>
      <c r="K456" t="s">
        <v>25</v>
      </c>
      <c r="L456">
        <v>50</v>
      </c>
    </row>
    <row r="457" spans="1:12" x14ac:dyDescent="0.3">
      <c r="A457">
        <v>1821</v>
      </c>
      <c r="B457" t="s">
        <v>28</v>
      </c>
      <c r="C457" s="1">
        <v>45920</v>
      </c>
      <c r="D457" s="1" t="str">
        <f>TEXT(FMData[[#This Row],[Show_Date]],"mmm")</f>
        <v>Sep</v>
      </c>
      <c r="E457" s="1" t="str">
        <f>TEXT(FMData[[#This Row],[Show_Date]],"ddd")</f>
        <v>Sat</v>
      </c>
      <c r="F457" t="s">
        <v>11</v>
      </c>
      <c r="G457" t="s">
        <v>17</v>
      </c>
      <c r="H457">
        <v>3</v>
      </c>
      <c r="I457">
        <v>12</v>
      </c>
      <c r="J457" t="s">
        <v>23</v>
      </c>
      <c r="K457" t="s">
        <v>25</v>
      </c>
      <c r="L457">
        <v>36</v>
      </c>
    </row>
    <row r="458" spans="1:12" x14ac:dyDescent="0.3">
      <c r="A458">
        <v>1657</v>
      </c>
      <c r="B458" t="s">
        <v>26</v>
      </c>
      <c r="C458" s="1">
        <v>45873</v>
      </c>
      <c r="D458" s="1" t="str">
        <f>TEXT(FMData[[#This Row],[Show_Date]],"mmm")</f>
        <v>Aug</v>
      </c>
      <c r="E458" s="1" t="str">
        <f>TEXT(FMData[[#This Row],[Show_Date]],"ddd")</f>
        <v>Mon</v>
      </c>
      <c r="F458" t="s">
        <v>33</v>
      </c>
      <c r="G458" t="s">
        <v>17</v>
      </c>
      <c r="H458">
        <v>5</v>
      </c>
      <c r="I458">
        <v>12</v>
      </c>
      <c r="J458" t="s">
        <v>23</v>
      </c>
      <c r="K458" t="s">
        <v>18</v>
      </c>
      <c r="L458">
        <v>60</v>
      </c>
    </row>
    <row r="459" spans="1:12" x14ac:dyDescent="0.3">
      <c r="A459">
        <v>433</v>
      </c>
      <c r="B459" t="s">
        <v>15</v>
      </c>
      <c r="C459" s="1">
        <v>45909</v>
      </c>
      <c r="D459" s="1" t="str">
        <f>TEXT(FMData[[#This Row],[Show_Date]],"mmm")</f>
        <v>Sep</v>
      </c>
      <c r="E459" s="1" t="str">
        <f>TEXT(FMData[[#This Row],[Show_Date]],"ddd")</f>
        <v>Tue</v>
      </c>
      <c r="F459" t="s">
        <v>20</v>
      </c>
      <c r="G459" t="s">
        <v>29</v>
      </c>
      <c r="H459">
        <v>2</v>
      </c>
      <c r="I459">
        <v>30</v>
      </c>
      <c r="J459" t="s">
        <v>23</v>
      </c>
      <c r="K459" t="s">
        <v>27</v>
      </c>
      <c r="L459">
        <v>60</v>
      </c>
    </row>
    <row r="460" spans="1:12" x14ac:dyDescent="0.3">
      <c r="A460">
        <v>1701</v>
      </c>
      <c r="B460" t="s">
        <v>15</v>
      </c>
      <c r="C460" s="1">
        <v>45871</v>
      </c>
      <c r="D460" s="1" t="str">
        <f>TEXT(FMData[[#This Row],[Show_Date]],"mmm")</f>
        <v>Aug</v>
      </c>
      <c r="E460" s="1" t="str">
        <f>TEXT(FMData[[#This Row],[Show_Date]],"ddd")</f>
        <v>Sat</v>
      </c>
      <c r="F460" t="s">
        <v>11</v>
      </c>
      <c r="G460" t="s">
        <v>12</v>
      </c>
      <c r="H460">
        <v>4</v>
      </c>
      <c r="I460">
        <v>25</v>
      </c>
      <c r="J460" t="s">
        <v>21</v>
      </c>
      <c r="K460" t="s">
        <v>18</v>
      </c>
      <c r="L460">
        <v>100</v>
      </c>
    </row>
    <row r="461" spans="1:12" x14ac:dyDescent="0.3">
      <c r="A461">
        <v>1312</v>
      </c>
      <c r="B461" t="s">
        <v>26</v>
      </c>
      <c r="C461" s="1">
        <v>45915</v>
      </c>
      <c r="D461" s="1" t="str">
        <f>TEXT(FMData[[#This Row],[Show_Date]],"mmm")</f>
        <v>Sep</v>
      </c>
      <c r="E461" s="1" t="str">
        <f>TEXT(FMData[[#This Row],[Show_Date]],"ddd")</f>
        <v>Mon</v>
      </c>
      <c r="F461" t="s">
        <v>33</v>
      </c>
      <c r="G461" t="s">
        <v>30</v>
      </c>
      <c r="H461">
        <v>4</v>
      </c>
      <c r="I461">
        <v>8</v>
      </c>
      <c r="J461" t="s">
        <v>13</v>
      </c>
      <c r="K461" t="s">
        <v>25</v>
      </c>
      <c r="L461">
        <v>32</v>
      </c>
    </row>
    <row r="462" spans="1:12" x14ac:dyDescent="0.3">
      <c r="A462">
        <v>150</v>
      </c>
      <c r="B462" t="s">
        <v>19</v>
      </c>
      <c r="C462" s="1">
        <v>45919</v>
      </c>
      <c r="D462" s="1" t="str">
        <f>TEXT(FMData[[#This Row],[Show_Date]],"mmm")</f>
        <v>Sep</v>
      </c>
      <c r="E462" s="1" t="str">
        <f>TEXT(FMData[[#This Row],[Show_Date]],"ddd")</f>
        <v>Fri</v>
      </c>
      <c r="F462" t="s">
        <v>11</v>
      </c>
      <c r="G462" t="s">
        <v>22</v>
      </c>
      <c r="H462">
        <v>5</v>
      </c>
      <c r="I462">
        <v>20</v>
      </c>
      <c r="J462" t="s">
        <v>13</v>
      </c>
      <c r="K462" t="s">
        <v>18</v>
      </c>
      <c r="L462">
        <v>100</v>
      </c>
    </row>
    <row r="463" spans="1:12" x14ac:dyDescent="0.3">
      <c r="A463">
        <v>1702</v>
      </c>
      <c r="B463" t="s">
        <v>10</v>
      </c>
      <c r="C463" s="1">
        <v>45840</v>
      </c>
      <c r="D463" s="1" t="str">
        <f>TEXT(FMData[[#This Row],[Show_Date]],"mmm")</f>
        <v>Jul</v>
      </c>
      <c r="E463" s="1" t="str">
        <f>TEXT(FMData[[#This Row],[Show_Date]],"ddd")</f>
        <v>Wed</v>
      </c>
      <c r="F463" t="s">
        <v>20</v>
      </c>
      <c r="G463" t="s">
        <v>30</v>
      </c>
      <c r="H463">
        <v>1</v>
      </c>
      <c r="I463">
        <v>8</v>
      </c>
      <c r="J463" t="s">
        <v>13</v>
      </c>
      <c r="K463" t="s">
        <v>18</v>
      </c>
      <c r="L463">
        <v>8</v>
      </c>
    </row>
    <row r="464" spans="1:12" x14ac:dyDescent="0.3">
      <c r="A464">
        <v>1316</v>
      </c>
      <c r="B464" t="s">
        <v>31</v>
      </c>
      <c r="C464" s="1">
        <v>45893</v>
      </c>
      <c r="D464" s="1" t="str">
        <f>TEXT(FMData[[#This Row],[Show_Date]],"mmm")</f>
        <v>Aug</v>
      </c>
      <c r="E464" s="1" t="str">
        <f>TEXT(FMData[[#This Row],[Show_Date]],"ddd")</f>
        <v>Sun</v>
      </c>
      <c r="F464" t="s">
        <v>11</v>
      </c>
      <c r="G464" t="s">
        <v>30</v>
      </c>
      <c r="H464">
        <v>4</v>
      </c>
      <c r="I464">
        <v>8</v>
      </c>
      <c r="J464" t="s">
        <v>23</v>
      </c>
      <c r="K464" t="s">
        <v>14</v>
      </c>
      <c r="L464">
        <v>32</v>
      </c>
    </row>
    <row r="465" spans="1:12" x14ac:dyDescent="0.3">
      <c r="A465">
        <v>1368</v>
      </c>
      <c r="B465" t="s">
        <v>10</v>
      </c>
      <c r="C465" s="1">
        <v>45890</v>
      </c>
      <c r="D465" s="1" t="str">
        <f>TEXT(FMData[[#This Row],[Show_Date]],"mmm")</f>
        <v>Aug</v>
      </c>
      <c r="E465" s="1" t="str">
        <f>TEXT(FMData[[#This Row],[Show_Date]],"ddd")</f>
        <v>Thu</v>
      </c>
      <c r="F465" t="s">
        <v>20</v>
      </c>
      <c r="G465" t="s">
        <v>17</v>
      </c>
      <c r="H465">
        <v>1</v>
      </c>
      <c r="I465">
        <v>12</v>
      </c>
      <c r="J465" t="s">
        <v>13</v>
      </c>
      <c r="K465" t="s">
        <v>14</v>
      </c>
      <c r="L465">
        <v>12</v>
      </c>
    </row>
    <row r="466" spans="1:12" x14ac:dyDescent="0.3">
      <c r="A466">
        <v>1528</v>
      </c>
      <c r="B466" t="s">
        <v>24</v>
      </c>
      <c r="C466" s="1">
        <v>45892</v>
      </c>
      <c r="D466" s="1" t="str">
        <f>TEXT(FMData[[#This Row],[Show_Date]],"mmm")</f>
        <v>Aug</v>
      </c>
      <c r="E466" s="1" t="str">
        <f>TEXT(FMData[[#This Row],[Show_Date]],"ddd")</f>
        <v>Sat</v>
      </c>
      <c r="F466" t="s">
        <v>20</v>
      </c>
      <c r="G466" t="s">
        <v>30</v>
      </c>
      <c r="H466">
        <v>4</v>
      </c>
      <c r="I466">
        <v>8</v>
      </c>
      <c r="J466" t="s">
        <v>23</v>
      </c>
      <c r="K466" t="s">
        <v>25</v>
      </c>
      <c r="L466">
        <v>32</v>
      </c>
    </row>
    <row r="467" spans="1:12" x14ac:dyDescent="0.3">
      <c r="A467">
        <v>1205</v>
      </c>
      <c r="B467" t="s">
        <v>15</v>
      </c>
      <c r="C467" s="1">
        <v>45892</v>
      </c>
      <c r="D467" s="1" t="str">
        <f>TEXT(FMData[[#This Row],[Show_Date]],"mmm")</f>
        <v>Aug</v>
      </c>
      <c r="E467" s="1" t="str">
        <f>TEXT(FMData[[#This Row],[Show_Date]],"ddd")</f>
        <v>Sat</v>
      </c>
      <c r="F467" t="s">
        <v>11</v>
      </c>
      <c r="G467" t="s">
        <v>30</v>
      </c>
      <c r="H467">
        <v>3</v>
      </c>
      <c r="I467">
        <v>8</v>
      </c>
      <c r="J467" t="s">
        <v>13</v>
      </c>
      <c r="K467" t="s">
        <v>27</v>
      </c>
      <c r="L467">
        <v>24</v>
      </c>
    </row>
    <row r="468" spans="1:12" x14ac:dyDescent="0.3">
      <c r="A468">
        <v>931</v>
      </c>
      <c r="B468" t="s">
        <v>28</v>
      </c>
      <c r="C468" s="1">
        <v>45865</v>
      </c>
      <c r="D468" s="1" t="str">
        <f>TEXT(FMData[[#This Row],[Show_Date]],"mmm")</f>
        <v>Jul</v>
      </c>
      <c r="E468" s="1" t="str">
        <f>TEXT(FMData[[#This Row],[Show_Date]],"ddd")</f>
        <v>Sun</v>
      </c>
      <c r="F468" t="s">
        <v>20</v>
      </c>
      <c r="G468" t="s">
        <v>12</v>
      </c>
      <c r="H468">
        <v>5</v>
      </c>
      <c r="I468">
        <v>25</v>
      </c>
      <c r="J468" t="s">
        <v>13</v>
      </c>
      <c r="K468" t="s">
        <v>18</v>
      </c>
      <c r="L468">
        <v>125</v>
      </c>
    </row>
    <row r="469" spans="1:12" x14ac:dyDescent="0.3">
      <c r="A469">
        <v>1214</v>
      </c>
      <c r="B469" t="s">
        <v>10</v>
      </c>
      <c r="C469" s="1">
        <v>45841</v>
      </c>
      <c r="D469" s="1" t="str">
        <f>TEXT(FMData[[#This Row],[Show_Date]],"mmm")</f>
        <v>Jul</v>
      </c>
      <c r="E469" s="1" t="str">
        <f>TEXT(FMData[[#This Row],[Show_Date]],"ddd")</f>
        <v>Thu</v>
      </c>
      <c r="F469" t="s">
        <v>16</v>
      </c>
      <c r="G469" t="s">
        <v>30</v>
      </c>
      <c r="H469">
        <v>2</v>
      </c>
      <c r="I469">
        <v>8</v>
      </c>
      <c r="J469" t="s">
        <v>23</v>
      </c>
      <c r="K469" t="s">
        <v>25</v>
      </c>
      <c r="L469">
        <v>16</v>
      </c>
    </row>
    <row r="470" spans="1:12" x14ac:dyDescent="0.3">
      <c r="A470">
        <v>437</v>
      </c>
      <c r="B470" t="s">
        <v>19</v>
      </c>
      <c r="C470" s="1">
        <v>45864</v>
      </c>
      <c r="D470" s="1" t="str">
        <f>TEXT(FMData[[#This Row],[Show_Date]],"mmm")</f>
        <v>Jul</v>
      </c>
      <c r="E470" s="1" t="str">
        <f>TEXT(FMData[[#This Row],[Show_Date]],"ddd")</f>
        <v>Sat</v>
      </c>
      <c r="F470" t="s">
        <v>20</v>
      </c>
      <c r="G470" t="s">
        <v>17</v>
      </c>
      <c r="H470">
        <v>2</v>
      </c>
      <c r="I470">
        <v>12</v>
      </c>
      <c r="J470" t="s">
        <v>21</v>
      </c>
      <c r="K470" t="s">
        <v>25</v>
      </c>
      <c r="L470">
        <v>24</v>
      </c>
    </row>
    <row r="471" spans="1:12" x14ac:dyDescent="0.3">
      <c r="A471">
        <v>1778</v>
      </c>
      <c r="B471" t="s">
        <v>32</v>
      </c>
      <c r="C471" s="1">
        <v>45876</v>
      </c>
      <c r="D471" s="1" t="str">
        <f>TEXT(FMData[[#This Row],[Show_Date]],"mmm")</f>
        <v>Aug</v>
      </c>
      <c r="E471" s="1" t="str">
        <f>TEXT(FMData[[#This Row],[Show_Date]],"ddd")</f>
        <v>Thu</v>
      </c>
      <c r="F471" t="s">
        <v>11</v>
      </c>
      <c r="G471" t="s">
        <v>12</v>
      </c>
      <c r="H471">
        <v>2</v>
      </c>
      <c r="I471">
        <v>25</v>
      </c>
      <c r="J471" t="s">
        <v>21</v>
      </c>
      <c r="K471" t="s">
        <v>27</v>
      </c>
      <c r="L471">
        <v>50</v>
      </c>
    </row>
    <row r="472" spans="1:12" x14ac:dyDescent="0.3">
      <c r="A472">
        <v>1387</v>
      </c>
      <c r="B472" t="s">
        <v>24</v>
      </c>
      <c r="C472" s="1">
        <v>45923</v>
      </c>
      <c r="D472" s="1" t="str">
        <f>TEXT(FMData[[#This Row],[Show_Date]],"mmm")</f>
        <v>Sep</v>
      </c>
      <c r="E472" s="1" t="str">
        <f>TEXT(FMData[[#This Row],[Show_Date]],"ddd")</f>
        <v>Tue</v>
      </c>
      <c r="F472" t="s">
        <v>11</v>
      </c>
      <c r="G472" t="s">
        <v>17</v>
      </c>
      <c r="H472">
        <v>4</v>
      </c>
      <c r="I472">
        <v>12</v>
      </c>
      <c r="J472" t="s">
        <v>23</v>
      </c>
      <c r="K472" t="s">
        <v>18</v>
      </c>
      <c r="L472">
        <v>48</v>
      </c>
    </row>
    <row r="473" spans="1:12" x14ac:dyDescent="0.3">
      <c r="A473">
        <v>201</v>
      </c>
      <c r="B473" t="s">
        <v>28</v>
      </c>
      <c r="C473" s="1">
        <v>45858</v>
      </c>
      <c r="D473" s="1" t="str">
        <f>TEXT(FMData[[#This Row],[Show_Date]],"mmm")</f>
        <v>Jul</v>
      </c>
      <c r="E473" s="1" t="str">
        <f>TEXT(FMData[[#This Row],[Show_Date]],"ddd")</f>
        <v>Sun</v>
      </c>
      <c r="F473" t="s">
        <v>11</v>
      </c>
      <c r="G473" t="s">
        <v>29</v>
      </c>
      <c r="H473">
        <v>5</v>
      </c>
      <c r="I473">
        <v>30</v>
      </c>
      <c r="J473" t="s">
        <v>13</v>
      </c>
      <c r="K473" t="s">
        <v>25</v>
      </c>
      <c r="L473">
        <v>150</v>
      </c>
    </row>
    <row r="474" spans="1:12" x14ac:dyDescent="0.3">
      <c r="A474">
        <v>379</v>
      </c>
      <c r="B474" t="s">
        <v>26</v>
      </c>
      <c r="C474" s="1">
        <v>45857</v>
      </c>
      <c r="D474" s="1" t="str">
        <f>TEXT(FMData[[#This Row],[Show_Date]],"mmm")</f>
        <v>Jul</v>
      </c>
      <c r="E474" s="1" t="str">
        <f>TEXT(FMData[[#This Row],[Show_Date]],"ddd")</f>
        <v>Sat</v>
      </c>
      <c r="F474" t="s">
        <v>11</v>
      </c>
      <c r="G474" t="s">
        <v>17</v>
      </c>
      <c r="H474">
        <v>4</v>
      </c>
      <c r="I474">
        <v>12</v>
      </c>
      <c r="J474" t="s">
        <v>23</v>
      </c>
      <c r="K474" t="s">
        <v>18</v>
      </c>
      <c r="L474">
        <v>48</v>
      </c>
    </row>
    <row r="475" spans="1:12" x14ac:dyDescent="0.3">
      <c r="A475">
        <v>223</v>
      </c>
      <c r="B475" t="s">
        <v>10</v>
      </c>
      <c r="C475" s="1">
        <v>45898</v>
      </c>
      <c r="D475" s="1" t="str">
        <f>TEXT(FMData[[#This Row],[Show_Date]],"mmm")</f>
        <v>Aug</v>
      </c>
      <c r="E475" s="1" t="str">
        <f>TEXT(FMData[[#This Row],[Show_Date]],"ddd")</f>
        <v>Fri</v>
      </c>
      <c r="F475" t="s">
        <v>20</v>
      </c>
      <c r="G475" t="s">
        <v>17</v>
      </c>
      <c r="H475">
        <v>5</v>
      </c>
      <c r="I475">
        <v>12</v>
      </c>
      <c r="J475" t="s">
        <v>21</v>
      </c>
      <c r="K475" t="s">
        <v>14</v>
      </c>
      <c r="L475">
        <v>60</v>
      </c>
    </row>
    <row r="476" spans="1:12" x14ac:dyDescent="0.3">
      <c r="A476">
        <v>1050</v>
      </c>
      <c r="B476" t="s">
        <v>24</v>
      </c>
      <c r="C476" s="1">
        <v>45865</v>
      </c>
      <c r="D476" s="1" t="str">
        <f>TEXT(FMData[[#This Row],[Show_Date]],"mmm")</f>
        <v>Jul</v>
      </c>
      <c r="E476" s="1" t="str">
        <f>TEXT(FMData[[#This Row],[Show_Date]],"ddd")</f>
        <v>Sun</v>
      </c>
      <c r="F476" t="s">
        <v>16</v>
      </c>
      <c r="G476" t="s">
        <v>17</v>
      </c>
      <c r="H476">
        <v>1</v>
      </c>
      <c r="I476">
        <v>12</v>
      </c>
      <c r="J476" t="s">
        <v>13</v>
      </c>
      <c r="K476" t="s">
        <v>18</v>
      </c>
      <c r="L476">
        <v>12</v>
      </c>
    </row>
    <row r="477" spans="1:12" x14ac:dyDescent="0.3">
      <c r="A477">
        <v>252</v>
      </c>
      <c r="B477" t="s">
        <v>24</v>
      </c>
      <c r="C477" s="1">
        <v>45850</v>
      </c>
      <c r="D477" s="1" t="str">
        <f>TEXT(FMData[[#This Row],[Show_Date]],"mmm")</f>
        <v>Jul</v>
      </c>
      <c r="E477" s="1" t="str">
        <f>TEXT(FMData[[#This Row],[Show_Date]],"ddd")</f>
        <v>Sat</v>
      </c>
      <c r="F477" t="s">
        <v>11</v>
      </c>
      <c r="G477" t="s">
        <v>29</v>
      </c>
      <c r="H477">
        <v>1</v>
      </c>
      <c r="I477">
        <v>30</v>
      </c>
      <c r="J477" t="s">
        <v>13</v>
      </c>
      <c r="K477" t="s">
        <v>18</v>
      </c>
      <c r="L477">
        <v>30</v>
      </c>
    </row>
    <row r="478" spans="1:12" x14ac:dyDescent="0.3">
      <c r="A478">
        <v>490</v>
      </c>
      <c r="B478" t="s">
        <v>15</v>
      </c>
      <c r="C478" s="1">
        <v>45864</v>
      </c>
      <c r="D478" s="1" t="str">
        <f>TEXT(FMData[[#This Row],[Show_Date]],"mmm")</f>
        <v>Jul</v>
      </c>
      <c r="E478" s="1" t="str">
        <f>TEXT(FMData[[#This Row],[Show_Date]],"ddd")</f>
        <v>Sat</v>
      </c>
      <c r="F478" t="s">
        <v>11</v>
      </c>
      <c r="G478" t="s">
        <v>17</v>
      </c>
      <c r="H478">
        <v>1</v>
      </c>
      <c r="I478">
        <v>12</v>
      </c>
      <c r="J478" t="s">
        <v>23</v>
      </c>
      <c r="K478" t="s">
        <v>27</v>
      </c>
      <c r="L478">
        <v>12</v>
      </c>
    </row>
    <row r="479" spans="1:12" x14ac:dyDescent="0.3">
      <c r="A479">
        <v>178</v>
      </c>
      <c r="B479" t="s">
        <v>32</v>
      </c>
      <c r="C479" s="1">
        <v>45840</v>
      </c>
      <c r="D479" s="1" t="str">
        <f>TEXT(FMData[[#This Row],[Show_Date]],"mmm")</f>
        <v>Jul</v>
      </c>
      <c r="E479" s="1" t="str">
        <f>TEXT(FMData[[#This Row],[Show_Date]],"ddd")</f>
        <v>Wed</v>
      </c>
      <c r="F479" t="s">
        <v>16</v>
      </c>
      <c r="G479" t="s">
        <v>12</v>
      </c>
      <c r="H479">
        <v>5</v>
      </c>
      <c r="I479">
        <v>25</v>
      </c>
      <c r="J479" t="s">
        <v>13</v>
      </c>
      <c r="K479" t="s">
        <v>18</v>
      </c>
      <c r="L479">
        <v>125</v>
      </c>
    </row>
    <row r="480" spans="1:12" x14ac:dyDescent="0.3">
      <c r="A480">
        <v>1734</v>
      </c>
      <c r="B480" t="s">
        <v>31</v>
      </c>
      <c r="C480" s="1">
        <v>45859</v>
      </c>
      <c r="D480" s="1" t="str">
        <f>TEXT(FMData[[#This Row],[Show_Date]],"mmm")</f>
        <v>Jul</v>
      </c>
      <c r="E480" s="1" t="str">
        <f>TEXT(FMData[[#This Row],[Show_Date]],"ddd")</f>
        <v>Mon</v>
      </c>
      <c r="F480" t="s">
        <v>33</v>
      </c>
      <c r="G480" t="s">
        <v>12</v>
      </c>
      <c r="H480">
        <v>5</v>
      </c>
      <c r="I480">
        <v>25</v>
      </c>
      <c r="J480" t="s">
        <v>23</v>
      </c>
      <c r="K480" t="s">
        <v>14</v>
      </c>
      <c r="L480">
        <v>125</v>
      </c>
    </row>
    <row r="481" spans="1:12" x14ac:dyDescent="0.3">
      <c r="A481">
        <v>499</v>
      </c>
      <c r="B481" t="s">
        <v>24</v>
      </c>
      <c r="C481" s="1">
        <v>45887</v>
      </c>
      <c r="D481" s="1" t="str">
        <f>TEXT(FMData[[#This Row],[Show_Date]],"mmm")</f>
        <v>Aug</v>
      </c>
      <c r="E481" s="1" t="str">
        <f>TEXT(FMData[[#This Row],[Show_Date]],"ddd")</f>
        <v>Mon</v>
      </c>
      <c r="F481" t="s">
        <v>11</v>
      </c>
      <c r="G481" t="s">
        <v>29</v>
      </c>
      <c r="H481">
        <v>4</v>
      </c>
      <c r="I481">
        <v>30</v>
      </c>
      <c r="J481" t="s">
        <v>23</v>
      </c>
      <c r="K481" t="s">
        <v>25</v>
      </c>
      <c r="L481">
        <v>120</v>
      </c>
    </row>
    <row r="482" spans="1:12" x14ac:dyDescent="0.3">
      <c r="A482">
        <v>1222</v>
      </c>
      <c r="B482" t="s">
        <v>26</v>
      </c>
      <c r="C482" s="1">
        <v>45913</v>
      </c>
      <c r="D482" s="1" t="str">
        <f>TEXT(FMData[[#This Row],[Show_Date]],"mmm")</f>
        <v>Sep</v>
      </c>
      <c r="E482" s="1" t="str">
        <f>TEXT(FMData[[#This Row],[Show_Date]],"ddd")</f>
        <v>Sat</v>
      </c>
      <c r="F482" t="s">
        <v>16</v>
      </c>
      <c r="G482" t="s">
        <v>17</v>
      </c>
      <c r="H482">
        <v>1</v>
      </c>
      <c r="I482">
        <v>12</v>
      </c>
      <c r="J482" t="s">
        <v>21</v>
      </c>
      <c r="K482" t="s">
        <v>27</v>
      </c>
      <c r="L482">
        <v>12</v>
      </c>
    </row>
    <row r="483" spans="1:12" x14ac:dyDescent="0.3">
      <c r="A483">
        <v>1737</v>
      </c>
      <c r="B483" t="s">
        <v>15</v>
      </c>
      <c r="C483" s="1">
        <v>45859</v>
      </c>
      <c r="D483" s="1" t="str">
        <f>TEXT(FMData[[#This Row],[Show_Date]],"mmm")</f>
        <v>Jul</v>
      </c>
      <c r="E483" s="1" t="str">
        <f>TEXT(FMData[[#This Row],[Show_Date]],"ddd")</f>
        <v>Mon</v>
      </c>
      <c r="F483" t="s">
        <v>16</v>
      </c>
      <c r="G483" t="s">
        <v>30</v>
      </c>
      <c r="H483">
        <v>1</v>
      </c>
      <c r="I483">
        <v>8</v>
      </c>
      <c r="J483" t="s">
        <v>21</v>
      </c>
      <c r="K483" t="s">
        <v>14</v>
      </c>
      <c r="L483">
        <v>8</v>
      </c>
    </row>
    <row r="484" spans="1:12" x14ac:dyDescent="0.3">
      <c r="A484">
        <v>519</v>
      </c>
      <c r="B484" t="s">
        <v>19</v>
      </c>
      <c r="C484" s="1">
        <v>45867</v>
      </c>
      <c r="D484" s="1" t="str">
        <f>TEXT(FMData[[#This Row],[Show_Date]],"mmm")</f>
        <v>Jul</v>
      </c>
      <c r="E484" s="1" t="str">
        <f>TEXT(FMData[[#This Row],[Show_Date]],"ddd")</f>
        <v>Tue</v>
      </c>
      <c r="F484" t="s">
        <v>16</v>
      </c>
      <c r="G484" t="s">
        <v>30</v>
      </c>
      <c r="H484">
        <v>5</v>
      </c>
      <c r="I484">
        <v>8</v>
      </c>
      <c r="J484" t="s">
        <v>13</v>
      </c>
      <c r="K484" t="s">
        <v>27</v>
      </c>
      <c r="L484">
        <v>40</v>
      </c>
    </row>
    <row r="485" spans="1:12" x14ac:dyDescent="0.3">
      <c r="A485">
        <v>1116</v>
      </c>
      <c r="B485" t="s">
        <v>28</v>
      </c>
      <c r="C485" s="1">
        <v>45923</v>
      </c>
      <c r="D485" s="1" t="str">
        <f>TEXT(FMData[[#This Row],[Show_Date]],"mmm")</f>
        <v>Sep</v>
      </c>
      <c r="E485" s="1" t="str">
        <f>TEXT(FMData[[#This Row],[Show_Date]],"ddd")</f>
        <v>Tue</v>
      </c>
      <c r="F485" t="s">
        <v>16</v>
      </c>
      <c r="G485" t="s">
        <v>22</v>
      </c>
      <c r="H485">
        <v>1</v>
      </c>
      <c r="I485">
        <v>20</v>
      </c>
      <c r="J485" t="s">
        <v>23</v>
      </c>
      <c r="K485" t="s">
        <v>18</v>
      </c>
      <c r="L485">
        <v>20</v>
      </c>
    </row>
    <row r="486" spans="1:12" x14ac:dyDescent="0.3">
      <c r="A486">
        <v>1201</v>
      </c>
      <c r="B486" t="s">
        <v>15</v>
      </c>
      <c r="C486" s="1">
        <v>45865</v>
      </c>
      <c r="D486" s="1" t="str">
        <f>TEXT(FMData[[#This Row],[Show_Date]],"mmm")</f>
        <v>Jul</v>
      </c>
      <c r="E486" s="1" t="str">
        <f>TEXT(FMData[[#This Row],[Show_Date]],"ddd")</f>
        <v>Sun</v>
      </c>
      <c r="F486" t="s">
        <v>16</v>
      </c>
      <c r="G486" t="s">
        <v>12</v>
      </c>
      <c r="H486">
        <v>4</v>
      </c>
      <c r="I486">
        <v>25</v>
      </c>
      <c r="J486" t="s">
        <v>23</v>
      </c>
      <c r="K486" t="s">
        <v>14</v>
      </c>
      <c r="L486">
        <v>100</v>
      </c>
    </row>
    <row r="487" spans="1:12" x14ac:dyDescent="0.3">
      <c r="A487">
        <v>796</v>
      </c>
      <c r="B487" t="s">
        <v>28</v>
      </c>
      <c r="C487" s="1">
        <v>45876</v>
      </c>
      <c r="D487" s="1" t="str">
        <f>TEXT(FMData[[#This Row],[Show_Date]],"mmm")</f>
        <v>Aug</v>
      </c>
      <c r="E487" s="1" t="str">
        <f>TEXT(FMData[[#This Row],[Show_Date]],"ddd")</f>
        <v>Thu</v>
      </c>
      <c r="F487" t="s">
        <v>16</v>
      </c>
      <c r="G487" t="s">
        <v>12</v>
      </c>
      <c r="H487">
        <v>2</v>
      </c>
      <c r="I487">
        <v>25</v>
      </c>
      <c r="J487" t="s">
        <v>21</v>
      </c>
      <c r="K487" t="s">
        <v>14</v>
      </c>
      <c r="L487">
        <v>50</v>
      </c>
    </row>
    <row r="488" spans="1:12" x14ac:dyDescent="0.3">
      <c r="A488">
        <v>263</v>
      </c>
      <c r="B488" t="s">
        <v>15</v>
      </c>
      <c r="C488" s="1">
        <v>45876</v>
      </c>
      <c r="D488" s="1" t="str">
        <f>TEXT(FMData[[#This Row],[Show_Date]],"mmm")</f>
        <v>Aug</v>
      </c>
      <c r="E488" s="1" t="str">
        <f>TEXT(FMData[[#This Row],[Show_Date]],"ddd")</f>
        <v>Thu</v>
      </c>
      <c r="F488" t="s">
        <v>20</v>
      </c>
      <c r="G488" t="s">
        <v>22</v>
      </c>
      <c r="H488">
        <v>2</v>
      </c>
      <c r="I488">
        <v>20</v>
      </c>
      <c r="J488" t="s">
        <v>23</v>
      </c>
      <c r="K488" t="s">
        <v>18</v>
      </c>
      <c r="L488">
        <v>40</v>
      </c>
    </row>
    <row r="489" spans="1:12" x14ac:dyDescent="0.3">
      <c r="A489">
        <v>354</v>
      </c>
      <c r="B489" t="s">
        <v>19</v>
      </c>
      <c r="C489" s="1">
        <v>45915</v>
      </c>
      <c r="D489" s="1" t="str">
        <f>TEXT(FMData[[#This Row],[Show_Date]],"mmm")</f>
        <v>Sep</v>
      </c>
      <c r="E489" s="1" t="str">
        <f>TEXT(FMData[[#This Row],[Show_Date]],"ddd")</f>
        <v>Mon</v>
      </c>
      <c r="F489" t="s">
        <v>16</v>
      </c>
      <c r="G489" t="s">
        <v>22</v>
      </c>
      <c r="H489">
        <v>5</v>
      </c>
      <c r="I489">
        <v>20</v>
      </c>
      <c r="J489" t="s">
        <v>23</v>
      </c>
      <c r="K489" t="s">
        <v>25</v>
      </c>
      <c r="L489">
        <v>100</v>
      </c>
    </row>
    <row r="490" spans="1:12" x14ac:dyDescent="0.3">
      <c r="A490">
        <v>905</v>
      </c>
      <c r="B490" t="s">
        <v>32</v>
      </c>
      <c r="C490" s="1">
        <v>45857</v>
      </c>
      <c r="D490" s="1" t="str">
        <f>TEXT(FMData[[#This Row],[Show_Date]],"mmm")</f>
        <v>Jul</v>
      </c>
      <c r="E490" s="1" t="str">
        <f>TEXT(FMData[[#This Row],[Show_Date]],"ddd")</f>
        <v>Sat</v>
      </c>
      <c r="F490" t="s">
        <v>16</v>
      </c>
      <c r="G490" t="s">
        <v>12</v>
      </c>
      <c r="H490">
        <v>4</v>
      </c>
      <c r="I490">
        <v>25</v>
      </c>
      <c r="J490" t="s">
        <v>13</v>
      </c>
      <c r="K490" t="s">
        <v>18</v>
      </c>
      <c r="L490">
        <v>100</v>
      </c>
    </row>
    <row r="491" spans="1:12" x14ac:dyDescent="0.3">
      <c r="A491">
        <v>1131</v>
      </c>
      <c r="B491" t="s">
        <v>26</v>
      </c>
      <c r="C491" s="1">
        <v>45843</v>
      </c>
      <c r="D491" s="1" t="str">
        <f>TEXT(FMData[[#This Row],[Show_Date]],"mmm")</f>
        <v>Jul</v>
      </c>
      <c r="E491" s="1" t="str">
        <f>TEXT(FMData[[#This Row],[Show_Date]],"ddd")</f>
        <v>Sat</v>
      </c>
      <c r="F491" t="s">
        <v>16</v>
      </c>
      <c r="G491" t="s">
        <v>22</v>
      </c>
      <c r="H491">
        <v>2</v>
      </c>
      <c r="I491">
        <v>20</v>
      </c>
      <c r="J491" t="s">
        <v>13</v>
      </c>
      <c r="K491" t="s">
        <v>14</v>
      </c>
      <c r="L491">
        <v>40</v>
      </c>
    </row>
    <row r="492" spans="1:12" x14ac:dyDescent="0.3">
      <c r="A492">
        <v>1548</v>
      </c>
      <c r="B492" t="s">
        <v>28</v>
      </c>
      <c r="C492" s="1">
        <v>45893</v>
      </c>
      <c r="D492" s="1" t="str">
        <f>TEXT(FMData[[#This Row],[Show_Date]],"mmm")</f>
        <v>Aug</v>
      </c>
      <c r="E492" s="1" t="str">
        <f>TEXT(FMData[[#This Row],[Show_Date]],"ddd")</f>
        <v>Sun</v>
      </c>
      <c r="F492" t="s">
        <v>16</v>
      </c>
      <c r="G492" t="s">
        <v>17</v>
      </c>
      <c r="H492">
        <v>1</v>
      </c>
      <c r="I492">
        <v>12</v>
      </c>
      <c r="J492" t="s">
        <v>23</v>
      </c>
      <c r="K492" t="s">
        <v>25</v>
      </c>
      <c r="L492">
        <v>12</v>
      </c>
    </row>
    <row r="493" spans="1:12" x14ac:dyDescent="0.3">
      <c r="A493">
        <v>885</v>
      </c>
      <c r="B493" t="s">
        <v>19</v>
      </c>
      <c r="C493" s="1">
        <v>45927</v>
      </c>
      <c r="D493" s="1" t="str">
        <f>TEXT(FMData[[#This Row],[Show_Date]],"mmm")</f>
        <v>Sep</v>
      </c>
      <c r="E493" s="1" t="str">
        <f>TEXT(FMData[[#This Row],[Show_Date]],"ddd")</f>
        <v>Sat</v>
      </c>
      <c r="F493" t="s">
        <v>16</v>
      </c>
      <c r="G493" t="s">
        <v>17</v>
      </c>
      <c r="H493">
        <v>2</v>
      </c>
      <c r="I493">
        <v>12</v>
      </c>
      <c r="J493" t="s">
        <v>13</v>
      </c>
      <c r="K493" t="s">
        <v>14</v>
      </c>
      <c r="L493">
        <v>24</v>
      </c>
    </row>
    <row r="494" spans="1:12" x14ac:dyDescent="0.3">
      <c r="A494">
        <v>1626</v>
      </c>
      <c r="B494" t="s">
        <v>28</v>
      </c>
      <c r="C494" s="1">
        <v>45842</v>
      </c>
      <c r="D494" s="1" t="str">
        <f>TEXT(FMData[[#This Row],[Show_Date]],"mmm")</f>
        <v>Jul</v>
      </c>
      <c r="E494" s="1" t="str">
        <f>TEXT(FMData[[#This Row],[Show_Date]],"ddd")</f>
        <v>Fri</v>
      </c>
      <c r="F494" t="s">
        <v>20</v>
      </c>
      <c r="G494" t="s">
        <v>17</v>
      </c>
      <c r="H494">
        <v>3</v>
      </c>
      <c r="I494">
        <v>12</v>
      </c>
      <c r="J494" t="s">
        <v>13</v>
      </c>
      <c r="K494" t="s">
        <v>14</v>
      </c>
      <c r="L494">
        <v>36</v>
      </c>
    </row>
    <row r="495" spans="1:12" x14ac:dyDescent="0.3">
      <c r="A495">
        <v>1382</v>
      </c>
      <c r="B495" t="s">
        <v>31</v>
      </c>
      <c r="C495" s="1">
        <v>45901</v>
      </c>
      <c r="D495" s="1" t="str">
        <f>TEXT(FMData[[#This Row],[Show_Date]],"mmm")</f>
        <v>Sep</v>
      </c>
      <c r="E495" s="1" t="str">
        <f>TEXT(FMData[[#This Row],[Show_Date]],"ddd")</f>
        <v>Mon</v>
      </c>
      <c r="F495" t="s">
        <v>16</v>
      </c>
      <c r="G495" t="s">
        <v>17</v>
      </c>
      <c r="H495">
        <v>1</v>
      </c>
      <c r="I495">
        <v>12</v>
      </c>
      <c r="J495" t="s">
        <v>23</v>
      </c>
      <c r="K495" t="s">
        <v>14</v>
      </c>
      <c r="L495">
        <v>12</v>
      </c>
    </row>
    <row r="496" spans="1:12" x14ac:dyDescent="0.3">
      <c r="A496">
        <v>84</v>
      </c>
      <c r="B496" t="s">
        <v>19</v>
      </c>
      <c r="C496" s="1">
        <v>45895</v>
      </c>
      <c r="D496" s="1" t="str">
        <f>TEXT(FMData[[#This Row],[Show_Date]],"mmm")</f>
        <v>Aug</v>
      </c>
      <c r="E496" s="1" t="str">
        <f>TEXT(FMData[[#This Row],[Show_Date]],"ddd")</f>
        <v>Tue</v>
      </c>
      <c r="F496" t="s">
        <v>20</v>
      </c>
      <c r="G496" t="s">
        <v>29</v>
      </c>
      <c r="H496">
        <v>4</v>
      </c>
      <c r="I496">
        <v>30</v>
      </c>
      <c r="J496" t="s">
        <v>13</v>
      </c>
      <c r="K496" t="s">
        <v>14</v>
      </c>
      <c r="L496">
        <v>120</v>
      </c>
    </row>
    <row r="497" spans="1:12" x14ac:dyDescent="0.3">
      <c r="A497">
        <v>1496</v>
      </c>
      <c r="B497" t="s">
        <v>15</v>
      </c>
      <c r="C497" s="1">
        <v>45920</v>
      </c>
      <c r="D497" s="1" t="str">
        <f>TEXT(FMData[[#This Row],[Show_Date]],"mmm")</f>
        <v>Sep</v>
      </c>
      <c r="E497" s="1" t="str">
        <f>TEXT(FMData[[#This Row],[Show_Date]],"ddd")</f>
        <v>Sat</v>
      </c>
      <c r="F497" t="s">
        <v>33</v>
      </c>
      <c r="G497" t="s">
        <v>17</v>
      </c>
      <c r="H497">
        <v>1</v>
      </c>
      <c r="I497">
        <v>12</v>
      </c>
      <c r="J497" t="s">
        <v>21</v>
      </c>
      <c r="K497" t="s">
        <v>14</v>
      </c>
      <c r="L497">
        <v>12</v>
      </c>
    </row>
    <row r="498" spans="1:12" x14ac:dyDescent="0.3">
      <c r="A498">
        <v>1133</v>
      </c>
      <c r="B498" t="s">
        <v>10</v>
      </c>
      <c r="C498" s="1">
        <v>45920</v>
      </c>
      <c r="D498" s="1" t="str">
        <f>TEXT(FMData[[#This Row],[Show_Date]],"mmm")</f>
        <v>Sep</v>
      </c>
      <c r="E498" s="1" t="str">
        <f>TEXT(FMData[[#This Row],[Show_Date]],"ddd")</f>
        <v>Sat</v>
      </c>
      <c r="F498" t="s">
        <v>20</v>
      </c>
      <c r="G498" t="s">
        <v>29</v>
      </c>
      <c r="H498">
        <v>4</v>
      </c>
      <c r="I498">
        <v>30</v>
      </c>
      <c r="J498" t="s">
        <v>21</v>
      </c>
      <c r="K498" t="s">
        <v>25</v>
      </c>
      <c r="L498">
        <v>120</v>
      </c>
    </row>
    <row r="499" spans="1:12" x14ac:dyDescent="0.3">
      <c r="A499">
        <v>351</v>
      </c>
      <c r="B499" t="s">
        <v>31</v>
      </c>
      <c r="C499" s="1">
        <v>45863</v>
      </c>
      <c r="D499" s="1" t="str">
        <f>TEXT(FMData[[#This Row],[Show_Date]],"mmm")</f>
        <v>Jul</v>
      </c>
      <c r="E499" s="1" t="str">
        <f>TEXT(FMData[[#This Row],[Show_Date]],"ddd")</f>
        <v>Fri</v>
      </c>
      <c r="F499" t="s">
        <v>16</v>
      </c>
      <c r="G499" t="s">
        <v>12</v>
      </c>
      <c r="H499">
        <v>1</v>
      </c>
      <c r="I499">
        <v>25</v>
      </c>
      <c r="J499" t="s">
        <v>21</v>
      </c>
      <c r="K499" t="s">
        <v>27</v>
      </c>
      <c r="L499">
        <v>25</v>
      </c>
    </row>
    <row r="500" spans="1:12" x14ac:dyDescent="0.3">
      <c r="A500">
        <v>654</v>
      </c>
      <c r="B500" t="s">
        <v>15</v>
      </c>
      <c r="C500" s="1">
        <v>45855</v>
      </c>
      <c r="D500" s="1" t="str">
        <f>TEXT(FMData[[#This Row],[Show_Date]],"mmm")</f>
        <v>Jul</v>
      </c>
      <c r="E500" s="1" t="str">
        <f>TEXT(FMData[[#This Row],[Show_Date]],"ddd")</f>
        <v>Thu</v>
      </c>
      <c r="F500" t="s">
        <v>33</v>
      </c>
      <c r="G500" t="s">
        <v>17</v>
      </c>
      <c r="H500">
        <v>1</v>
      </c>
      <c r="I500">
        <v>12</v>
      </c>
      <c r="J500" t="s">
        <v>23</v>
      </c>
      <c r="K500" t="s">
        <v>27</v>
      </c>
      <c r="L500">
        <v>12</v>
      </c>
    </row>
    <row r="501" spans="1:12" x14ac:dyDescent="0.3">
      <c r="A501">
        <v>978</v>
      </c>
      <c r="B501" t="s">
        <v>19</v>
      </c>
      <c r="C501" s="1">
        <v>45895</v>
      </c>
      <c r="D501" s="1" t="str">
        <f>TEXT(FMData[[#This Row],[Show_Date]],"mmm")</f>
        <v>Aug</v>
      </c>
      <c r="E501" s="1" t="str">
        <f>TEXT(FMData[[#This Row],[Show_Date]],"ddd")</f>
        <v>Tue</v>
      </c>
      <c r="F501" t="s">
        <v>33</v>
      </c>
      <c r="G501" t="s">
        <v>17</v>
      </c>
      <c r="H501">
        <v>3</v>
      </c>
      <c r="I501">
        <v>12</v>
      </c>
      <c r="J501" t="s">
        <v>23</v>
      </c>
      <c r="K501" t="s">
        <v>27</v>
      </c>
      <c r="L501">
        <v>36</v>
      </c>
    </row>
    <row r="502" spans="1:12" x14ac:dyDescent="0.3">
      <c r="A502">
        <v>1090</v>
      </c>
      <c r="B502" t="s">
        <v>26</v>
      </c>
      <c r="C502" s="1">
        <v>45851</v>
      </c>
      <c r="D502" s="1" t="str">
        <f>TEXT(FMData[[#This Row],[Show_Date]],"mmm")</f>
        <v>Jul</v>
      </c>
      <c r="E502" s="1" t="str">
        <f>TEXT(FMData[[#This Row],[Show_Date]],"ddd")</f>
        <v>Sun</v>
      </c>
      <c r="F502" t="s">
        <v>16</v>
      </c>
      <c r="G502" t="s">
        <v>17</v>
      </c>
      <c r="H502">
        <v>3</v>
      </c>
      <c r="I502">
        <v>12</v>
      </c>
      <c r="J502" t="s">
        <v>21</v>
      </c>
      <c r="K502" t="s">
        <v>14</v>
      </c>
      <c r="L502">
        <v>36</v>
      </c>
    </row>
    <row r="503" spans="1:12" x14ac:dyDescent="0.3">
      <c r="A503">
        <v>1941</v>
      </c>
      <c r="B503" t="s">
        <v>28</v>
      </c>
      <c r="C503" s="1">
        <v>45878</v>
      </c>
      <c r="D503" s="1" t="str">
        <f>TEXT(FMData[[#This Row],[Show_Date]],"mmm")</f>
        <v>Aug</v>
      </c>
      <c r="E503" s="1" t="str">
        <f>TEXT(FMData[[#This Row],[Show_Date]],"ddd")</f>
        <v>Sat</v>
      </c>
      <c r="F503" t="s">
        <v>16</v>
      </c>
      <c r="G503" t="s">
        <v>30</v>
      </c>
      <c r="H503">
        <v>2</v>
      </c>
      <c r="I503">
        <v>8</v>
      </c>
      <c r="J503" t="s">
        <v>23</v>
      </c>
      <c r="K503" t="s">
        <v>14</v>
      </c>
      <c r="L503">
        <v>16</v>
      </c>
    </row>
    <row r="504" spans="1:12" x14ac:dyDescent="0.3">
      <c r="A504">
        <v>173</v>
      </c>
      <c r="B504" t="s">
        <v>32</v>
      </c>
      <c r="C504" s="1">
        <v>45893</v>
      </c>
      <c r="D504" s="1" t="str">
        <f>TEXT(FMData[[#This Row],[Show_Date]],"mmm")</f>
        <v>Aug</v>
      </c>
      <c r="E504" s="1" t="str">
        <f>TEXT(FMData[[#This Row],[Show_Date]],"ddd")</f>
        <v>Sun</v>
      </c>
      <c r="F504" t="s">
        <v>16</v>
      </c>
      <c r="G504" t="s">
        <v>17</v>
      </c>
      <c r="H504">
        <v>4</v>
      </c>
      <c r="I504">
        <v>12</v>
      </c>
      <c r="J504" t="s">
        <v>21</v>
      </c>
      <c r="K504" t="s">
        <v>14</v>
      </c>
      <c r="L504">
        <v>48</v>
      </c>
    </row>
    <row r="505" spans="1:12" x14ac:dyDescent="0.3">
      <c r="A505">
        <v>1238</v>
      </c>
      <c r="B505" t="s">
        <v>19</v>
      </c>
      <c r="C505" s="1">
        <v>45912</v>
      </c>
      <c r="D505" s="1" t="str">
        <f>TEXT(FMData[[#This Row],[Show_Date]],"mmm")</f>
        <v>Sep</v>
      </c>
      <c r="E505" s="1" t="str">
        <f>TEXT(FMData[[#This Row],[Show_Date]],"ddd")</f>
        <v>Fri</v>
      </c>
      <c r="F505" t="s">
        <v>11</v>
      </c>
      <c r="G505" t="s">
        <v>29</v>
      </c>
      <c r="H505">
        <v>5</v>
      </c>
      <c r="I505">
        <v>30</v>
      </c>
      <c r="J505" t="s">
        <v>21</v>
      </c>
      <c r="K505" t="s">
        <v>18</v>
      </c>
      <c r="L505">
        <v>150</v>
      </c>
    </row>
    <row r="506" spans="1:12" x14ac:dyDescent="0.3">
      <c r="A506">
        <v>1401</v>
      </c>
      <c r="B506" t="s">
        <v>32</v>
      </c>
      <c r="C506" s="1">
        <v>45895</v>
      </c>
      <c r="D506" s="1" t="str">
        <f>TEXT(FMData[[#This Row],[Show_Date]],"mmm")</f>
        <v>Aug</v>
      </c>
      <c r="E506" s="1" t="str">
        <f>TEXT(FMData[[#This Row],[Show_Date]],"ddd")</f>
        <v>Tue</v>
      </c>
      <c r="F506" t="s">
        <v>16</v>
      </c>
      <c r="G506" t="s">
        <v>17</v>
      </c>
      <c r="H506">
        <v>2</v>
      </c>
      <c r="I506">
        <v>12</v>
      </c>
      <c r="J506" t="s">
        <v>23</v>
      </c>
      <c r="K506" t="s">
        <v>25</v>
      </c>
      <c r="L506">
        <v>24</v>
      </c>
    </row>
    <row r="507" spans="1:12" x14ac:dyDescent="0.3">
      <c r="A507">
        <v>22</v>
      </c>
      <c r="B507" t="s">
        <v>15</v>
      </c>
      <c r="C507" s="1">
        <v>45886</v>
      </c>
      <c r="D507" s="1" t="str">
        <f>TEXT(FMData[[#This Row],[Show_Date]],"mmm")</f>
        <v>Aug</v>
      </c>
      <c r="E507" s="1" t="str">
        <f>TEXT(FMData[[#This Row],[Show_Date]],"ddd")</f>
        <v>Sun</v>
      </c>
      <c r="F507" t="s">
        <v>11</v>
      </c>
      <c r="G507" t="s">
        <v>12</v>
      </c>
      <c r="H507">
        <v>4</v>
      </c>
      <c r="I507">
        <v>25</v>
      </c>
      <c r="J507" t="s">
        <v>13</v>
      </c>
      <c r="K507" t="s">
        <v>27</v>
      </c>
      <c r="L507">
        <v>100</v>
      </c>
    </row>
    <row r="508" spans="1:12" x14ac:dyDescent="0.3">
      <c r="A508">
        <v>430</v>
      </c>
      <c r="B508" t="s">
        <v>31</v>
      </c>
      <c r="C508" s="1">
        <v>45866</v>
      </c>
      <c r="D508" s="1" t="str">
        <f>TEXT(FMData[[#This Row],[Show_Date]],"mmm")</f>
        <v>Jul</v>
      </c>
      <c r="E508" s="1" t="str">
        <f>TEXT(FMData[[#This Row],[Show_Date]],"ddd")</f>
        <v>Mon</v>
      </c>
      <c r="F508" t="s">
        <v>11</v>
      </c>
      <c r="G508" t="s">
        <v>22</v>
      </c>
      <c r="H508">
        <v>2</v>
      </c>
      <c r="I508">
        <v>20</v>
      </c>
      <c r="J508" t="s">
        <v>23</v>
      </c>
      <c r="K508" t="s">
        <v>25</v>
      </c>
      <c r="L508">
        <v>40</v>
      </c>
    </row>
    <row r="509" spans="1:12" x14ac:dyDescent="0.3">
      <c r="A509">
        <v>483</v>
      </c>
      <c r="B509" t="s">
        <v>15</v>
      </c>
      <c r="C509" s="1">
        <v>45917</v>
      </c>
      <c r="D509" s="1" t="str">
        <f>TEXT(FMData[[#This Row],[Show_Date]],"mmm")</f>
        <v>Sep</v>
      </c>
      <c r="E509" s="1" t="str">
        <f>TEXT(FMData[[#This Row],[Show_Date]],"ddd")</f>
        <v>Wed</v>
      </c>
      <c r="F509" t="s">
        <v>33</v>
      </c>
      <c r="G509" t="s">
        <v>29</v>
      </c>
      <c r="H509">
        <v>4</v>
      </c>
      <c r="I509">
        <v>30</v>
      </c>
      <c r="J509" t="s">
        <v>13</v>
      </c>
      <c r="K509" t="s">
        <v>27</v>
      </c>
      <c r="L509">
        <v>120</v>
      </c>
    </row>
    <row r="510" spans="1:12" x14ac:dyDescent="0.3">
      <c r="A510">
        <v>1651</v>
      </c>
      <c r="B510" t="s">
        <v>32</v>
      </c>
      <c r="C510" s="1">
        <v>45845</v>
      </c>
      <c r="D510" s="1" t="str">
        <f>TEXT(FMData[[#This Row],[Show_Date]],"mmm")</f>
        <v>Jul</v>
      </c>
      <c r="E510" s="1" t="str">
        <f>TEXT(FMData[[#This Row],[Show_Date]],"ddd")</f>
        <v>Mon</v>
      </c>
      <c r="F510" t="s">
        <v>20</v>
      </c>
      <c r="G510" t="s">
        <v>30</v>
      </c>
      <c r="H510">
        <v>2</v>
      </c>
      <c r="I510">
        <v>8</v>
      </c>
      <c r="J510" t="s">
        <v>23</v>
      </c>
      <c r="K510" t="s">
        <v>18</v>
      </c>
      <c r="L510">
        <v>16</v>
      </c>
    </row>
    <row r="511" spans="1:12" x14ac:dyDescent="0.3">
      <c r="A511">
        <v>767</v>
      </c>
      <c r="B511" t="s">
        <v>15</v>
      </c>
      <c r="C511" s="1">
        <v>45877</v>
      </c>
      <c r="D511" s="1" t="str">
        <f>TEXT(FMData[[#This Row],[Show_Date]],"mmm")</f>
        <v>Aug</v>
      </c>
      <c r="E511" s="1" t="str">
        <f>TEXT(FMData[[#This Row],[Show_Date]],"ddd")</f>
        <v>Fri</v>
      </c>
      <c r="F511" t="s">
        <v>20</v>
      </c>
      <c r="G511" t="s">
        <v>12</v>
      </c>
      <c r="H511">
        <v>4</v>
      </c>
      <c r="I511">
        <v>25</v>
      </c>
      <c r="J511" t="s">
        <v>21</v>
      </c>
      <c r="K511" t="s">
        <v>27</v>
      </c>
      <c r="L511">
        <v>100</v>
      </c>
    </row>
    <row r="512" spans="1:12" x14ac:dyDescent="0.3">
      <c r="A512">
        <v>1649</v>
      </c>
      <c r="B512" t="s">
        <v>24</v>
      </c>
      <c r="C512" s="1">
        <v>45921</v>
      </c>
      <c r="D512" s="1" t="str">
        <f>TEXT(FMData[[#This Row],[Show_Date]],"mmm")</f>
        <v>Sep</v>
      </c>
      <c r="E512" s="1" t="str">
        <f>TEXT(FMData[[#This Row],[Show_Date]],"ddd")</f>
        <v>Sun</v>
      </c>
      <c r="F512" t="s">
        <v>33</v>
      </c>
      <c r="G512" t="s">
        <v>12</v>
      </c>
      <c r="H512">
        <v>5</v>
      </c>
      <c r="I512">
        <v>25</v>
      </c>
      <c r="J512" t="s">
        <v>21</v>
      </c>
      <c r="K512" t="s">
        <v>27</v>
      </c>
      <c r="L512">
        <v>125</v>
      </c>
    </row>
    <row r="513" spans="1:12" x14ac:dyDescent="0.3">
      <c r="A513">
        <v>463</v>
      </c>
      <c r="B513" t="s">
        <v>10</v>
      </c>
      <c r="C513" s="1">
        <v>45855</v>
      </c>
      <c r="D513" s="1" t="str">
        <f>TEXT(FMData[[#This Row],[Show_Date]],"mmm")</f>
        <v>Jul</v>
      </c>
      <c r="E513" s="1" t="str">
        <f>TEXT(FMData[[#This Row],[Show_Date]],"ddd")</f>
        <v>Thu</v>
      </c>
      <c r="F513" t="s">
        <v>11</v>
      </c>
      <c r="G513" t="s">
        <v>12</v>
      </c>
      <c r="H513">
        <v>5</v>
      </c>
      <c r="I513">
        <v>25</v>
      </c>
      <c r="J513" t="s">
        <v>21</v>
      </c>
      <c r="K513" t="s">
        <v>14</v>
      </c>
      <c r="L513">
        <v>125</v>
      </c>
    </row>
    <row r="514" spans="1:12" x14ac:dyDescent="0.3">
      <c r="A514">
        <v>236</v>
      </c>
      <c r="B514" t="s">
        <v>31</v>
      </c>
      <c r="C514" s="1">
        <v>45922</v>
      </c>
      <c r="D514" s="1" t="str">
        <f>TEXT(FMData[[#This Row],[Show_Date]],"mmm")</f>
        <v>Sep</v>
      </c>
      <c r="E514" s="1" t="str">
        <f>TEXT(FMData[[#This Row],[Show_Date]],"ddd")</f>
        <v>Mon</v>
      </c>
      <c r="F514" t="s">
        <v>16</v>
      </c>
      <c r="G514" t="s">
        <v>12</v>
      </c>
      <c r="H514">
        <v>3</v>
      </c>
      <c r="I514">
        <v>25</v>
      </c>
      <c r="J514" t="s">
        <v>13</v>
      </c>
      <c r="K514" t="s">
        <v>14</v>
      </c>
      <c r="L514">
        <v>75</v>
      </c>
    </row>
    <row r="515" spans="1:12" x14ac:dyDescent="0.3">
      <c r="A515">
        <v>1336</v>
      </c>
      <c r="B515" t="s">
        <v>10</v>
      </c>
      <c r="C515" s="1">
        <v>45878</v>
      </c>
      <c r="D515" s="1" t="str">
        <f>TEXT(FMData[[#This Row],[Show_Date]],"mmm")</f>
        <v>Aug</v>
      </c>
      <c r="E515" s="1" t="str">
        <f>TEXT(FMData[[#This Row],[Show_Date]],"ddd")</f>
        <v>Sat</v>
      </c>
      <c r="F515" t="s">
        <v>33</v>
      </c>
      <c r="G515" t="s">
        <v>30</v>
      </c>
      <c r="H515">
        <v>3</v>
      </c>
      <c r="I515">
        <v>8</v>
      </c>
      <c r="J515" t="s">
        <v>23</v>
      </c>
      <c r="K515" t="s">
        <v>18</v>
      </c>
      <c r="L515">
        <v>24</v>
      </c>
    </row>
    <row r="516" spans="1:12" x14ac:dyDescent="0.3">
      <c r="A516">
        <v>1798</v>
      </c>
      <c r="B516" t="s">
        <v>26</v>
      </c>
      <c r="C516" s="1">
        <v>45892</v>
      </c>
      <c r="D516" s="1" t="str">
        <f>TEXT(FMData[[#This Row],[Show_Date]],"mmm")</f>
        <v>Aug</v>
      </c>
      <c r="E516" s="1" t="str">
        <f>TEXT(FMData[[#This Row],[Show_Date]],"ddd")</f>
        <v>Sat</v>
      </c>
      <c r="F516" t="s">
        <v>16</v>
      </c>
      <c r="G516" t="s">
        <v>17</v>
      </c>
      <c r="H516">
        <v>5</v>
      </c>
      <c r="I516">
        <v>12</v>
      </c>
      <c r="J516" t="s">
        <v>13</v>
      </c>
      <c r="K516" t="s">
        <v>27</v>
      </c>
      <c r="L516">
        <v>60</v>
      </c>
    </row>
    <row r="517" spans="1:12" x14ac:dyDescent="0.3">
      <c r="A517">
        <v>1453</v>
      </c>
      <c r="B517" t="s">
        <v>19</v>
      </c>
      <c r="C517" s="1">
        <v>45898</v>
      </c>
      <c r="D517" s="1" t="str">
        <f>TEXT(FMData[[#This Row],[Show_Date]],"mmm")</f>
        <v>Aug</v>
      </c>
      <c r="E517" s="1" t="str">
        <f>TEXT(FMData[[#This Row],[Show_Date]],"ddd")</f>
        <v>Fri</v>
      </c>
      <c r="F517" t="s">
        <v>16</v>
      </c>
      <c r="G517" t="s">
        <v>30</v>
      </c>
      <c r="H517">
        <v>5</v>
      </c>
      <c r="I517">
        <v>8</v>
      </c>
      <c r="J517" t="s">
        <v>21</v>
      </c>
      <c r="K517" t="s">
        <v>27</v>
      </c>
      <c r="L517">
        <v>40</v>
      </c>
    </row>
    <row r="518" spans="1:12" x14ac:dyDescent="0.3">
      <c r="A518">
        <v>1581</v>
      </c>
      <c r="B518" t="s">
        <v>31</v>
      </c>
      <c r="C518" s="1">
        <v>45871</v>
      </c>
      <c r="D518" s="1" t="str">
        <f>TEXT(FMData[[#This Row],[Show_Date]],"mmm")</f>
        <v>Aug</v>
      </c>
      <c r="E518" s="1" t="str">
        <f>TEXT(FMData[[#This Row],[Show_Date]],"ddd")</f>
        <v>Sat</v>
      </c>
      <c r="F518" t="s">
        <v>11</v>
      </c>
      <c r="G518" t="s">
        <v>17</v>
      </c>
      <c r="H518">
        <v>5</v>
      </c>
      <c r="I518">
        <v>12</v>
      </c>
      <c r="J518" t="s">
        <v>21</v>
      </c>
      <c r="K518" t="s">
        <v>25</v>
      </c>
      <c r="L518">
        <v>60</v>
      </c>
    </row>
    <row r="519" spans="1:12" x14ac:dyDescent="0.3">
      <c r="A519">
        <v>294</v>
      </c>
      <c r="B519" t="s">
        <v>26</v>
      </c>
      <c r="C519" s="1">
        <v>45854</v>
      </c>
      <c r="D519" s="1" t="str">
        <f>TEXT(FMData[[#This Row],[Show_Date]],"mmm")</f>
        <v>Jul</v>
      </c>
      <c r="E519" s="1" t="str">
        <f>TEXT(FMData[[#This Row],[Show_Date]],"ddd")</f>
        <v>Wed</v>
      </c>
      <c r="F519" t="s">
        <v>16</v>
      </c>
      <c r="G519" t="s">
        <v>12</v>
      </c>
      <c r="H519">
        <v>4</v>
      </c>
      <c r="I519">
        <v>25</v>
      </c>
      <c r="J519" t="s">
        <v>21</v>
      </c>
      <c r="K519" t="s">
        <v>25</v>
      </c>
      <c r="L519">
        <v>100</v>
      </c>
    </row>
    <row r="520" spans="1:12" x14ac:dyDescent="0.3">
      <c r="A520">
        <v>880</v>
      </c>
      <c r="B520" t="s">
        <v>15</v>
      </c>
      <c r="C520" s="1">
        <v>45867</v>
      </c>
      <c r="D520" s="1" t="str">
        <f>TEXT(FMData[[#This Row],[Show_Date]],"mmm")</f>
        <v>Jul</v>
      </c>
      <c r="E520" s="1" t="str">
        <f>TEXT(FMData[[#This Row],[Show_Date]],"ddd")</f>
        <v>Tue</v>
      </c>
      <c r="F520" t="s">
        <v>16</v>
      </c>
      <c r="G520" t="s">
        <v>17</v>
      </c>
      <c r="H520">
        <v>2</v>
      </c>
      <c r="I520">
        <v>12</v>
      </c>
      <c r="J520" t="s">
        <v>23</v>
      </c>
      <c r="K520" t="s">
        <v>18</v>
      </c>
      <c r="L520">
        <v>24</v>
      </c>
    </row>
    <row r="521" spans="1:12" x14ac:dyDescent="0.3">
      <c r="A521">
        <v>616</v>
      </c>
      <c r="B521" t="s">
        <v>32</v>
      </c>
      <c r="C521" s="1">
        <v>45897</v>
      </c>
      <c r="D521" s="1" t="str">
        <f>TEXT(FMData[[#This Row],[Show_Date]],"mmm")</f>
        <v>Aug</v>
      </c>
      <c r="E521" s="1" t="str">
        <f>TEXT(FMData[[#This Row],[Show_Date]],"ddd")</f>
        <v>Thu</v>
      </c>
      <c r="F521" t="s">
        <v>16</v>
      </c>
      <c r="G521" t="s">
        <v>17</v>
      </c>
      <c r="H521">
        <v>1</v>
      </c>
      <c r="I521">
        <v>12</v>
      </c>
      <c r="J521" t="s">
        <v>13</v>
      </c>
      <c r="K521" t="s">
        <v>27</v>
      </c>
      <c r="L521">
        <v>12</v>
      </c>
    </row>
    <row r="522" spans="1:12" x14ac:dyDescent="0.3">
      <c r="A522">
        <v>141</v>
      </c>
      <c r="B522" t="s">
        <v>19</v>
      </c>
      <c r="C522" s="1">
        <v>45860</v>
      </c>
      <c r="D522" s="1" t="str">
        <f>TEXT(FMData[[#This Row],[Show_Date]],"mmm")</f>
        <v>Jul</v>
      </c>
      <c r="E522" s="1" t="str">
        <f>TEXT(FMData[[#This Row],[Show_Date]],"ddd")</f>
        <v>Tue</v>
      </c>
      <c r="F522" t="s">
        <v>16</v>
      </c>
      <c r="G522" t="s">
        <v>22</v>
      </c>
      <c r="H522">
        <v>2</v>
      </c>
      <c r="I522">
        <v>20</v>
      </c>
      <c r="J522" t="s">
        <v>13</v>
      </c>
      <c r="K522" t="s">
        <v>14</v>
      </c>
      <c r="L522">
        <v>40</v>
      </c>
    </row>
    <row r="523" spans="1:12" x14ac:dyDescent="0.3">
      <c r="A523">
        <v>1535</v>
      </c>
      <c r="B523" t="s">
        <v>32</v>
      </c>
      <c r="C523" s="1">
        <v>45842</v>
      </c>
      <c r="D523" s="1" t="str">
        <f>TEXT(FMData[[#This Row],[Show_Date]],"mmm")</f>
        <v>Jul</v>
      </c>
      <c r="E523" s="1" t="str">
        <f>TEXT(FMData[[#This Row],[Show_Date]],"ddd")</f>
        <v>Fri</v>
      </c>
      <c r="F523" t="s">
        <v>16</v>
      </c>
      <c r="G523" t="s">
        <v>17</v>
      </c>
      <c r="H523">
        <v>1</v>
      </c>
      <c r="I523">
        <v>12</v>
      </c>
      <c r="J523" t="s">
        <v>13</v>
      </c>
      <c r="K523" t="s">
        <v>27</v>
      </c>
      <c r="L523">
        <v>12</v>
      </c>
    </row>
    <row r="524" spans="1:12" x14ac:dyDescent="0.3">
      <c r="A524">
        <v>859</v>
      </c>
      <c r="B524" t="s">
        <v>26</v>
      </c>
      <c r="C524" s="1">
        <v>45899</v>
      </c>
      <c r="D524" s="1" t="str">
        <f>TEXT(FMData[[#This Row],[Show_Date]],"mmm")</f>
        <v>Aug</v>
      </c>
      <c r="E524" s="1" t="str">
        <f>TEXT(FMData[[#This Row],[Show_Date]],"ddd")</f>
        <v>Sat</v>
      </c>
      <c r="F524" t="s">
        <v>33</v>
      </c>
      <c r="G524" t="s">
        <v>17</v>
      </c>
      <c r="H524">
        <v>2</v>
      </c>
      <c r="I524">
        <v>12</v>
      </c>
      <c r="J524" t="s">
        <v>13</v>
      </c>
      <c r="K524" t="s">
        <v>14</v>
      </c>
      <c r="L524">
        <v>24</v>
      </c>
    </row>
    <row r="525" spans="1:12" x14ac:dyDescent="0.3">
      <c r="A525">
        <v>621</v>
      </c>
      <c r="B525" t="s">
        <v>31</v>
      </c>
      <c r="C525" s="1">
        <v>45903</v>
      </c>
      <c r="D525" s="1" t="str">
        <f>TEXT(FMData[[#This Row],[Show_Date]],"mmm")</f>
        <v>Sep</v>
      </c>
      <c r="E525" s="1" t="str">
        <f>TEXT(FMData[[#This Row],[Show_Date]],"ddd")</f>
        <v>Wed</v>
      </c>
      <c r="F525" t="s">
        <v>11</v>
      </c>
      <c r="G525" t="s">
        <v>30</v>
      </c>
      <c r="H525">
        <v>2</v>
      </c>
      <c r="I525">
        <v>8</v>
      </c>
      <c r="J525" t="s">
        <v>21</v>
      </c>
      <c r="K525" t="s">
        <v>25</v>
      </c>
      <c r="L525">
        <v>16</v>
      </c>
    </row>
    <row r="526" spans="1:12" x14ac:dyDescent="0.3">
      <c r="A526">
        <v>745</v>
      </c>
      <c r="B526" t="s">
        <v>32</v>
      </c>
      <c r="C526" s="1">
        <v>45864</v>
      </c>
      <c r="D526" s="1" t="str">
        <f>TEXT(FMData[[#This Row],[Show_Date]],"mmm")</f>
        <v>Jul</v>
      </c>
      <c r="E526" s="1" t="str">
        <f>TEXT(FMData[[#This Row],[Show_Date]],"ddd")</f>
        <v>Sat</v>
      </c>
      <c r="F526" t="s">
        <v>33</v>
      </c>
      <c r="G526" t="s">
        <v>12</v>
      </c>
      <c r="H526">
        <v>1</v>
      </c>
      <c r="I526">
        <v>25</v>
      </c>
      <c r="J526" t="s">
        <v>23</v>
      </c>
      <c r="K526" t="s">
        <v>14</v>
      </c>
      <c r="L526">
        <v>25</v>
      </c>
    </row>
    <row r="527" spans="1:12" x14ac:dyDescent="0.3">
      <c r="A527">
        <v>272</v>
      </c>
      <c r="B527" t="s">
        <v>19</v>
      </c>
      <c r="C527" s="1">
        <v>45888</v>
      </c>
      <c r="D527" s="1" t="str">
        <f>TEXT(FMData[[#This Row],[Show_Date]],"mmm")</f>
        <v>Aug</v>
      </c>
      <c r="E527" s="1" t="str">
        <f>TEXT(FMData[[#This Row],[Show_Date]],"ddd")</f>
        <v>Tue</v>
      </c>
      <c r="F527" t="s">
        <v>33</v>
      </c>
      <c r="G527" t="s">
        <v>17</v>
      </c>
      <c r="H527">
        <v>3</v>
      </c>
      <c r="I527">
        <v>12</v>
      </c>
      <c r="J527" t="s">
        <v>23</v>
      </c>
      <c r="K527" t="s">
        <v>14</v>
      </c>
      <c r="L527">
        <v>36</v>
      </c>
    </row>
    <row r="528" spans="1:12" x14ac:dyDescent="0.3">
      <c r="A528">
        <v>25</v>
      </c>
      <c r="B528" t="s">
        <v>31</v>
      </c>
      <c r="C528" s="1">
        <v>45839</v>
      </c>
      <c r="D528" s="1" t="str">
        <f>TEXT(FMData[[#This Row],[Show_Date]],"mmm")</f>
        <v>Jul</v>
      </c>
      <c r="E528" s="1" t="str">
        <f>TEXT(FMData[[#This Row],[Show_Date]],"ddd")</f>
        <v>Tue</v>
      </c>
      <c r="F528" t="s">
        <v>33</v>
      </c>
      <c r="G528" t="s">
        <v>17</v>
      </c>
      <c r="H528">
        <v>3</v>
      </c>
      <c r="I528">
        <v>12</v>
      </c>
      <c r="J528" t="s">
        <v>13</v>
      </c>
      <c r="K528" t="s">
        <v>27</v>
      </c>
      <c r="L528">
        <v>36</v>
      </c>
    </row>
    <row r="529" spans="1:12" x14ac:dyDescent="0.3">
      <c r="A529">
        <v>895</v>
      </c>
      <c r="B529" t="s">
        <v>31</v>
      </c>
      <c r="C529" s="1">
        <v>45875</v>
      </c>
      <c r="D529" s="1" t="str">
        <f>TEXT(FMData[[#This Row],[Show_Date]],"mmm")</f>
        <v>Aug</v>
      </c>
      <c r="E529" s="1" t="str">
        <f>TEXT(FMData[[#This Row],[Show_Date]],"ddd")</f>
        <v>Wed</v>
      </c>
      <c r="F529" t="s">
        <v>11</v>
      </c>
      <c r="G529" t="s">
        <v>17</v>
      </c>
      <c r="H529">
        <v>3</v>
      </c>
      <c r="I529">
        <v>12</v>
      </c>
      <c r="J529" t="s">
        <v>13</v>
      </c>
      <c r="K529" t="s">
        <v>27</v>
      </c>
      <c r="L529">
        <v>36</v>
      </c>
    </row>
    <row r="530" spans="1:12" x14ac:dyDescent="0.3">
      <c r="A530">
        <v>827</v>
      </c>
      <c r="B530" t="s">
        <v>32</v>
      </c>
      <c r="C530" s="1">
        <v>45904</v>
      </c>
      <c r="D530" s="1" t="str">
        <f>TEXT(FMData[[#This Row],[Show_Date]],"mmm")</f>
        <v>Sep</v>
      </c>
      <c r="E530" s="1" t="str">
        <f>TEXT(FMData[[#This Row],[Show_Date]],"ddd")</f>
        <v>Thu</v>
      </c>
      <c r="F530" t="s">
        <v>20</v>
      </c>
      <c r="G530" t="s">
        <v>30</v>
      </c>
      <c r="H530">
        <v>2</v>
      </c>
      <c r="I530">
        <v>8</v>
      </c>
      <c r="J530" t="s">
        <v>13</v>
      </c>
      <c r="K530" t="s">
        <v>27</v>
      </c>
      <c r="L530">
        <v>16</v>
      </c>
    </row>
    <row r="531" spans="1:12" x14ac:dyDescent="0.3">
      <c r="A531">
        <v>1307</v>
      </c>
      <c r="B531" t="s">
        <v>19</v>
      </c>
      <c r="C531" s="1">
        <v>45841</v>
      </c>
      <c r="D531" s="1" t="str">
        <f>TEXT(FMData[[#This Row],[Show_Date]],"mmm")</f>
        <v>Jul</v>
      </c>
      <c r="E531" s="1" t="str">
        <f>TEXT(FMData[[#This Row],[Show_Date]],"ddd")</f>
        <v>Thu</v>
      </c>
      <c r="F531" t="s">
        <v>20</v>
      </c>
      <c r="G531" t="s">
        <v>17</v>
      </c>
      <c r="H531">
        <v>2</v>
      </c>
      <c r="I531">
        <v>12</v>
      </c>
      <c r="J531" t="s">
        <v>21</v>
      </c>
      <c r="K531" t="s">
        <v>27</v>
      </c>
      <c r="L531">
        <v>24</v>
      </c>
    </row>
    <row r="532" spans="1:12" x14ac:dyDescent="0.3">
      <c r="A532">
        <v>917</v>
      </c>
      <c r="B532" t="s">
        <v>26</v>
      </c>
      <c r="C532" s="1">
        <v>45861</v>
      </c>
      <c r="D532" s="1" t="str">
        <f>TEXT(FMData[[#This Row],[Show_Date]],"mmm")</f>
        <v>Jul</v>
      </c>
      <c r="E532" s="1" t="str">
        <f>TEXT(FMData[[#This Row],[Show_Date]],"ddd")</f>
        <v>Wed</v>
      </c>
      <c r="F532" t="s">
        <v>11</v>
      </c>
      <c r="G532" t="s">
        <v>30</v>
      </c>
      <c r="H532">
        <v>2</v>
      </c>
      <c r="I532">
        <v>8</v>
      </c>
      <c r="J532" t="s">
        <v>21</v>
      </c>
      <c r="K532" t="s">
        <v>18</v>
      </c>
      <c r="L532">
        <v>16</v>
      </c>
    </row>
    <row r="533" spans="1:12" x14ac:dyDescent="0.3">
      <c r="A533">
        <v>241</v>
      </c>
      <c r="B533" t="s">
        <v>26</v>
      </c>
      <c r="C533" s="1">
        <v>45852</v>
      </c>
      <c r="D533" s="1" t="str">
        <f>TEXT(FMData[[#This Row],[Show_Date]],"mmm")</f>
        <v>Jul</v>
      </c>
      <c r="E533" s="1" t="str">
        <f>TEXT(FMData[[#This Row],[Show_Date]],"ddd")</f>
        <v>Mon</v>
      </c>
      <c r="F533" t="s">
        <v>11</v>
      </c>
      <c r="G533" t="s">
        <v>30</v>
      </c>
      <c r="H533">
        <v>4</v>
      </c>
      <c r="I533">
        <v>8</v>
      </c>
      <c r="J533" t="s">
        <v>21</v>
      </c>
      <c r="K533" t="s">
        <v>25</v>
      </c>
      <c r="L533">
        <v>32</v>
      </c>
    </row>
    <row r="534" spans="1:12" x14ac:dyDescent="0.3">
      <c r="A534">
        <v>1504</v>
      </c>
      <c r="B534" t="s">
        <v>32</v>
      </c>
      <c r="C534" s="1">
        <v>45930</v>
      </c>
      <c r="D534" s="1" t="str">
        <f>TEXT(FMData[[#This Row],[Show_Date]],"mmm")</f>
        <v>Sep</v>
      </c>
      <c r="E534" s="1" t="str">
        <f>TEXT(FMData[[#This Row],[Show_Date]],"ddd")</f>
        <v>Tue</v>
      </c>
      <c r="F534" t="s">
        <v>11</v>
      </c>
      <c r="G534" t="s">
        <v>17</v>
      </c>
      <c r="H534">
        <v>2</v>
      </c>
      <c r="I534">
        <v>12</v>
      </c>
      <c r="J534" t="s">
        <v>21</v>
      </c>
      <c r="K534" t="s">
        <v>14</v>
      </c>
      <c r="L534">
        <v>24</v>
      </c>
    </row>
    <row r="535" spans="1:12" x14ac:dyDescent="0.3">
      <c r="A535">
        <v>1392</v>
      </c>
      <c r="B535" t="s">
        <v>10</v>
      </c>
      <c r="C535" s="1">
        <v>45892</v>
      </c>
      <c r="D535" s="1" t="str">
        <f>TEXT(FMData[[#This Row],[Show_Date]],"mmm")</f>
        <v>Aug</v>
      </c>
      <c r="E535" s="1" t="str">
        <f>TEXT(FMData[[#This Row],[Show_Date]],"ddd")</f>
        <v>Sat</v>
      </c>
      <c r="F535" t="s">
        <v>11</v>
      </c>
      <c r="G535" t="s">
        <v>22</v>
      </c>
      <c r="H535">
        <v>2</v>
      </c>
      <c r="I535">
        <v>20</v>
      </c>
      <c r="J535" t="s">
        <v>13</v>
      </c>
      <c r="K535" t="s">
        <v>18</v>
      </c>
      <c r="L535">
        <v>40</v>
      </c>
    </row>
    <row r="536" spans="1:12" x14ac:dyDescent="0.3">
      <c r="A536">
        <v>634</v>
      </c>
      <c r="B536" t="s">
        <v>10</v>
      </c>
      <c r="C536" s="1">
        <v>45905</v>
      </c>
      <c r="D536" s="1" t="str">
        <f>TEXT(FMData[[#This Row],[Show_Date]],"mmm")</f>
        <v>Sep</v>
      </c>
      <c r="E536" s="1" t="str">
        <f>TEXT(FMData[[#This Row],[Show_Date]],"ddd")</f>
        <v>Fri</v>
      </c>
      <c r="F536" t="s">
        <v>11</v>
      </c>
      <c r="G536" t="s">
        <v>17</v>
      </c>
      <c r="H536">
        <v>2</v>
      </c>
      <c r="I536">
        <v>12</v>
      </c>
      <c r="J536" t="s">
        <v>21</v>
      </c>
      <c r="K536" t="s">
        <v>25</v>
      </c>
      <c r="L536">
        <v>24</v>
      </c>
    </row>
    <row r="537" spans="1:12" x14ac:dyDescent="0.3">
      <c r="A537">
        <v>1671</v>
      </c>
      <c r="B537" t="s">
        <v>10</v>
      </c>
      <c r="C537" s="1">
        <v>45885</v>
      </c>
      <c r="D537" s="1" t="str">
        <f>TEXT(FMData[[#This Row],[Show_Date]],"mmm")</f>
        <v>Aug</v>
      </c>
      <c r="E537" s="1" t="str">
        <f>TEXT(FMData[[#This Row],[Show_Date]],"ddd")</f>
        <v>Sat</v>
      </c>
      <c r="F537" t="s">
        <v>11</v>
      </c>
      <c r="G537" t="s">
        <v>17</v>
      </c>
      <c r="H537">
        <v>2</v>
      </c>
      <c r="I537">
        <v>12</v>
      </c>
      <c r="J537" t="s">
        <v>13</v>
      </c>
      <c r="K537" t="s">
        <v>27</v>
      </c>
      <c r="L537">
        <v>24</v>
      </c>
    </row>
    <row r="538" spans="1:12" x14ac:dyDescent="0.3">
      <c r="A538">
        <v>1888</v>
      </c>
      <c r="B538" t="s">
        <v>10</v>
      </c>
      <c r="C538" s="1">
        <v>45883</v>
      </c>
      <c r="D538" s="1" t="str">
        <f>TEXT(FMData[[#This Row],[Show_Date]],"mmm")</f>
        <v>Aug</v>
      </c>
      <c r="E538" s="1" t="str">
        <f>TEXT(FMData[[#This Row],[Show_Date]],"ddd")</f>
        <v>Thu</v>
      </c>
      <c r="F538" t="s">
        <v>11</v>
      </c>
      <c r="G538" t="s">
        <v>12</v>
      </c>
      <c r="H538">
        <v>3</v>
      </c>
      <c r="I538">
        <v>25</v>
      </c>
      <c r="J538" t="s">
        <v>21</v>
      </c>
      <c r="K538" t="s">
        <v>27</v>
      </c>
      <c r="L538">
        <v>75</v>
      </c>
    </row>
    <row r="539" spans="1:12" x14ac:dyDescent="0.3">
      <c r="A539">
        <v>1168</v>
      </c>
      <c r="B539" t="s">
        <v>10</v>
      </c>
      <c r="C539" s="1">
        <v>45874</v>
      </c>
      <c r="D539" s="1" t="str">
        <f>TEXT(FMData[[#This Row],[Show_Date]],"mmm")</f>
        <v>Aug</v>
      </c>
      <c r="E539" s="1" t="str">
        <f>TEXT(FMData[[#This Row],[Show_Date]],"ddd")</f>
        <v>Tue</v>
      </c>
      <c r="F539" t="s">
        <v>11</v>
      </c>
      <c r="G539" t="s">
        <v>17</v>
      </c>
      <c r="H539">
        <v>1</v>
      </c>
      <c r="I539">
        <v>12</v>
      </c>
      <c r="J539" t="s">
        <v>23</v>
      </c>
      <c r="K539" t="s">
        <v>27</v>
      </c>
      <c r="L539">
        <v>12</v>
      </c>
    </row>
    <row r="540" spans="1:12" x14ac:dyDescent="0.3">
      <c r="A540">
        <v>1543</v>
      </c>
      <c r="B540" t="s">
        <v>10</v>
      </c>
      <c r="C540" s="1">
        <v>45905</v>
      </c>
      <c r="D540" s="1" t="str">
        <f>TEXT(FMData[[#This Row],[Show_Date]],"mmm")</f>
        <v>Sep</v>
      </c>
      <c r="E540" s="1" t="str">
        <f>TEXT(FMData[[#This Row],[Show_Date]],"ddd")</f>
        <v>Fri</v>
      </c>
      <c r="F540" t="s">
        <v>11</v>
      </c>
      <c r="G540" t="s">
        <v>17</v>
      </c>
      <c r="H540">
        <v>1</v>
      </c>
      <c r="I540">
        <v>12</v>
      </c>
      <c r="J540" t="s">
        <v>13</v>
      </c>
      <c r="K540" t="s">
        <v>14</v>
      </c>
      <c r="L540">
        <v>12</v>
      </c>
    </row>
    <row r="541" spans="1:12" x14ac:dyDescent="0.3">
      <c r="A541">
        <v>1656</v>
      </c>
      <c r="B541" t="s">
        <v>10</v>
      </c>
      <c r="C541" s="1">
        <v>45846</v>
      </c>
      <c r="D541" s="1" t="str">
        <f>TEXT(FMData[[#This Row],[Show_Date]],"mmm")</f>
        <v>Jul</v>
      </c>
      <c r="E541" s="1" t="str">
        <f>TEXT(FMData[[#This Row],[Show_Date]],"ddd")</f>
        <v>Tue</v>
      </c>
      <c r="F541" t="s">
        <v>11</v>
      </c>
      <c r="G541" t="s">
        <v>17</v>
      </c>
      <c r="H541">
        <v>1</v>
      </c>
      <c r="I541">
        <v>12</v>
      </c>
      <c r="J541" t="s">
        <v>13</v>
      </c>
      <c r="K541" t="s">
        <v>18</v>
      </c>
      <c r="L541">
        <v>12</v>
      </c>
    </row>
    <row r="542" spans="1:12" x14ac:dyDescent="0.3">
      <c r="A542">
        <v>1482</v>
      </c>
      <c r="B542" t="s">
        <v>10</v>
      </c>
      <c r="C542" s="1">
        <v>45892</v>
      </c>
      <c r="D542" s="1" t="str">
        <f>TEXT(FMData[[#This Row],[Show_Date]],"mmm")</f>
        <v>Aug</v>
      </c>
      <c r="E542" s="1" t="str">
        <f>TEXT(FMData[[#This Row],[Show_Date]],"ddd")</f>
        <v>Sat</v>
      </c>
      <c r="F542" t="s">
        <v>11</v>
      </c>
      <c r="G542" t="s">
        <v>12</v>
      </c>
      <c r="H542">
        <v>5</v>
      </c>
      <c r="I542">
        <v>25</v>
      </c>
      <c r="J542" t="s">
        <v>23</v>
      </c>
      <c r="K542" t="s">
        <v>25</v>
      </c>
      <c r="L542">
        <v>125</v>
      </c>
    </row>
    <row r="543" spans="1:12" x14ac:dyDescent="0.3">
      <c r="A543">
        <v>1372</v>
      </c>
      <c r="B543" t="s">
        <v>10</v>
      </c>
      <c r="C543" s="1">
        <v>45920</v>
      </c>
      <c r="D543" s="1" t="str">
        <f>TEXT(FMData[[#This Row],[Show_Date]],"mmm")</f>
        <v>Sep</v>
      </c>
      <c r="E543" s="1" t="str">
        <f>TEXT(FMData[[#This Row],[Show_Date]],"ddd")</f>
        <v>Sat</v>
      </c>
      <c r="F543" t="s">
        <v>11</v>
      </c>
      <c r="G543" t="s">
        <v>12</v>
      </c>
      <c r="H543">
        <v>3</v>
      </c>
      <c r="I543">
        <v>25</v>
      </c>
      <c r="J543" t="s">
        <v>23</v>
      </c>
      <c r="K543" t="s">
        <v>25</v>
      </c>
      <c r="L543">
        <v>75</v>
      </c>
    </row>
    <row r="544" spans="1:12" x14ac:dyDescent="0.3">
      <c r="A544">
        <v>285</v>
      </c>
      <c r="B544" t="s">
        <v>26</v>
      </c>
      <c r="C544" s="1">
        <v>45902</v>
      </c>
      <c r="D544" s="1" t="str">
        <f>TEXT(FMData[[#This Row],[Show_Date]],"mmm")</f>
        <v>Sep</v>
      </c>
      <c r="E544" s="1" t="str">
        <f>TEXT(FMData[[#This Row],[Show_Date]],"ddd")</f>
        <v>Tue</v>
      </c>
      <c r="F544" t="s">
        <v>11</v>
      </c>
      <c r="G544" t="s">
        <v>17</v>
      </c>
      <c r="H544">
        <v>3</v>
      </c>
      <c r="I544">
        <v>12</v>
      </c>
      <c r="J544" t="s">
        <v>21</v>
      </c>
      <c r="K544" t="s">
        <v>18</v>
      </c>
      <c r="L544">
        <v>36</v>
      </c>
    </row>
    <row r="545" spans="1:12" x14ac:dyDescent="0.3">
      <c r="A545">
        <v>542</v>
      </c>
      <c r="B545" t="s">
        <v>26</v>
      </c>
      <c r="C545" s="1">
        <v>45899</v>
      </c>
      <c r="D545" s="1" t="str">
        <f>TEXT(FMData[[#This Row],[Show_Date]],"mmm")</f>
        <v>Aug</v>
      </c>
      <c r="E545" s="1" t="str">
        <f>TEXT(FMData[[#This Row],[Show_Date]],"ddd")</f>
        <v>Sat</v>
      </c>
      <c r="F545" t="s">
        <v>11</v>
      </c>
      <c r="G545" t="s">
        <v>30</v>
      </c>
      <c r="H545">
        <v>4</v>
      </c>
      <c r="I545">
        <v>8</v>
      </c>
      <c r="J545" t="s">
        <v>21</v>
      </c>
      <c r="K545" t="s">
        <v>27</v>
      </c>
      <c r="L545">
        <v>32</v>
      </c>
    </row>
    <row r="546" spans="1:12" x14ac:dyDescent="0.3">
      <c r="A546">
        <v>1613</v>
      </c>
      <c r="B546" t="s">
        <v>19</v>
      </c>
      <c r="C546" s="1">
        <v>45876</v>
      </c>
      <c r="D546" s="1" t="str">
        <f>TEXT(FMData[[#This Row],[Show_Date]],"mmm")</f>
        <v>Aug</v>
      </c>
      <c r="E546" s="1" t="str">
        <f>TEXT(FMData[[#This Row],[Show_Date]],"ddd")</f>
        <v>Thu</v>
      </c>
      <c r="F546" t="s">
        <v>11</v>
      </c>
      <c r="G546" t="s">
        <v>17</v>
      </c>
      <c r="H546">
        <v>4</v>
      </c>
      <c r="I546">
        <v>12</v>
      </c>
      <c r="J546" t="s">
        <v>21</v>
      </c>
      <c r="K546" t="s">
        <v>25</v>
      </c>
      <c r="L546">
        <v>48</v>
      </c>
    </row>
    <row r="547" spans="1:12" x14ac:dyDescent="0.3">
      <c r="A547">
        <v>1237</v>
      </c>
      <c r="B547" t="s">
        <v>24</v>
      </c>
      <c r="C547" s="1">
        <v>45909</v>
      </c>
      <c r="D547" s="1" t="str">
        <f>TEXT(FMData[[#This Row],[Show_Date]],"mmm")</f>
        <v>Sep</v>
      </c>
      <c r="E547" s="1" t="str">
        <f>TEXT(FMData[[#This Row],[Show_Date]],"ddd")</f>
        <v>Tue</v>
      </c>
      <c r="F547" t="s">
        <v>11</v>
      </c>
      <c r="G547" t="s">
        <v>17</v>
      </c>
      <c r="H547">
        <v>5</v>
      </c>
      <c r="I547">
        <v>12</v>
      </c>
      <c r="J547" t="s">
        <v>13</v>
      </c>
      <c r="K547" t="s">
        <v>18</v>
      </c>
      <c r="L547">
        <v>60</v>
      </c>
    </row>
    <row r="548" spans="1:12" x14ac:dyDescent="0.3">
      <c r="A548">
        <v>434</v>
      </c>
      <c r="B548" t="s">
        <v>19</v>
      </c>
      <c r="C548" s="1">
        <v>45852</v>
      </c>
      <c r="D548" s="1" t="str">
        <f>TEXT(FMData[[#This Row],[Show_Date]],"mmm")</f>
        <v>Jul</v>
      </c>
      <c r="E548" s="1" t="str">
        <f>TEXT(FMData[[#This Row],[Show_Date]],"ddd")</f>
        <v>Mon</v>
      </c>
      <c r="F548" t="s">
        <v>11</v>
      </c>
      <c r="G548" t="s">
        <v>17</v>
      </c>
      <c r="H548">
        <v>1</v>
      </c>
      <c r="I548">
        <v>12</v>
      </c>
      <c r="J548" t="s">
        <v>23</v>
      </c>
      <c r="K548" t="s">
        <v>27</v>
      </c>
      <c r="L548">
        <v>12</v>
      </c>
    </row>
    <row r="549" spans="1:12" x14ac:dyDescent="0.3">
      <c r="A549">
        <v>1522</v>
      </c>
      <c r="B549" t="s">
        <v>24</v>
      </c>
      <c r="C549" s="1">
        <v>45849</v>
      </c>
      <c r="D549" s="1" t="str">
        <f>TEXT(FMData[[#This Row],[Show_Date]],"mmm")</f>
        <v>Jul</v>
      </c>
      <c r="E549" s="1" t="str">
        <f>TEXT(FMData[[#This Row],[Show_Date]],"ddd")</f>
        <v>Fri</v>
      </c>
      <c r="F549" t="s">
        <v>11</v>
      </c>
      <c r="G549" t="s">
        <v>17</v>
      </c>
      <c r="H549">
        <v>5</v>
      </c>
      <c r="I549">
        <v>12</v>
      </c>
      <c r="J549" t="s">
        <v>13</v>
      </c>
      <c r="K549" t="s">
        <v>27</v>
      </c>
      <c r="L549">
        <v>60</v>
      </c>
    </row>
    <row r="550" spans="1:12" x14ac:dyDescent="0.3">
      <c r="A550">
        <v>21</v>
      </c>
      <c r="B550" t="s">
        <v>10</v>
      </c>
      <c r="C550" s="1">
        <v>45880</v>
      </c>
      <c r="D550" s="1" t="str">
        <f>TEXT(FMData[[#This Row],[Show_Date]],"mmm")</f>
        <v>Aug</v>
      </c>
      <c r="E550" s="1" t="str">
        <f>TEXT(FMData[[#This Row],[Show_Date]],"ddd")</f>
        <v>Mon</v>
      </c>
      <c r="F550" t="s">
        <v>11</v>
      </c>
      <c r="G550" t="s">
        <v>29</v>
      </c>
      <c r="H550">
        <v>4</v>
      </c>
      <c r="I550">
        <v>30</v>
      </c>
      <c r="J550" t="s">
        <v>13</v>
      </c>
      <c r="K550" t="s">
        <v>27</v>
      </c>
      <c r="L550">
        <v>120</v>
      </c>
    </row>
    <row r="551" spans="1:12" x14ac:dyDescent="0.3">
      <c r="A551">
        <v>764</v>
      </c>
      <c r="B551" t="s">
        <v>26</v>
      </c>
      <c r="C551" s="1">
        <v>45865</v>
      </c>
      <c r="D551" s="1" t="str">
        <f>TEXT(FMData[[#This Row],[Show_Date]],"mmm")</f>
        <v>Jul</v>
      </c>
      <c r="E551" s="1" t="str">
        <f>TEXT(FMData[[#This Row],[Show_Date]],"ddd")</f>
        <v>Sun</v>
      </c>
      <c r="F551" t="s">
        <v>11</v>
      </c>
      <c r="G551" t="s">
        <v>17</v>
      </c>
      <c r="H551">
        <v>1</v>
      </c>
      <c r="I551">
        <v>12</v>
      </c>
      <c r="J551" t="s">
        <v>23</v>
      </c>
      <c r="K551" t="s">
        <v>27</v>
      </c>
      <c r="L551">
        <v>12</v>
      </c>
    </row>
    <row r="552" spans="1:12" x14ac:dyDescent="0.3">
      <c r="A552">
        <v>1874</v>
      </c>
      <c r="B552" t="s">
        <v>10</v>
      </c>
      <c r="C552" s="1">
        <v>45871</v>
      </c>
      <c r="D552" s="1" t="str">
        <f>TEXT(FMData[[#This Row],[Show_Date]],"mmm")</f>
        <v>Aug</v>
      </c>
      <c r="E552" s="1" t="str">
        <f>TEXT(FMData[[#This Row],[Show_Date]],"ddd")</f>
        <v>Sat</v>
      </c>
      <c r="F552" t="s">
        <v>11</v>
      </c>
      <c r="G552" t="s">
        <v>22</v>
      </c>
      <c r="H552">
        <v>2</v>
      </c>
      <c r="I552">
        <v>20</v>
      </c>
      <c r="J552" t="s">
        <v>21</v>
      </c>
      <c r="K552" t="s">
        <v>25</v>
      </c>
      <c r="L552">
        <v>40</v>
      </c>
    </row>
    <row r="553" spans="1:12" x14ac:dyDescent="0.3">
      <c r="A553">
        <v>928</v>
      </c>
      <c r="B553" t="s">
        <v>31</v>
      </c>
      <c r="C553" s="1">
        <v>45865</v>
      </c>
      <c r="D553" s="1" t="str">
        <f>TEXT(FMData[[#This Row],[Show_Date]],"mmm")</f>
        <v>Jul</v>
      </c>
      <c r="E553" s="1" t="str">
        <f>TEXT(FMData[[#This Row],[Show_Date]],"ddd")</f>
        <v>Sun</v>
      </c>
      <c r="F553" t="s">
        <v>11</v>
      </c>
      <c r="G553" t="s">
        <v>29</v>
      </c>
      <c r="H553">
        <v>2</v>
      </c>
      <c r="I553">
        <v>30</v>
      </c>
      <c r="J553" t="s">
        <v>23</v>
      </c>
      <c r="K553" t="s">
        <v>27</v>
      </c>
      <c r="L553">
        <v>60</v>
      </c>
    </row>
    <row r="554" spans="1:12" x14ac:dyDescent="0.3">
      <c r="A554">
        <v>1850</v>
      </c>
      <c r="B554" t="s">
        <v>26</v>
      </c>
      <c r="C554" s="1">
        <v>45865</v>
      </c>
      <c r="D554" s="1" t="str">
        <f>TEXT(FMData[[#This Row],[Show_Date]],"mmm")</f>
        <v>Jul</v>
      </c>
      <c r="E554" s="1" t="str">
        <f>TEXT(FMData[[#This Row],[Show_Date]],"ddd")</f>
        <v>Sun</v>
      </c>
      <c r="F554" t="s">
        <v>11</v>
      </c>
      <c r="G554" t="s">
        <v>17</v>
      </c>
      <c r="H554">
        <v>1</v>
      </c>
      <c r="I554">
        <v>12</v>
      </c>
      <c r="J554" t="s">
        <v>23</v>
      </c>
      <c r="K554" t="s">
        <v>27</v>
      </c>
      <c r="L554">
        <v>12</v>
      </c>
    </row>
    <row r="555" spans="1:12" x14ac:dyDescent="0.3">
      <c r="A555">
        <v>735</v>
      </c>
      <c r="B555" t="s">
        <v>26</v>
      </c>
      <c r="C555" s="1">
        <v>45869</v>
      </c>
      <c r="D555" s="1" t="str">
        <f>TEXT(FMData[[#This Row],[Show_Date]],"mmm")</f>
        <v>Jul</v>
      </c>
      <c r="E555" s="1" t="str">
        <f>TEXT(FMData[[#This Row],[Show_Date]],"ddd")</f>
        <v>Thu</v>
      </c>
      <c r="F555" t="s">
        <v>11</v>
      </c>
      <c r="G555" t="s">
        <v>29</v>
      </c>
      <c r="H555">
        <v>4</v>
      </c>
      <c r="I555">
        <v>30</v>
      </c>
      <c r="J555" t="s">
        <v>23</v>
      </c>
      <c r="K555" t="s">
        <v>27</v>
      </c>
      <c r="L555">
        <v>120</v>
      </c>
    </row>
    <row r="556" spans="1:12" x14ac:dyDescent="0.3">
      <c r="A556">
        <v>611</v>
      </c>
      <c r="B556" t="s">
        <v>15</v>
      </c>
      <c r="C556" s="1">
        <v>45879</v>
      </c>
      <c r="D556" s="1" t="str">
        <f>TEXT(FMData[[#This Row],[Show_Date]],"mmm")</f>
        <v>Aug</v>
      </c>
      <c r="E556" s="1" t="str">
        <f>TEXT(FMData[[#This Row],[Show_Date]],"ddd")</f>
        <v>Sun</v>
      </c>
      <c r="F556" t="s">
        <v>11</v>
      </c>
      <c r="G556" t="s">
        <v>22</v>
      </c>
      <c r="H556">
        <v>2</v>
      </c>
      <c r="I556">
        <v>20</v>
      </c>
      <c r="J556" t="s">
        <v>13</v>
      </c>
      <c r="K556" t="s">
        <v>18</v>
      </c>
      <c r="L556">
        <v>40</v>
      </c>
    </row>
    <row r="557" spans="1:12" x14ac:dyDescent="0.3">
      <c r="A557">
        <v>609</v>
      </c>
      <c r="B557" t="s">
        <v>31</v>
      </c>
      <c r="C557" s="1">
        <v>45893</v>
      </c>
      <c r="D557" s="1" t="str">
        <f>TEXT(FMData[[#This Row],[Show_Date]],"mmm")</f>
        <v>Aug</v>
      </c>
      <c r="E557" s="1" t="str">
        <f>TEXT(FMData[[#This Row],[Show_Date]],"ddd")</f>
        <v>Sun</v>
      </c>
      <c r="F557" t="s">
        <v>11</v>
      </c>
      <c r="G557" t="s">
        <v>30</v>
      </c>
      <c r="H557">
        <v>3</v>
      </c>
      <c r="I557">
        <v>8</v>
      </c>
      <c r="J557" t="s">
        <v>13</v>
      </c>
      <c r="K557" t="s">
        <v>25</v>
      </c>
      <c r="L557">
        <v>24</v>
      </c>
    </row>
    <row r="558" spans="1:12" x14ac:dyDescent="0.3">
      <c r="A558">
        <v>196</v>
      </c>
      <c r="B558" t="s">
        <v>26</v>
      </c>
      <c r="C558" s="1">
        <v>45855</v>
      </c>
      <c r="D558" s="1" t="str">
        <f>TEXT(FMData[[#This Row],[Show_Date]],"mmm")</f>
        <v>Jul</v>
      </c>
      <c r="E558" s="1" t="str">
        <f>TEXT(FMData[[#This Row],[Show_Date]],"ddd")</f>
        <v>Thu</v>
      </c>
      <c r="F558" t="s">
        <v>11</v>
      </c>
      <c r="G558" t="s">
        <v>17</v>
      </c>
      <c r="H558">
        <v>3</v>
      </c>
      <c r="I558">
        <v>12</v>
      </c>
      <c r="J558" t="s">
        <v>21</v>
      </c>
      <c r="K558" t="s">
        <v>25</v>
      </c>
      <c r="L558">
        <v>36</v>
      </c>
    </row>
    <row r="559" spans="1:12" x14ac:dyDescent="0.3">
      <c r="A559">
        <v>1485</v>
      </c>
      <c r="B559" t="s">
        <v>28</v>
      </c>
      <c r="C559" s="1">
        <v>45882</v>
      </c>
      <c r="D559" s="1" t="str">
        <f>TEXT(FMData[[#This Row],[Show_Date]],"mmm")</f>
        <v>Aug</v>
      </c>
      <c r="E559" s="1" t="str">
        <f>TEXT(FMData[[#This Row],[Show_Date]],"ddd")</f>
        <v>Wed</v>
      </c>
      <c r="F559" t="s">
        <v>11</v>
      </c>
      <c r="G559" t="s">
        <v>12</v>
      </c>
      <c r="H559">
        <v>2</v>
      </c>
      <c r="I559">
        <v>25</v>
      </c>
      <c r="J559" t="s">
        <v>23</v>
      </c>
      <c r="K559" t="s">
        <v>14</v>
      </c>
      <c r="L559">
        <v>50</v>
      </c>
    </row>
    <row r="560" spans="1:12" x14ac:dyDescent="0.3">
      <c r="A560">
        <v>1388</v>
      </c>
      <c r="B560" t="s">
        <v>31</v>
      </c>
      <c r="C560" s="1">
        <v>45921</v>
      </c>
      <c r="D560" s="1" t="str">
        <f>TEXT(FMData[[#This Row],[Show_Date]],"mmm")</f>
        <v>Sep</v>
      </c>
      <c r="E560" s="1" t="str">
        <f>TEXT(FMData[[#This Row],[Show_Date]],"ddd")</f>
        <v>Sun</v>
      </c>
      <c r="F560" t="s">
        <v>11</v>
      </c>
      <c r="G560" t="s">
        <v>12</v>
      </c>
      <c r="H560">
        <v>1</v>
      </c>
      <c r="I560">
        <v>25</v>
      </c>
      <c r="J560" t="s">
        <v>13</v>
      </c>
      <c r="K560" t="s">
        <v>14</v>
      </c>
      <c r="L560">
        <v>25</v>
      </c>
    </row>
    <row r="561" spans="1:12" x14ac:dyDescent="0.3">
      <c r="A561">
        <v>1082</v>
      </c>
      <c r="B561" t="s">
        <v>15</v>
      </c>
      <c r="C561" s="1">
        <v>45880</v>
      </c>
      <c r="D561" s="1" t="str">
        <f>TEXT(FMData[[#This Row],[Show_Date]],"mmm")</f>
        <v>Aug</v>
      </c>
      <c r="E561" s="1" t="str">
        <f>TEXT(FMData[[#This Row],[Show_Date]],"ddd")</f>
        <v>Mon</v>
      </c>
      <c r="F561" t="s">
        <v>11</v>
      </c>
      <c r="G561" t="s">
        <v>22</v>
      </c>
      <c r="H561">
        <v>3</v>
      </c>
      <c r="I561">
        <v>20</v>
      </c>
      <c r="J561" t="s">
        <v>21</v>
      </c>
      <c r="K561" t="s">
        <v>14</v>
      </c>
      <c r="L561">
        <v>60</v>
      </c>
    </row>
    <row r="562" spans="1:12" x14ac:dyDescent="0.3">
      <c r="A562">
        <v>1705</v>
      </c>
      <c r="B562" t="s">
        <v>32</v>
      </c>
      <c r="C562" s="1">
        <v>45913</v>
      </c>
      <c r="D562" s="1" t="str">
        <f>TEXT(FMData[[#This Row],[Show_Date]],"mmm")</f>
        <v>Sep</v>
      </c>
      <c r="E562" s="1" t="str">
        <f>TEXT(FMData[[#This Row],[Show_Date]],"ddd")</f>
        <v>Sat</v>
      </c>
      <c r="F562" t="s">
        <v>11</v>
      </c>
      <c r="G562" t="s">
        <v>29</v>
      </c>
      <c r="H562">
        <v>4</v>
      </c>
      <c r="I562">
        <v>30</v>
      </c>
      <c r="J562" t="s">
        <v>21</v>
      </c>
      <c r="K562" t="s">
        <v>18</v>
      </c>
      <c r="L562">
        <v>120</v>
      </c>
    </row>
    <row r="563" spans="1:12" x14ac:dyDescent="0.3">
      <c r="A563">
        <v>1460</v>
      </c>
      <c r="B563" t="s">
        <v>32</v>
      </c>
      <c r="C563" s="1">
        <v>45887</v>
      </c>
      <c r="D563" s="1" t="str">
        <f>TEXT(FMData[[#This Row],[Show_Date]],"mmm")</f>
        <v>Aug</v>
      </c>
      <c r="E563" s="1" t="str">
        <f>TEXT(FMData[[#This Row],[Show_Date]],"ddd")</f>
        <v>Mon</v>
      </c>
      <c r="F563" t="s">
        <v>11</v>
      </c>
      <c r="G563" t="s">
        <v>12</v>
      </c>
      <c r="H563">
        <v>5</v>
      </c>
      <c r="I563">
        <v>25</v>
      </c>
      <c r="J563" t="s">
        <v>13</v>
      </c>
      <c r="K563" t="s">
        <v>25</v>
      </c>
      <c r="L563">
        <v>125</v>
      </c>
    </row>
    <row r="564" spans="1:12" x14ac:dyDescent="0.3">
      <c r="A564">
        <v>376</v>
      </c>
      <c r="B564" t="s">
        <v>31</v>
      </c>
      <c r="C564" s="1">
        <v>45889</v>
      </c>
      <c r="D564" s="1" t="str">
        <f>TEXT(FMData[[#This Row],[Show_Date]],"mmm")</f>
        <v>Aug</v>
      </c>
      <c r="E564" s="1" t="str">
        <f>TEXT(FMData[[#This Row],[Show_Date]],"ddd")</f>
        <v>Wed</v>
      </c>
      <c r="F564" t="s">
        <v>11</v>
      </c>
      <c r="G564" t="s">
        <v>17</v>
      </c>
      <c r="H564">
        <v>1</v>
      </c>
      <c r="I564">
        <v>12</v>
      </c>
      <c r="J564" t="s">
        <v>21</v>
      </c>
      <c r="K564" t="s">
        <v>14</v>
      </c>
      <c r="L564">
        <v>12</v>
      </c>
    </row>
    <row r="565" spans="1:12" x14ac:dyDescent="0.3">
      <c r="A565">
        <v>556</v>
      </c>
      <c r="B565" t="s">
        <v>19</v>
      </c>
      <c r="C565" s="1">
        <v>45900</v>
      </c>
      <c r="D565" s="1" t="str">
        <f>TEXT(FMData[[#This Row],[Show_Date]],"mmm")</f>
        <v>Aug</v>
      </c>
      <c r="E565" s="1" t="str">
        <f>TEXT(FMData[[#This Row],[Show_Date]],"ddd")</f>
        <v>Sun</v>
      </c>
      <c r="F565" t="s">
        <v>11</v>
      </c>
      <c r="G565" t="s">
        <v>29</v>
      </c>
      <c r="H565">
        <v>5</v>
      </c>
      <c r="I565">
        <v>30</v>
      </c>
      <c r="J565" t="s">
        <v>13</v>
      </c>
      <c r="K565" t="s">
        <v>14</v>
      </c>
      <c r="L565">
        <v>150</v>
      </c>
    </row>
    <row r="566" spans="1:12" x14ac:dyDescent="0.3">
      <c r="A566">
        <v>16</v>
      </c>
      <c r="B566" t="s">
        <v>15</v>
      </c>
      <c r="C566" s="1">
        <v>45916</v>
      </c>
      <c r="D566" s="1" t="str">
        <f>TEXT(FMData[[#This Row],[Show_Date]],"mmm")</f>
        <v>Sep</v>
      </c>
      <c r="E566" s="1" t="str">
        <f>TEXT(FMData[[#This Row],[Show_Date]],"ddd")</f>
        <v>Tue</v>
      </c>
      <c r="F566" t="s">
        <v>11</v>
      </c>
      <c r="G566" t="s">
        <v>17</v>
      </c>
      <c r="H566">
        <v>2</v>
      </c>
      <c r="I566">
        <v>12</v>
      </c>
      <c r="J566" t="s">
        <v>21</v>
      </c>
      <c r="K566" t="s">
        <v>25</v>
      </c>
      <c r="L566">
        <v>24</v>
      </c>
    </row>
    <row r="567" spans="1:12" x14ac:dyDescent="0.3">
      <c r="A567">
        <v>1752</v>
      </c>
      <c r="B567" t="s">
        <v>19</v>
      </c>
      <c r="C567" s="1">
        <v>45914</v>
      </c>
      <c r="D567" s="1" t="str">
        <f>TEXT(FMData[[#This Row],[Show_Date]],"mmm")</f>
        <v>Sep</v>
      </c>
      <c r="E567" s="1" t="str">
        <f>TEXT(FMData[[#This Row],[Show_Date]],"ddd")</f>
        <v>Sun</v>
      </c>
      <c r="F567" t="s">
        <v>11</v>
      </c>
      <c r="G567" t="s">
        <v>29</v>
      </c>
      <c r="H567">
        <v>4</v>
      </c>
      <c r="I567">
        <v>30</v>
      </c>
      <c r="J567" t="s">
        <v>23</v>
      </c>
      <c r="K567" t="s">
        <v>27</v>
      </c>
      <c r="L567">
        <v>120</v>
      </c>
    </row>
    <row r="568" spans="1:12" x14ac:dyDescent="0.3">
      <c r="A568">
        <v>1861</v>
      </c>
      <c r="B568" t="s">
        <v>10</v>
      </c>
      <c r="C568" s="1">
        <v>45886</v>
      </c>
      <c r="D568" s="1" t="str">
        <f>TEXT(FMData[[#This Row],[Show_Date]],"mmm")</f>
        <v>Aug</v>
      </c>
      <c r="E568" s="1" t="str">
        <f>TEXT(FMData[[#This Row],[Show_Date]],"ddd")</f>
        <v>Sun</v>
      </c>
      <c r="F568" t="s">
        <v>11</v>
      </c>
      <c r="G568" t="s">
        <v>22</v>
      </c>
      <c r="H568">
        <v>3</v>
      </c>
      <c r="I568">
        <v>20</v>
      </c>
      <c r="J568" t="s">
        <v>21</v>
      </c>
      <c r="K568" t="s">
        <v>25</v>
      </c>
      <c r="L568">
        <v>60</v>
      </c>
    </row>
    <row r="569" spans="1:12" x14ac:dyDescent="0.3">
      <c r="A569">
        <v>113</v>
      </c>
      <c r="B569" t="s">
        <v>19</v>
      </c>
      <c r="C569" s="1">
        <v>45892</v>
      </c>
      <c r="D569" s="1" t="str">
        <f>TEXT(FMData[[#This Row],[Show_Date]],"mmm")</f>
        <v>Aug</v>
      </c>
      <c r="E569" s="1" t="str">
        <f>TEXT(FMData[[#This Row],[Show_Date]],"ddd")</f>
        <v>Sat</v>
      </c>
      <c r="F569" t="s">
        <v>11</v>
      </c>
      <c r="G569" t="s">
        <v>17</v>
      </c>
      <c r="H569">
        <v>5</v>
      </c>
      <c r="I569">
        <v>12</v>
      </c>
      <c r="J569" t="s">
        <v>13</v>
      </c>
      <c r="K569" t="s">
        <v>18</v>
      </c>
      <c r="L569">
        <v>60</v>
      </c>
    </row>
    <row r="570" spans="1:12" x14ac:dyDescent="0.3">
      <c r="A570">
        <v>776</v>
      </c>
      <c r="B570" t="s">
        <v>15</v>
      </c>
      <c r="C570" s="1">
        <v>45888</v>
      </c>
      <c r="D570" s="1" t="str">
        <f>TEXT(FMData[[#This Row],[Show_Date]],"mmm")</f>
        <v>Aug</v>
      </c>
      <c r="E570" s="1" t="str">
        <f>TEXT(FMData[[#This Row],[Show_Date]],"ddd")</f>
        <v>Tue</v>
      </c>
      <c r="F570" t="s">
        <v>11</v>
      </c>
      <c r="G570" t="s">
        <v>17</v>
      </c>
      <c r="H570">
        <v>2</v>
      </c>
      <c r="I570">
        <v>12</v>
      </c>
      <c r="J570" t="s">
        <v>23</v>
      </c>
      <c r="K570" t="s">
        <v>14</v>
      </c>
      <c r="L570">
        <v>24</v>
      </c>
    </row>
    <row r="571" spans="1:12" x14ac:dyDescent="0.3">
      <c r="A571">
        <v>1302</v>
      </c>
      <c r="B571" t="s">
        <v>31</v>
      </c>
      <c r="C571" s="1">
        <v>45888</v>
      </c>
      <c r="D571" s="1" t="str">
        <f>TEXT(FMData[[#This Row],[Show_Date]],"mmm")</f>
        <v>Aug</v>
      </c>
      <c r="E571" s="1" t="str">
        <f>TEXT(FMData[[#This Row],[Show_Date]],"ddd")</f>
        <v>Tue</v>
      </c>
      <c r="F571" t="s">
        <v>11</v>
      </c>
      <c r="G571" t="s">
        <v>29</v>
      </c>
      <c r="H571">
        <v>3</v>
      </c>
      <c r="I571">
        <v>30</v>
      </c>
      <c r="J571" t="s">
        <v>21</v>
      </c>
      <c r="K571" t="s">
        <v>14</v>
      </c>
      <c r="L571">
        <v>90</v>
      </c>
    </row>
    <row r="572" spans="1:12" x14ac:dyDescent="0.3">
      <c r="A572">
        <v>924</v>
      </c>
      <c r="B572" t="s">
        <v>28</v>
      </c>
      <c r="C572" s="1">
        <v>45913</v>
      </c>
      <c r="D572" s="1" t="str">
        <f>TEXT(FMData[[#This Row],[Show_Date]],"mmm")</f>
        <v>Sep</v>
      </c>
      <c r="E572" s="1" t="str">
        <f>TEXT(FMData[[#This Row],[Show_Date]],"ddd")</f>
        <v>Sat</v>
      </c>
      <c r="F572" t="s">
        <v>11</v>
      </c>
      <c r="G572" t="s">
        <v>17</v>
      </c>
      <c r="H572">
        <v>1</v>
      </c>
      <c r="I572">
        <v>12</v>
      </c>
      <c r="J572" t="s">
        <v>13</v>
      </c>
      <c r="K572" t="s">
        <v>14</v>
      </c>
      <c r="L572">
        <v>12</v>
      </c>
    </row>
    <row r="573" spans="1:12" x14ac:dyDescent="0.3">
      <c r="A573">
        <v>239</v>
      </c>
      <c r="B573" t="s">
        <v>32</v>
      </c>
      <c r="C573" s="1">
        <v>45872</v>
      </c>
      <c r="D573" s="1" t="str">
        <f>TEXT(FMData[[#This Row],[Show_Date]],"mmm")</f>
        <v>Aug</v>
      </c>
      <c r="E573" s="1" t="str">
        <f>TEXT(FMData[[#This Row],[Show_Date]],"ddd")</f>
        <v>Sun</v>
      </c>
      <c r="F573" t="s">
        <v>11</v>
      </c>
      <c r="G573" t="s">
        <v>17</v>
      </c>
      <c r="H573">
        <v>4</v>
      </c>
      <c r="I573">
        <v>12</v>
      </c>
      <c r="J573" t="s">
        <v>21</v>
      </c>
      <c r="K573" t="s">
        <v>25</v>
      </c>
      <c r="L573">
        <v>48</v>
      </c>
    </row>
    <row r="574" spans="1:12" x14ac:dyDescent="0.3">
      <c r="A574">
        <v>315</v>
      </c>
      <c r="B574" t="s">
        <v>32</v>
      </c>
      <c r="C574" s="1">
        <v>45883</v>
      </c>
      <c r="D574" s="1" t="str">
        <f>TEXT(FMData[[#This Row],[Show_Date]],"mmm")</f>
        <v>Aug</v>
      </c>
      <c r="E574" s="1" t="str">
        <f>TEXT(FMData[[#This Row],[Show_Date]],"ddd")</f>
        <v>Thu</v>
      </c>
      <c r="F574" t="s">
        <v>11</v>
      </c>
      <c r="G574" t="s">
        <v>29</v>
      </c>
      <c r="H574">
        <v>4</v>
      </c>
      <c r="I574">
        <v>30</v>
      </c>
      <c r="J574" t="s">
        <v>13</v>
      </c>
      <c r="K574" t="s">
        <v>27</v>
      </c>
      <c r="L574">
        <v>120</v>
      </c>
    </row>
    <row r="575" spans="1:12" x14ac:dyDescent="0.3">
      <c r="A575">
        <v>914</v>
      </c>
      <c r="B575" t="s">
        <v>26</v>
      </c>
      <c r="C575" s="1">
        <v>45863</v>
      </c>
      <c r="D575" s="1" t="str">
        <f>TEXT(FMData[[#This Row],[Show_Date]],"mmm")</f>
        <v>Jul</v>
      </c>
      <c r="E575" s="1" t="str">
        <f>TEXT(FMData[[#This Row],[Show_Date]],"ddd")</f>
        <v>Fri</v>
      </c>
      <c r="F575" t="s">
        <v>11</v>
      </c>
      <c r="G575" t="s">
        <v>29</v>
      </c>
      <c r="H575">
        <v>4</v>
      </c>
      <c r="I575">
        <v>30</v>
      </c>
      <c r="J575" t="s">
        <v>21</v>
      </c>
      <c r="K575" t="s">
        <v>27</v>
      </c>
      <c r="L575">
        <v>120</v>
      </c>
    </row>
    <row r="576" spans="1:12" x14ac:dyDescent="0.3">
      <c r="A576">
        <v>1970</v>
      </c>
      <c r="B576" t="s">
        <v>24</v>
      </c>
      <c r="C576" s="1">
        <v>45885</v>
      </c>
      <c r="D576" s="1" t="str">
        <f>TEXT(FMData[[#This Row],[Show_Date]],"mmm")</f>
        <v>Aug</v>
      </c>
      <c r="E576" s="1" t="str">
        <f>TEXT(FMData[[#This Row],[Show_Date]],"ddd")</f>
        <v>Sat</v>
      </c>
      <c r="F576" t="s">
        <v>11</v>
      </c>
      <c r="G576" t="s">
        <v>17</v>
      </c>
      <c r="H576">
        <v>2</v>
      </c>
      <c r="I576">
        <v>12</v>
      </c>
      <c r="J576" t="s">
        <v>21</v>
      </c>
      <c r="K576" t="s">
        <v>27</v>
      </c>
      <c r="L576">
        <v>24</v>
      </c>
    </row>
    <row r="577" spans="1:12" x14ac:dyDescent="0.3">
      <c r="A577">
        <v>708</v>
      </c>
      <c r="B577" t="s">
        <v>19</v>
      </c>
      <c r="C577" s="1">
        <v>45906</v>
      </c>
      <c r="D577" s="1" t="str">
        <f>TEXT(FMData[[#This Row],[Show_Date]],"mmm")</f>
        <v>Sep</v>
      </c>
      <c r="E577" s="1" t="str">
        <f>TEXT(FMData[[#This Row],[Show_Date]],"ddd")</f>
        <v>Sat</v>
      </c>
      <c r="F577" t="s">
        <v>11</v>
      </c>
      <c r="G577" t="s">
        <v>17</v>
      </c>
      <c r="H577">
        <v>2</v>
      </c>
      <c r="I577">
        <v>12</v>
      </c>
      <c r="J577" t="s">
        <v>23</v>
      </c>
      <c r="K577" t="s">
        <v>14</v>
      </c>
      <c r="L577">
        <v>24</v>
      </c>
    </row>
    <row r="578" spans="1:12" x14ac:dyDescent="0.3">
      <c r="A578">
        <v>389</v>
      </c>
      <c r="B578" t="s">
        <v>24</v>
      </c>
      <c r="C578" s="1">
        <v>45852</v>
      </c>
      <c r="D578" s="1" t="str">
        <f>TEXT(FMData[[#This Row],[Show_Date]],"mmm")</f>
        <v>Jul</v>
      </c>
      <c r="E578" s="1" t="str">
        <f>TEXT(FMData[[#This Row],[Show_Date]],"ddd")</f>
        <v>Mon</v>
      </c>
      <c r="F578" t="s">
        <v>11</v>
      </c>
      <c r="G578" t="s">
        <v>30</v>
      </c>
      <c r="H578">
        <v>4</v>
      </c>
      <c r="I578">
        <v>8</v>
      </c>
      <c r="J578" t="s">
        <v>21</v>
      </c>
      <c r="K578" t="s">
        <v>18</v>
      </c>
      <c r="L578">
        <v>32</v>
      </c>
    </row>
    <row r="579" spans="1:12" x14ac:dyDescent="0.3">
      <c r="A579">
        <v>114</v>
      </c>
      <c r="B579" t="s">
        <v>10</v>
      </c>
      <c r="C579" s="1">
        <v>45904</v>
      </c>
      <c r="D579" s="1" t="str">
        <f>TEXT(FMData[[#This Row],[Show_Date]],"mmm")</f>
        <v>Sep</v>
      </c>
      <c r="E579" s="1" t="str">
        <f>TEXT(FMData[[#This Row],[Show_Date]],"ddd")</f>
        <v>Thu</v>
      </c>
      <c r="F579" t="s">
        <v>11</v>
      </c>
      <c r="G579" t="s">
        <v>22</v>
      </c>
      <c r="H579">
        <v>5</v>
      </c>
      <c r="I579">
        <v>20</v>
      </c>
      <c r="J579" t="s">
        <v>21</v>
      </c>
      <c r="K579" t="s">
        <v>25</v>
      </c>
      <c r="L579">
        <v>100</v>
      </c>
    </row>
    <row r="580" spans="1:12" x14ac:dyDescent="0.3">
      <c r="A580">
        <v>1648</v>
      </c>
      <c r="B580" t="s">
        <v>31</v>
      </c>
      <c r="C580" s="1">
        <v>45866</v>
      </c>
      <c r="D580" s="1" t="str">
        <f>TEXT(FMData[[#This Row],[Show_Date]],"mmm")</f>
        <v>Jul</v>
      </c>
      <c r="E580" s="1" t="str">
        <f>TEXT(FMData[[#This Row],[Show_Date]],"ddd")</f>
        <v>Mon</v>
      </c>
      <c r="F580" t="s">
        <v>11</v>
      </c>
      <c r="G580" t="s">
        <v>17</v>
      </c>
      <c r="H580">
        <v>4</v>
      </c>
      <c r="I580">
        <v>12</v>
      </c>
      <c r="J580" t="s">
        <v>21</v>
      </c>
      <c r="K580" t="s">
        <v>25</v>
      </c>
      <c r="L580">
        <v>48</v>
      </c>
    </row>
    <row r="581" spans="1:12" x14ac:dyDescent="0.3">
      <c r="A581">
        <v>1329</v>
      </c>
      <c r="B581" t="s">
        <v>10</v>
      </c>
      <c r="C581" s="1">
        <v>45872</v>
      </c>
      <c r="D581" s="1" t="str">
        <f>TEXT(FMData[[#This Row],[Show_Date]],"mmm")</f>
        <v>Aug</v>
      </c>
      <c r="E581" s="1" t="str">
        <f>TEXT(FMData[[#This Row],[Show_Date]],"ddd")</f>
        <v>Sun</v>
      </c>
      <c r="F581" t="s">
        <v>11</v>
      </c>
      <c r="G581" t="s">
        <v>17</v>
      </c>
      <c r="H581">
        <v>2</v>
      </c>
      <c r="I581">
        <v>12</v>
      </c>
      <c r="J581" t="s">
        <v>13</v>
      </c>
      <c r="K581" t="s">
        <v>18</v>
      </c>
      <c r="L581">
        <v>24</v>
      </c>
    </row>
    <row r="582" spans="1:12" x14ac:dyDescent="0.3">
      <c r="A582">
        <v>1735</v>
      </c>
      <c r="B582" t="s">
        <v>10</v>
      </c>
      <c r="C582" s="1">
        <v>45900</v>
      </c>
      <c r="D582" s="1" t="str">
        <f>TEXT(FMData[[#This Row],[Show_Date]],"mmm")</f>
        <v>Aug</v>
      </c>
      <c r="E582" s="1" t="str">
        <f>TEXT(FMData[[#This Row],[Show_Date]],"ddd")</f>
        <v>Sun</v>
      </c>
      <c r="F582" t="s">
        <v>11</v>
      </c>
      <c r="G582" t="s">
        <v>17</v>
      </c>
      <c r="H582">
        <v>1</v>
      </c>
      <c r="I582">
        <v>12</v>
      </c>
      <c r="J582" t="s">
        <v>23</v>
      </c>
      <c r="K582" t="s">
        <v>14</v>
      </c>
      <c r="L582">
        <v>12</v>
      </c>
    </row>
    <row r="583" spans="1:12" x14ac:dyDescent="0.3">
      <c r="A583">
        <v>1465</v>
      </c>
      <c r="B583" t="s">
        <v>10</v>
      </c>
      <c r="C583" s="1">
        <v>45887</v>
      </c>
      <c r="D583" s="1" t="str">
        <f>TEXT(FMData[[#This Row],[Show_Date]],"mmm")</f>
        <v>Aug</v>
      </c>
      <c r="E583" s="1" t="str">
        <f>TEXT(FMData[[#This Row],[Show_Date]],"ddd")</f>
        <v>Mon</v>
      </c>
      <c r="F583" t="s">
        <v>11</v>
      </c>
      <c r="G583" t="s">
        <v>17</v>
      </c>
      <c r="H583">
        <v>2</v>
      </c>
      <c r="I583">
        <v>12</v>
      </c>
      <c r="J583" t="s">
        <v>13</v>
      </c>
      <c r="K583" t="s">
        <v>14</v>
      </c>
      <c r="L583">
        <v>24</v>
      </c>
    </row>
    <row r="584" spans="1:12" x14ac:dyDescent="0.3">
      <c r="A584">
        <v>830</v>
      </c>
      <c r="B584" t="s">
        <v>10</v>
      </c>
      <c r="C584" s="1">
        <v>45896</v>
      </c>
      <c r="D584" s="1" t="str">
        <f>TEXT(FMData[[#This Row],[Show_Date]],"mmm")</f>
        <v>Aug</v>
      </c>
      <c r="E584" s="1" t="str">
        <f>TEXT(FMData[[#This Row],[Show_Date]],"ddd")</f>
        <v>Wed</v>
      </c>
      <c r="F584" t="s">
        <v>11</v>
      </c>
      <c r="G584" t="s">
        <v>17</v>
      </c>
      <c r="H584">
        <v>1</v>
      </c>
      <c r="I584">
        <v>12</v>
      </c>
      <c r="J584" t="s">
        <v>23</v>
      </c>
      <c r="K584" t="s">
        <v>18</v>
      </c>
      <c r="L584">
        <v>12</v>
      </c>
    </row>
    <row r="585" spans="1:12" x14ac:dyDescent="0.3">
      <c r="A585">
        <v>3</v>
      </c>
      <c r="B585" t="s">
        <v>10</v>
      </c>
      <c r="C585" s="1">
        <v>45895</v>
      </c>
      <c r="D585" s="1" t="str">
        <f>TEXT(FMData[[#This Row],[Show_Date]],"mmm")</f>
        <v>Aug</v>
      </c>
      <c r="E585" s="1" t="str">
        <f>TEXT(FMData[[#This Row],[Show_Date]],"ddd")</f>
        <v>Tue</v>
      </c>
      <c r="F585" t="s">
        <v>11</v>
      </c>
      <c r="G585" t="s">
        <v>29</v>
      </c>
      <c r="H585">
        <v>5</v>
      </c>
      <c r="I585">
        <v>30</v>
      </c>
      <c r="J585" t="s">
        <v>23</v>
      </c>
      <c r="K585" t="s">
        <v>27</v>
      </c>
      <c r="L585">
        <v>150</v>
      </c>
    </row>
    <row r="586" spans="1:12" x14ac:dyDescent="0.3">
      <c r="A586">
        <v>526</v>
      </c>
      <c r="B586" t="s">
        <v>10</v>
      </c>
      <c r="C586" s="1">
        <v>45913</v>
      </c>
      <c r="D586" s="1" t="str">
        <f>TEXT(FMData[[#This Row],[Show_Date]],"mmm")</f>
        <v>Sep</v>
      </c>
      <c r="E586" s="1" t="str">
        <f>TEXT(FMData[[#This Row],[Show_Date]],"ddd")</f>
        <v>Sat</v>
      </c>
      <c r="F586" t="s">
        <v>11</v>
      </c>
      <c r="G586" t="s">
        <v>17</v>
      </c>
      <c r="H586">
        <v>4</v>
      </c>
      <c r="I586">
        <v>12</v>
      </c>
      <c r="J586" t="s">
        <v>13</v>
      </c>
      <c r="K586" t="s">
        <v>27</v>
      </c>
      <c r="L586">
        <v>48</v>
      </c>
    </row>
    <row r="587" spans="1:12" x14ac:dyDescent="0.3">
      <c r="A587">
        <v>809</v>
      </c>
      <c r="B587" t="s">
        <v>10</v>
      </c>
      <c r="C587" s="1">
        <v>45864</v>
      </c>
      <c r="D587" s="1" t="str">
        <f>TEXT(FMData[[#This Row],[Show_Date]],"mmm")</f>
        <v>Jul</v>
      </c>
      <c r="E587" s="1" t="str">
        <f>TEXT(FMData[[#This Row],[Show_Date]],"ddd")</f>
        <v>Sat</v>
      </c>
      <c r="F587" t="s">
        <v>11</v>
      </c>
      <c r="G587" t="s">
        <v>17</v>
      </c>
      <c r="H587">
        <v>5</v>
      </c>
      <c r="I587">
        <v>12</v>
      </c>
      <c r="J587" t="s">
        <v>23</v>
      </c>
      <c r="K587" t="s">
        <v>14</v>
      </c>
      <c r="L587">
        <v>60</v>
      </c>
    </row>
    <row r="588" spans="1:12" x14ac:dyDescent="0.3">
      <c r="A588">
        <v>1745</v>
      </c>
      <c r="B588" t="s">
        <v>10</v>
      </c>
      <c r="C588" s="1">
        <v>45927</v>
      </c>
      <c r="D588" s="1" t="str">
        <f>TEXT(FMData[[#This Row],[Show_Date]],"mmm")</f>
        <v>Sep</v>
      </c>
      <c r="E588" s="1" t="str">
        <f>TEXT(FMData[[#This Row],[Show_Date]],"ddd")</f>
        <v>Sat</v>
      </c>
      <c r="F588" t="s">
        <v>11</v>
      </c>
      <c r="G588" t="s">
        <v>17</v>
      </c>
      <c r="H588">
        <v>2</v>
      </c>
      <c r="I588">
        <v>12</v>
      </c>
      <c r="J588" t="s">
        <v>13</v>
      </c>
      <c r="K588" t="s">
        <v>18</v>
      </c>
      <c r="L588">
        <v>24</v>
      </c>
    </row>
    <row r="589" spans="1:12" x14ac:dyDescent="0.3">
      <c r="A589">
        <v>1439</v>
      </c>
      <c r="B589" t="s">
        <v>19</v>
      </c>
      <c r="C589" s="1">
        <v>45874</v>
      </c>
      <c r="D589" s="1" t="str">
        <f>TEXT(FMData[[#This Row],[Show_Date]],"mmm")</f>
        <v>Aug</v>
      </c>
      <c r="E589" s="1" t="str">
        <f>TEXT(FMData[[#This Row],[Show_Date]],"ddd")</f>
        <v>Tue</v>
      </c>
      <c r="F589" t="s">
        <v>11</v>
      </c>
      <c r="G589" t="s">
        <v>29</v>
      </c>
      <c r="H589">
        <v>1</v>
      </c>
      <c r="I589">
        <v>30</v>
      </c>
      <c r="J589" t="s">
        <v>23</v>
      </c>
      <c r="K589" t="s">
        <v>18</v>
      </c>
      <c r="L589">
        <v>30</v>
      </c>
    </row>
    <row r="590" spans="1:12" x14ac:dyDescent="0.3">
      <c r="A590">
        <v>1552</v>
      </c>
      <c r="B590" t="s">
        <v>15</v>
      </c>
      <c r="C590" s="1">
        <v>45840</v>
      </c>
      <c r="D590" s="1" t="str">
        <f>TEXT(FMData[[#This Row],[Show_Date]],"mmm")</f>
        <v>Jul</v>
      </c>
      <c r="E590" s="1" t="str">
        <f>TEXT(FMData[[#This Row],[Show_Date]],"ddd")</f>
        <v>Wed</v>
      </c>
      <c r="F590" t="s">
        <v>11</v>
      </c>
      <c r="G590" t="s">
        <v>17</v>
      </c>
      <c r="H590">
        <v>1</v>
      </c>
      <c r="I590">
        <v>12</v>
      </c>
      <c r="J590" t="s">
        <v>23</v>
      </c>
      <c r="K590" t="s">
        <v>25</v>
      </c>
      <c r="L590">
        <v>12</v>
      </c>
    </row>
    <row r="591" spans="1:12" x14ac:dyDescent="0.3">
      <c r="A591">
        <v>1071</v>
      </c>
      <c r="B591" t="s">
        <v>15</v>
      </c>
      <c r="C591" s="1">
        <v>45902</v>
      </c>
      <c r="D591" s="1" t="str">
        <f>TEXT(FMData[[#This Row],[Show_Date]],"mmm")</f>
        <v>Sep</v>
      </c>
      <c r="E591" s="1" t="str">
        <f>TEXT(FMData[[#This Row],[Show_Date]],"ddd")</f>
        <v>Tue</v>
      </c>
      <c r="F591" t="s">
        <v>11</v>
      </c>
      <c r="G591" t="s">
        <v>30</v>
      </c>
      <c r="H591">
        <v>5</v>
      </c>
      <c r="I591">
        <v>8</v>
      </c>
      <c r="J591" t="s">
        <v>13</v>
      </c>
      <c r="K591" t="s">
        <v>18</v>
      </c>
      <c r="L591">
        <v>40</v>
      </c>
    </row>
    <row r="592" spans="1:12" x14ac:dyDescent="0.3">
      <c r="A592">
        <v>1087</v>
      </c>
      <c r="B592" t="s">
        <v>24</v>
      </c>
      <c r="C592" s="1">
        <v>45839</v>
      </c>
      <c r="D592" s="1" t="str">
        <f>TEXT(FMData[[#This Row],[Show_Date]],"mmm")</f>
        <v>Jul</v>
      </c>
      <c r="E592" s="1" t="str">
        <f>TEXT(FMData[[#This Row],[Show_Date]],"ddd")</f>
        <v>Tue</v>
      </c>
      <c r="F592" t="s">
        <v>11</v>
      </c>
      <c r="G592" t="s">
        <v>17</v>
      </c>
      <c r="H592">
        <v>3</v>
      </c>
      <c r="I592">
        <v>12</v>
      </c>
      <c r="J592" t="s">
        <v>23</v>
      </c>
      <c r="K592" t="s">
        <v>14</v>
      </c>
      <c r="L592">
        <v>36</v>
      </c>
    </row>
    <row r="593" spans="1:12" x14ac:dyDescent="0.3">
      <c r="A593">
        <v>1003</v>
      </c>
      <c r="B593" t="s">
        <v>24</v>
      </c>
      <c r="C593" s="1">
        <v>45878</v>
      </c>
      <c r="D593" s="1" t="str">
        <f>TEXT(FMData[[#This Row],[Show_Date]],"mmm")</f>
        <v>Aug</v>
      </c>
      <c r="E593" s="1" t="str">
        <f>TEXT(FMData[[#This Row],[Show_Date]],"ddd")</f>
        <v>Sat</v>
      </c>
      <c r="F593" t="s">
        <v>20</v>
      </c>
      <c r="G593" t="s">
        <v>17</v>
      </c>
      <c r="H593">
        <v>3</v>
      </c>
      <c r="I593">
        <v>12</v>
      </c>
      <c r="J593" t="s">
        <v>23</v>
      </c>
      <c r="K593" t="s">
        <v>25</v>
      </c>
      <c r="L593">
        <v>36</v>
      </c>
    </row>
    <row r="594" spans="1:12" x14ac:dyDescent="0.3">
      <c r="A594">
        <v>996</v>
      </c>
      <c r="B594" t="s">
        <v>15</v>
      </c>
      <c r="C594" s="1">
        <v>45872</v>
      </c>
      <c r="D594" s="1" t="str">
        <f>TEXT(FMData[[#This Row],[Show_Date]],"mmm")</f>
        <v>Aug</v>
      </c>
      <c r="E594" s="1" t="str">
        <f>TEXT(FMData[[#This Row],[Show_Date]],"ddd")</f>
        <v>Sun</v>
      </c>
      <c r="F594" t="s">
        <v>33</v>
      </c>
      <c r="G594" t="s">
        <v>22</v>
      </c>
      <c r="H594">
        <v>4</v>
      </c>
      <c r="I594">
        <v>20</v>
      </c>
      <c r="J594" t="s">
        <v>21</v>
      </c>
      <c r="K594" t="s">
        <v>18</v>
      </c>
      <c r="L594">
        <v>80</v>
      </c>
    </row>
    <row r="595" spans="1:12" x14ac:dyDescent="0.3">
      <c r="A595">
        <v>954</v>
      </c>
      <c r="B595" t="s">
        <v>31</v>
      </c>
      <c r="C595" s="1">
        <v>45921</v>
      </c>
      <c r="D595" s="1" t="str">
        <f>TEXT(FMData[[#This Row],[Show_Date]],"mmm")</f>
        <v>Sep</v>
      </c>
      <c r="E595" s="1" t="str">
        <f>TEXT(FMData[[#This Row],[Show_Date]],"ddd")</f>
        <v>Sun</v>
      </c>
      <c r="F595" t="s">
        <v>20</v>
      </c>
      <c r="G595" t="s">
        <v>17</v>
      </c>
      <c r="H595">
        <v>2</v>
      </c>
      <c r="I595">
        <v>12</v>
      </c>
      <c r="J595" t="s">
        <v>21</v>
      </c>
      <c r="K595" t="s">
        <v>18</v>
      </c>
      <c r="L595">
        <v>24</v>
      </c>
    </row>
    <row r="596" spans="1:12" x14ac:dyDescent="0.3">
      <c r="A596">
        <v>657</v>
      </c>
      <c r="B596" t="s">
        <v>28</v>
      </c>
      <c r="C596" s="1">
        <v>45892</v>
      </c>
      <c r="D596" s="1" t="str">
        <f>TEXT(FMData[[#This Row],[Show_Date]],"mmm")</f>
        <v>Aug</v>
      </c>
      <c r="E596" s="1" t="str">
        <f>TEXT(FMData[[#This Row],[Show_Date]],"ddd")</f>
        <v>Sat</v>
      </c>
      <c r="F596" t="s">
        <v>11</v>
      </c>
      <c r="G596" t="s">
        <v>22</v>
      </c>
      <c r="H596">
        <v>5</v>
      </c>
      <c r="I596">
        <v>20</v>
      </c>
      <c r="J596" t="s">
        <v>13</v>
      </c>
      <c r="K596" t="s">
        <v>25</v>
      </c>
      <c r="L596">
        <v>100</v>
      </c>
    </row>
    <row r="597" spans="1:12" x14ac:dyDescent="0.3">
      <c r="A597">
        <v>1598</v>
      </c>
      <c r="B597" t="s">
        <v>15</v>
      </c>
      <c r="C597" s="1">
        <v>45922</v>
      </c>
      <c r="D597" s="1" t="str">
        <f>TEXT(FMData[[#This Row],[Show_Date]],"mmm")</f>
        <v>Sep</v>
      </c>
      <c r="E597" s="1" t="str">
        <f>TEXT(FMData[[#This Row],[Show_Date]],"ddd")</f>
        <v>Mon</v>
      </c>
      <c r="F597" t="s">
        <v>11</v>
      </c>
      <c r="G597" t="s">
        <v>12</v>
      </c>
      <c r="H597">
        <v>2</v>
      </c>
      <c r="I597">
        <v>25</v>
      </c>
      <c r="J597" t="s">
        <v>13</v>
      </c>
      <c r="K597" t="s">
        <v>27</v>
      </c>
      <c r="L597">
        <v>50</v>
      </c>
    </row>
    <row r="598" spans="1:12" x14ac:dyDescent="0.3">
      <c r="A598">
        <v>183</v>
      </c>
      <c r="B598" t="s">
        <v>10</v>
      </c>
      <c r="C598" s="1">
        <v>45845</v>
      </c>
      <c r="D598" s="1" t="str">
        <f>TEXT(FMData[[#This Row],[Show_Date]],"mmm")</f>
        <v>Jul</v>
      </c>
      <c r="E598" s="1" t="str">
        <f>TEXT(FMData[[#This Row],[Show_Date]],"ddd")</f>
        <v>Mon</v>
      </c>
      <c r="F598" t="s">
        <v>11</v>
      </c>
      <c r="G598" t="s">
        <v>17</v>
      </c>
      <c r="H598">
        <v>4</v>
      </c>
      <c r="I598">
        <v>12</v>
      </c>
      <c r="J598" t="s">
        <v>23</v>
      </c>
      <c r="K598" t="s">
        <v>18</v>
      </c>
      <c r="L598">
        <v>48</v>
      </c>
    </row>
    <row r="599" spans="1:12" x14ac:dyDescent="0.3">
      <c r="A599">
        <v>1218</v>
      </c>
      <c r="B599" t="s">
        <v>26</v>
      </c>
      <c r="C599" s="1">
        <v>45855</v>
      </c>
      <c r="D599" s="1" t="str">
        <f>TEXT(FMData[[#This Row],[Show_Date]],"mmm")</f>
        <v>Jul</v>
      </c>
      <c r="E599" s="1" t="str">
        <f>TEXT(FMData[[#This Row],[Show_Date]],"ddd")</f>
        <v>Thu</v>
      </c>
      <c r="F599" t="s">
        <v>16</v>
      </c>
      <c r="G599" t="s">
        <v>17</v>
      </c>
      <c r="H599">
        <v>4</v>
      </c>
      <c r="I599">
        <v>12</v>
      </c>
      <c r="J599" t="s">
        <v>21</v>
      </c>
      <c r="K599" t="s">
        <v>25</v>
      </c>
      <c r="L599">
        <v>48</v>
      </c>
    </row>
    <row r="600" spans="1:12" x14ac:dyDescent="0.3">
      <c r="A600">
        <v>705</v>
      </c>
      <c r="B600" t="s">
        <v>15</v>
      </c>
      <c r="C600" s="1">
        <v>45853</v>
      </c>
      <c r="D600" s="1" t="str">
        <f>TEXT(FMData[[#This Row],[Show_Date]],"mmm")</f>
        <v>Jul</v>
      </c>
      <c r="E600" s="1" t="str">
        <f>TEXT(FMData[[#This Row],[Show_Date]],"ddd")</f>
        <v>Tue</v>
      </c>
      <c r="F600" t="s">
        <v>16</v>
      </c>
      <c r="G600" t="s">
        <v>30</v>
      </c>
      <c r="H600">
        <v>5</v>
      </c>
      <c r="I600">
        <v>8</v>
      </c>
      <c r="J600" t="s">
        <v>23</v>
      </c>
      <c r="K600" t="s">
        <v>18</v>
      </c>
      <c r="L600">
        <v>40</v>
      </c>
    </row>
    <row r="601" spans="1:12" x14ac:dyDescent="0.3">
      <c r="A601">
        <v>1373</v>
      </c>
      <c r="B601" t="s">
        <v>19</v>
      </c>
      <c r="C601" s="1">
        <v>45876</v>
      </c>
      <c r="D601" s="1" t="str">
        <f>TEXT(FMData[[#This Row],[Show_Date]],"mmm")</f>
        <v>Aug</v>
      </c>
      <c r="E601" s="1" t="str">
        <f>TEXT(FMData[[#This Row],[Show_Date]],"ddd")</f>
        <v>Thu</v>
      </c>
      <c r="F601" t="s">
        <v>16</v>
      </c>
      <c r="G601" t="s">
        <v>17</v>
      </c>
      <c r="H601">
        <v>3</v>
      </c>
      <c r="I601">
        <v>12</v>
      </c>
      <c r="J601" t="s">
        <v>21</v>
      </c>
      <c r="K601" t="s">
        <v>14</v>
      </c>
      <c r="L601">
        <v>36</v>
      </c>
    </row>
    <row r="602" spans="1:12" x14ac:dyDescent="0.3">
      <c r="A602">
        <v>1190</v>
      </c>
      <c r="B602" t="s">
        <v>19</v>
      </c>
      <c r="C602" s="1">
        <v>45844</v>
      </c>
      <c r="D602" s="1" t="str">
        <f>TEXT(FMData[[#This Row],[Show_Date]],"mmm")</f>
        <v>Jul</v>
      </c>
      <c r="E602" s="1" t="str">
        <f>TEXT(FMData[[#This Row],[Show_Date]],"ddd")</f>
        <v>Sun</v>
      </c>
      <c r="F602" t="s">
        <v>20</v>
      </c>
      <c r="G602" t="s">
        <v>30</v>
      </c>
      <c r="H602">
        <v>4</v>
      </c>
      <c r="I602">
        <v>8</v>
      </c>
      <c r="J602" t="s">
        <v>23</v>
      </c>
      <c r="K602" t="s">
        <v>27</v>
      </c>
      <c r="L602">
        <v>32</v>
      </c>
    </row>
    <row r="603" spans="1:12" x14ac:dyDescent="0.3">
      <c r="A603">
        <v>938</v>
      </c>
      <c r="B603" t="s">
        <v>15</v>
      </c>
      <c r="C603" s="1">
        <v>45927</v>
      </c>
      <c r="D603" s="1" t="str">
        <f>TEXT(FMData[[#This Row],[Show_Date]],"mmm")</f>
        <v>Sep</v>
      </c>
      <c r="E603" s="1" t="str">
        <f>TEXT(FMData[[#This Row],[Show_Date]],"ddd")</f>
        <v>Sat</v>
      </c>
      <c r="F603" t="s">
        <v>33</v>
      </c>
      <c r="G603" t="s">
        <v>12</v>
      </c>
      <c r="H603">
        <v>2</v>
      </c>
      <c r="I603">
        <v>25</v>
      </c>
      <c r="J603" t="s">
        <v>21</v>
      </c>
      <c r="K603" t="s">
        <v>14</v>
      </c>
      <c r="L603">
        <v>50</v>
      </c>
    </row>
    <row r="604" spans="1:12" x14ac:dyDescent="0.3">
      <c r="A604">
        <v>1663</v>
      </c>
      <c r="B604" t="s">
        <v>31</v>
      </c>
      <c r="C604" s="1">
        <v>45913</v>
      </c>
      <c r="D604" s="1" t="str">
        <f>TEXT(FMData[[#This Row],[Show_Date]],"mmm")</f>
        <v>Sep</v>
      </c>
      <c r="E604" s="1" t="str">
        <f>TEXT(FMData[[#This Row],[Show_Date]],"ddd")</f>
        <v>Sat</v>
      </c>
      <c r="F604" t="s">
        <v>20</v>
      </c>
      <c r="G604" t="s">
        <v>17</v>
      </c>
      <c r="H604">
        <v>3</v>
      </c>
      <c r="I604">
        <v>12</v>
      </c>
      <c r="J604" t="s">
        <v>21</v>
      </c>
      <c r="K604" t="s">
        <v>18</v>
      </c>
      <c r="L604">
        <v>36</v>
      </c>
    </row>
    <row r="605" spans="1:12" x14ac:dyDescent="0.3">
      <c r="A605">
        <v>842</v>
      </c>
      <c r="B605" t="s">
        <v>19</v>
      </c>
      <c r="C605" s="1">
        <v>45910</v>
      </c>
      <c r="D605" s="1" t="str">
        <f>TEXT(FMData[[#This Row],[Show_Date]],"mmm")</f>
        <v>Sep</v>
      </c>
      <c r="E605" s="1" t="str">
        <f>TEXT(FMData[[#This Row],[Show_Date]],"ddd")</f>
        <v>Wed</v>
      </c>
      <c r="F605" t="s">
        <v>33</v>
      </c>
      <c r="G605" t="s">
        <v>30</v>
      </c>
      <c r="H605">
        <v>4</v>
      </c>
      <c r="I605">
        <v>8</v>
      </c>
      <c r="J605" t="s">
        <v>13</v>
      </c>
      <c r="K605" t="s">
        <v>18</v>
      </c>
      <c r="L605">
        <v>32</v>
      </c>
    </row>
    <row r="606" spans="1:12" x14ac:dyDescent="0.3">
      <c r="A606">
        <v>517</v>
      </c>
      <c r="B606" t="s">
        <v>19</v>
      </c>
      <c r="C606" s="1">
        <v>45874</v>
      </c>
      <c r="D606" s="1" t="str">
        <f>TEXT(FMData[[#This Row],[Show_Date]],"mmm")</f>
        <v>Aug</v>
      </c>
      <c r="E606" s="1" t="str">
        <f>TEXT(FMData[[#This Row],[Show_Date]],"ddd")</f>
        <v>Tue</v>
      </c>
      <c r="F606" t="s">
        <v>11</v>
      </c>
      <c r="G606" t="s">
        <v>17</v>
      </c>
      <c r="H606">
        <v>1</v>
      </c>
      <c r="I606">
        <v>12</v>
      </c>
      <c r="J606" t="s">
        <v>23</v>
      </c>
      <c r="K606" t="s">
        <v>25</v>
      </c>
      <c r="L606">
        <v>12</v>
      </c>
    </row>
    <row r="607" spans="1:12" x14ac:dyDescent="0.3">
      <c r="A607">
        <v>402</v>
      </c>
      <c r="B607" t="s">
        <v>31</v>
      </c>
      <c r="C607" s="1">
        <v>45863</v>
      </c>
      <c r="D607" s="1" t="str">
        <f>TEXT(FMData[[#This Row],[Show_Date]],"mmm")</f>
        <v>Jul</v>
      </c>
      <c r="E607" s="1" t="str">
        <f>TEXT(FMData[[#This Row],[Show_Date]],"ddd")</f>
        <v>Fri</v>
      </c>
      <c r="F607" t="s">
        <v>16</v>
      </c>
      <c r="G607" t="s">
        <v>17</v>
      </c>
      <c r="H607">
        <v>2</v>
      </c>
      <c r="I607">
        <v>12</v>
      </c>
      <c r="J607" t="s">
        <v>23</v>
      </c>
      <c r="K607" t="s">
        <v>18</v>
      </c>
      <c r="L607">
        <v>24</v>
      </c>
    </row>
    <row r="608" spans="1:12" x14ac:dyDescent="0.3">
      <c r="A608">
        <v>1466</v>
      </c>
      <c r="B608" t="s">
        <v>10</v>
      </c>
      <c r="C608" s="1">
        <v>45899</v>
      </c>
      <c r="D608" s="1" t="str">
        <f>TEXT(FMData[[#This Row],[Show_Date]],"mmm")</f>
        <v>Aug</v>
      </c>
      <c r="E608" s="1" t="str">
        <f>TEXT(FMData[[#This Row],[Show_Date]],"ddd")</f>
        <v>Sat</v>
      </c>
      <c r="F608" t="s">
        <v>20</v>
      </c>
      <c r="G608" t="s">
        <v>30</v>
      </c>
      <c r="H608">
        <v>1</v>
      </c>
      <c r="I608">
        <v>8</v>
      </c>
      <c r="J608" t="s">
        <v>23</v>
      </c>
      <c r="K608" t="s">
        <v>25</v>
      </c>
      <c r="L608">
        <v>8</v>
      </c>
    </row>
    <row r="609" spans="1:12" x14ac:dyDescent="0.3">
      <c r="A609">
        <v>1922</v>
      </c>
      <c r="B609" t="s">
        <v>15</v>
      </c>
      <c r="C609" s="1">
        <v>45927</v>
      </c>
      <c r="D609" s="1" t="str">
        <f>TEXT(FMData[[#This Row],[Show_Date]],"mmm")</f>
        <v>Sep</v>
      </c>
      <c r="E609" s="1" t="str">
        <f>TEXT(FMData[[#This Row],[Show_Date]],"ddd")</f>
        <v>Sat</v>
      </c>
      <c r="F609" t="s">
        <v>11</v>
      </c>
      <c r="G609" t="s">
        <v>17</v>
      </c>
      <c r="H609">
        <v>2</v>
      </c>
      <c r="I609">
        <v>12</v>
      </c>
      <c r="J609" t="s">
        <v>21</v>
      </c>
      <c r="K609" t="s">
        <v>18</v>
      </c>
      <c r="L609">
        <v>24</v>
      </c>
    </row>
    <row r="610" spans="1:12" x14ac:dyDescent="0.3">
      <c r="A610">
        <v>1897</v>
      </c>
      <c r="B610" t="s">
        <v>10</v>
      </c>
      <c r="C610" s="1">
        <v>45862</v>
      </c>
      <c r="D610" s="1" t="str">
        <f>TEXT(FMData[[#This Row],[Show_Date]],"mmm")</f>
        <v>Jul</v>
      </c>
      <c r="E610" s="1" t="str">
        <f>TEXT(FMData[[#This Row],[Show_Date]],"ddd")</f>
        <v>Thu</v>
      </c>
      <c r="F610" t="s">
        <v>11</v>
      </c>
      <c r="G610" t="s">
        <v>17</v>
      </c>
      <c r="H610">
        <v>2</v>
      </c>
      <c r="I610">
        <v>12</v>
      </c>
      <c r="J610" t="s">
        <v>21</v>
      </c>
      <c r="K610" t="s">
        <v>25</v>
      </c>
      <c r="L610">
        <v>24</v>
      </c>
    </row>
    <row r="611" spans="1:12" x14ac:dyDescent="0.3">
      <c r="A611">
        <v>1950</v>
      </c>
      <c r="B611" t="s">
        <v>28</v>
      </c>
      <c r="C611" s="1">
        <v>45923</v>
      </c>
      <c r="D611" s="1" t="str">
        <f>TEXT(FMData[[#This Row],[Show_Date]],"mmm")</f>
        <v>Sep</v>
      </c>
      <c r="E611" s="1" t="str">
        <f>TEXT(FMData[[#This Row],[Show_Date]],"ddd")</f>
        <v>Tue</v>
      </c>
      <c r="F611" t="s">
        <v>11</v>
      </c>
      <c r="G611" t="s">
        <v>17</v>
      </c>
      <c r="H611">
        <v>2</v>
      </c>
      <c r="I611">
        <v>12</v>
      </c>
      <c r="J611" t="s">
        <v>23</v>
      </c>
      <c r="K611" t="s">
        <v>18</v>
      </c>
      <c r="L611">
        <v>24</v>
      </c>
    </row>
    <row r="612" spans="1:12" x14ac:dyDescent="0.3">
      <c r="A612">
        <v>1306</v>
      </c>
      <c r="B612" t="s">
        <v>28</v>
      </c>
      <c r="C612" s="1">
        <v>45906</v>
      </c>
      <c r="D612" s="1" t="str">
        <f>TEXT(FMData[[#This Row],[Show_Date]],"mmm")</f>
        <v>Sep</v>
      </c>
      <c r="E612" s="1" t="str">
        <f>TEXT(FMData[[#This Row],[Show_Date]],"ddd")</f>
        <v>Sat</v>
      </c>
      <c r="F612" t="s">
        <v>33</v>
      </c>
      <c r="G612" t="s">
        <v>17</v>
      </c>
      <c r="H612">
        <v>1</v>
      </c>
      <c r="I612">
        <v>12</v>
      </c>
      <c r="J612" t="s">
        <v>13</v>
      </c>
      <c r="K612" t="s">
        <v>18</v>
      </c>
      <c r="L612">
        <v>12</v>
      </c>
    </row>
    <row r="613" spans="1:12" x14ac:dyDescent="0.3">
      <c r="A613">
        <v>169</v>
      </c>
      <c r="B613" t="s">
        <v>28</v>
      </c>
      <c r="C613" s="1">
        <v>45871</v>
      </c>
      <c r="D613" s="1" t="str">
        <f>TEXT(FMData[[#This Row],[Show_Date]],"mmm")</f>
        <v>Aug</v>
      </c>
      <c r="E613" s="1" t="str">
        <f>TEXT(FMData[[#This Row],[Show_Date]],"ddd")</f>
        <v>Sat</v>
      </c>
      <c r="F613" t="s">
        <v>20</v>
      </c>
      <c r="G613" t="s">
        <v>30</v>
      </c>
      <c r="H613">
        <v>5</v>
      </c>
      <c r="I613">
        <v>8</v>
      </c>
      <c r="J613" t="s">
        <v>21</v>
      </c>
      <c r="K613" t="s">
        <v>14</v>
      </c>
      <c r="L613">
        <v>40</v>
      </c>
    </row>
    <row r="614" spans="1:12" x14ac:dyDescent="0.3">
      <c r="A614">
        <v>1157</v>
      </c>
      <c r="B614" t="s">
        <v>26</v>
      </c>
      <c r="C614" s="1">
        <v>45930</v>
      </c>
      <c r="D614" s="1" t="str">
        <f>TEXT(FMData[[#This Row],[Show_Date]],"mmm")</f>
        <v>Sep</v>
      </c>
      <c r="E614" s="1" t="str">
        <f>TEXT(FMData[[#This Row],[Show_Date]],"ddd")</f>
        <v>Tue</v>
      </c>
      <c r="F614" t="s">
        <v>16</v>
      </c>
      <c r="G614" t="s">
        <v>29</v>
      </c>
      <c r="H614">
        <v>2</v>
      </c>
      <c r="I614">
        <v>30</v>
      </c>
      <c r="J614" t="s">
        <v>13</v>
      </c>
      <c r="K614" t="s">
        <v>14</v>
      </c>
      <c r="L614">
        <v>60</v>
      </c>
    </row>
    <row r="615" spans="1:12" x14ac:dyDescent="0.3">
      <c r="A615">
        <v>1314</v>
      </c>
      <c r="B615" t="s">
        <v>15</v>
      </c>
      <c r="C615" s="1">
        <v>45893</v>
      </c>
      <c r="D615" s="1" t="str">
        <f>TEXT(FMData[[#This Row],[Show_Date]],"mmm")</f>
        <v>Aug</v>
      </c>
      <c r="E615" s="1" t="str">
        <f>TEXT(FMData[[#This Row],[Show_Date]],"ddd")</f>
        <v>Sun</v>
      </c>
      <c r="F615" t="s">
        <v>11</v>
      </c>
      <c r="G615" t="s">
        <v>17</v>
      </c>
      <c r="H615">
        <v>5</v>
      </c>
      <c r="I615">
        <v>12</v>
      </c>
      <c r="J615" t="s">
        <v>21</v>
      </c>
      <c r="K615" t="s">
        <v>27</v>
      </c>
      <c r="L615">
        <v>60</v>
      </c>
    </row>
    <row r="616" spans="1:12" x14ac:dyDescent="0.3">
      <c r="A616">
        <v>1509</v>
      </c>
      <c r="B616" t="s">
        <v>19</v>
      </c>
      <c r="C616" s="1">
        <v>45848</v>
      </c>
      <c r="D616" s="1" t="str">
        <f>TEXT(FMData[[#This Row],[Show_Date]],"mmm")</f>
        <v>Jul</v>
      </c>
      <c r="E616" s="1" t="str">
        <f>TEXT(FMData[[#This Row],[Show_Date]],"ddd")</f>
        <v>Thu</v>
      </c>
      <c r="F616" t="s">
        <v>11</v>
      </c>
      <c r="G616" t="s">
        <v>22</v>
      </c>
      <c r="H616">
        <v>4</v>
      </c>
      <c r="I616">
        <v>20</v>
      </c>
      <c r="J616" t="s">
        <v>23</v>
      </c>
      <c r="K616" t="s">
        <v>18</v>
      </c>
      <c r="L616">
        <v>80</v>
      </c>
    </row>
    <row r="617" spans="1:12" x14ac:dyDescent="0.3">
      <c r="A617">
        <v>103</v>
      </c>
      <c r="B617" t="s">
        <v>26</v>
      </c>
      <c r="C617" s="1">
        <v>45898</v>
      </c>
      <c r="D617" s="1" t="str">
        <f>TEXT(FMData[[#This Row],[Show_Date]],"mmm")</f>
        <v>Aug</v>
      </c>
      <c r="E617" s="1" t="str">
        <f>TEXT(FMData[[#This Row],[Show_Date]],"ddd")</f>
        <v>Fri</v>
      </c>
      <c r="F617" t="s">
        <v>11</v>
      </c>
      <c r="G617" t="s">
        <v>17</v>
      </c>
      <c r="H617">
        <v>4</v>
      </c>
      <c r="I617">
        <v>12</v>
      </c>
      <c r="J617" t="s">
        <v>23</v>
      </c>
      <c r="K617" t="s">
        <v>25</v>
      </c>
      <c r="L617">
        <v>48</v>
      </c>
    </row>
    <row r="618" spans="1:12" x14ac:dyDescent="0.3">
      <c r="A618">
        <v>1470</v>
      </c>
      <c r="B618" t="s">
        <v>24</v>
      </c>
      <c r="C618" s="1">
        <v>45916</v>
      </c>
      <c r="D618" s="1" t="str">
        <f>TEXT(FMData[[#This Row],[Show_Date]],"mmm")</f>
        <v>Sep</v>
      </c>
      <c r="E618" s="1" t="str">
        <f>TEXT(FMData[[#This Row],[Show_Date]],"ddd")</f>
        <v>Tue</v>
      </c>
      <c r="F618" t="s">
        <v>11</v>
      </c>
      <c r="G618" t="s">
        <v>17</v>
      </c>
      <c r="H618">
        <v>5</v>
      </c>
      <c r="I618">
        <v>12</v>
      </c>
      <c r="J618" t="s">
        <v>23</v>
      </c>
      <c r="K618" t="s">
        <v>14</v>
      </c>
      <c r="L618">
        <v>60</v>
      </c>
    </row>
    <row r="619" spans="1:12" x14ac:dyDescent="0.3">
      <c r="A619">
        <v>383</v>
      </c>
      <c r="B619" t="s">
        <v>31</v>
      </c>
      <c r="C619" s="1">
        <v>45903</v>
      </c>
      <c r="D619" s="1" t="str">
        <f>TEXT(FMData[[#This Row],[Show_Date]],"mmm")</f>
        <v>Sep</v>
      </c>
      <c r="E619" s="1" t="str">
        <f>TEXT(FMData[[#This Row],[Show_Date]],"ddd")</f>
        <v>Wed</v>
      </c>
      <c r="F619" t="s">
        <v>11</v>
      </c>
      <c r="G619" t="s">
        <v>29</v>
      </c>
      <c r="H619">
        <v>3</v>
      </c>
      <c r="I619">
        <v>30</v>
      </c>
      <c r="J619" t="s">
        <v>13</v>
      </c>
      <c r="K619" t="s">
        <v>14</v>
      </c>
      <c r="L619">
        <v>90</v>
      </c>
    </row>
    <row r="620" spans="1:12" x14ac:dyDescent="0.3">
      <c r="A620">
        <v>274</v>
      </c>
      <c r="B620" t="s">
        <v>19</v>
      </c>
      <c r="C620" s="1">
        <v>45843</v>
      </c>
      <c r="D620" s="1" t="str">
        <f>TEXT(FMData[[#This Row],[Show_Date]],"mmm")</f>
        <v>Jul</v>
      </c>
      <c r="E620" s="1" t="str">
        <f>TEXT(FMData[[#This Row],[Show_Date]],"ddd")</f>
        <v>Sat</v>
      </c>
      <c r="F620" t="s">
        <v>11</v>
      </c>
      <c r="G620" t="s">
        <v>30</v>
      </c>
      <c r="H620">
        <v>2</v>
      </c>
      <c r="I620">
        <v>8</v>
      </c>
      <c r="J620" t="s">
        <v>23</v>
      </c>
      <c r="K620" t="s">
        <v>27</v>
      </c>
      <c r="L620">
        <v>16</v>
      </c>
    </row>
    <row r="621" spans="1:12" x14ac:dyDescent="0.3">
      <c r="A621">
        <v>1589</v>
      </c>
      <c r="B621" t="s">
        <v>28</v>
      </c>
      <c r="C621" s="1">
        <v>45914</v>
      </c>
      <c r="D621" s="1" t="str">
        <f>TEXT(FMData[[#This Row],[Show_Date]],"mmm")</f>
        <v>Sep</v>
      </c>
      <c r="E621" s="1" t="str">
        <f>TEXT(FMData[[#This Row],[Show_Date]],"ddd")</f>
        <v>Sun</v>
      </c>
      <c r="F621" t="s">
        <v>11</v>
      </c>
      <c r="G621" t="s">
        <v>17</v>
      </c>
      <c r="H621">
        <v>3</v>
      </c>
      <c r="I621">
        <v>12</v>
      </c>
      <c r="J621" t="s">
        <v>21</v>
      </c>
      <c r="K621" t="s">
        <v>14</v>
      </c>
      <c r="L621">
        <v>36</v>
      </c>
    </row>
    <row r="622" spans="1:12" x14ac:dyDescent="0.3">
      <c r="A622">
        <v>1280</v>
      </c>
      <c r="B622" t="s">
        <v>31</v>
      </c>
      <c r="C622" s="1">
        <v>45906</v>
      </c>
      <c r="D622" s="1" t="str">
        <f>TEXT(FMData[[#This Row],[Show_Date]],"mmm")</f>
        <v>Sep</v>
      </c>
      <c r="E622" s="1" t="str">
        <f>TEXT(FMData[[#This Row],[Show_Date]],"ddd")</f>
        <v>Sat</v>
      </c>
      <c r="F622" t="s">
        <v>11</v>
      </c>
      <c r="G622" t="s">
        <v>30</v>
      </c>
      <c r="H622">
        <v>1</v>
      </c>
      <c r="I622">
        <v>8</v>
      </c>
      <c r="J622" t="s">
        <v>21</v>
      </c>
      <c r="K622" t="s">
        <v>18</v>
      </c>
      <c r="L622">
        <v>8</v>
      </c>
    </row>
    <row r="623" spans="1:12" x14ac:dyDescent="0.3">
      <c r="A623">
        <v>1716</v>
      </c>
      <c r="B623" t="s">
        <v>19</v>
      </c>
      <c r="C623" s="1">
        <v>45918</v>
      </c>
      <c r="D623" s="1" t="str">
        <f>TEXT(FMData[[#This Row],[Show_Date]],"mmm")</f>
        <v>Sep</v>
      </c>
      <c r="E623" s="1" t="str">
        <f>TEXT(FMData[[#This Row],[Show_Date]],"ddd")</f>
        <v>Thu</v>
      </c>
      <c r="F623" t="s">
        <v>11</v>
      </c>
      <c r="G623" t="s">
        <v>17</v>
      </c>
      <c r="H623">
        <v>2</v>
      </c>
      <c r="I623">
        <v>12</v>
      </c>
      <c r="J623" t="s">
        <v>21</v>
      </c>
      <c r="K623" t="s">
        <v>27</v>
      </c>
      <c r="L623">
        <v>24</v>
      </c>
    </row>
    <row r="624" spans="1:12" x14ac:dyDescent="0.3">
      <c r="A624">
        <v>808</v>
      </c>
      <c r="B624" t="s">
        <v>24</v>
      </c>
      <c r="C624" s="1">
        <v>45845</v>
      </c>
      <c r="D624" s="1" t="str">
        <f>TEXT(FMData[[#This Row],[Show_Date]],"mmm")</f>
        <v>Jul</v>
      </c>
      <c r="E624" s="1" t="str">
        <f>TEXT(FMData[[#This Row],[Show_Date]],"ddd")</f>
        <v>Mon</v>
      </c>
      <c r="F624" t="s">
        <v>11</v>
      </c>
      <c r="G624" t="s">
        <v>17</v>
      </c>
      <c r="H624">
        <v>1</v>
      </c>
      <c r="I624">
        <v>12</v>
      </c>
      <c r="J624" t="s">
        <v>21</v>
      </c>
      <c r="K624" t="s">
        <v>18</v>
      </c>
      <c r="L624">
        <v>12</v>
      </c>
    </row>
    <row r="625" spans="1:12" x14ac:dyDescent="0.3">
      <c r="A625">
        <v>435</v>
      </c>
      <c r="B625" t="s">
        <v>31</v>
      </c>
      <c r="C625" s="1">
        <v>45857</v>
      </c>
      <c r="D625" s="1" t="str">
        <f>TEXT(FMData[[#This Row],[Show_Date]],"mmm")</f>
        <v>Jul</v>
      </c>
      <c r="E625" s="1" t="str">
        <f>TEXT(FMData[[#This Row],[Show_Date]],"ddd")</f>
        <v>Sat</v>
      </c>
      <c r="F625" t="s">
        <v>20</v>
      </c>
      <c r="G625" t="s">
        <v>29</v>
      </c>
      <c r="H625">
        <v>4</v>
      </c>
      <c r="I625">
        <v>30</v>
      </c>
      <c r="J625" t="s">
        <v>21</v>
      </c>
      <c r="K625" t="s">
        <v>18</v>
      </c>
      <c r="L625">
        <v>120</v>
      </c>
    </row>
    <row r="626" spans="1:12" x14ac:dyDescent="0.3">
      <c r="A626">
        <v>1303</v>
      </c>
      <c r="B626" t="s">
        <v>28</v>
      </c>
      <c r="C626" s="1">
        <v>45871</v>
      </c>
      <c r="D626" s="1" t="str">
        <f>TEXT(FMData[[#This Row],[Show_Date]],"mmm")</f>
        <v>Aug</v>
      </c>
      <c r="E626" s="1" t="str">
        <f>TEXT(FMData[[#This Row],[Show_Date]],"ddd")</f>
        <v>Sat</v>
      </c>
      <c r="F626" t="s">
        <v>33</v>
      </c>
      <c r="G626" t="s">
        <v>12</v>
      </c>
      <c r="H626">
        <v>3</v>
      </c>
      <c r="I626">
        <v>25</v>
      </c>
      <c r="J626" t="s">
        <v>23</v>
      </c>
      <c r="K626" t="s">
        <v>25</v>
      </c>
      <c r="L626">
        <v>75</v>
      </c>
    </row>
    <row r="627" spans="1:12" x14ac:dyDescent="0.3">
      <c r="A627">
        <v>801</v>
      </c>
      <c r="B627" t="s">
        <v>24</v>
      </c>
      <c r="C627" s="1">
        <v>45906</v>
      </c>
      <c r="D627" s="1" t="str">
        <f>TEXT(FMData[[#This Row],[Show_Date]],"mmm")</f>
        <v>Sep</v>
      </c>
      <c r="E627" s="1" t="str">
        <f>TEXT(FMData[[#This Row],[Show_Date]],"ddd")</f>
        <v>Sat</v>
      </c>
      <c r="F627" t="s">
        <v>16</v>
      </c>
      <c r="G627" t="s">
        <v>30</v>
      </c>
      <c r="H627">
        <v>3</v>
      </c>
      <c r="I627">
        <v>8</v>
      </c>
      <c r="J627" t="s">
        <v>13</v>
      </c>
      <c r="K627" t="s">
        <v>18</v>
      </c>
      <c r="L627">
        <v>24</v>
      </c>
    </row>
    <row r="628" spans="1:12" x14ac:dyDescent="0.3">
      <c r="A628">
        <v>1203</v>
      </c>
      <c r="B628" t="s">
        <v>31</v>
      </c>
      <c r="C628" s="1">
        <v>45882</v>
      </c>
      <c r="D628" s="1" t="str">
        <f>TEXT(FMData[[#This Row],[Show_Date]],"mmm")</f>
        <v>Aug</v>
      </c>
      <c r="E628" s="1" t="str">
        <f>TEXT(FMData[[#This Row],[Show_Date]],"ddd")</f>
        <v>Wed</v>
      </c>
      <c r="F628" t="s">
        <v>16</v>
      </c>
      <c r="G628" t="s">
        <v>17</v>
      </c>
      <c r="H628">
        <v>5</v>
      </c>
      <c r="I628">
        <v>12</v>
      </c>
      <c r="J628" t="s">
        <v>23</v>
      </c>
      <c r="K628" t="s">
        <v>25</v>
      </c>
      <c r="L628">
        <v>60</v>
      </c>
    </row>
    <row r="629" spans="1:12" x14ac:dyDescent="0.3">
      <c r="A629">
        <v>198</v>
      </c>
      <c r="B629" t="s">
        <v>31</v>
      </c>
      <c r="C629" s="1">
        <v>45906</v>
      </c>
      <c r="D629" s="1" t="str">
        <f>TEXT(FMData[[#This Row],[Show_Date]],"mmm")</f>
        <v>Sep</v>
      </c>
      <c r="E629" s="1" t="str">
        <f>TEXT(FMData[[#This Row],[Show_Date]],"ddd")</f>
        <v>Sat</v>
      </c>
      <c r="F629" t="s">
        <v>16</v>
      </c>
      <c r="G629" t="s">
        <v>22</v>
      </c>
      <c r="H629">
        <v>3</v>
      </c>
      <c r="I629">
        <v>20</v>
      </c>
      <c r="J629" t="s">
        <v>13</v>
      </c>
      <c r="K629" t="s">
        <v>14</v>
      </c>
      <c r="L629">
        <v>60</v>
      </c>
    </row>
    <row r="630" spans="1:12" x14ac:dyDescent="0.3">
      <c r="A630">
        <v>994</v>
      </c>
      <c r="B630" t="s">
        <v>31</v>
      </c>
      <c r="C630" s="1">
        <v>45870</v>
      </c>
      <c r="D630" s="1" t="str">
        <f>TEXT(FMData[[#This Row],[Show_Date]],"mmm")</f>
        <v>Aug</v>
      </c>
      <c r="E630" s="1" t="str">
        <f>TEXT(FMData[[#This Row],[Show_Date]],"ddd")</f>
        <v>Fri</v>
      </c>
      <c r="F630" t="s">
        <v>20</v>
      </c>
      <c r="G630" t="s">
        <v>17</v>
      </c>
      <c r="H630">
        <v>5</v>
      </c>
      <c r="I630">
        <v>12</v>
      </c>
      <c r="J630" t="s">
        <v>21</v>
      </c>
      <c r="K630" t="s">
        <v>25</v>
      </c>
      <c r="L630">
        <v>60</v>
      </c>
    </row>
    <row r="631" spans="1:12" x14ac:dyDescent="0.3">
      <c r="A631">
        <v>288</v>
      </c>
      <c r="B631" t="s">
        <v>15</v>
      </c>
      <c r="C631" s="1">
        <v>45912</v>
      </c>
      <c r="D631" s="1" t="str">
        <f>TEXT(FMData[[#This Row],[Show_Date]],"mmm")</f>
        <v>Sep</v>
      </c>
      <c r="E631" s="1" t="str">
        <f>TEXT(FMData[[#This Row],[Show_Date]],"ddd")</f>
        <v>Fri</v>
      </c>
      <c r="F631" t="s">
        <v>33</v>
      </c>
      <c r="G631" t="s">
        <v>17</v>
      </c>
      <c r="H631">
        <v>3</v>
      </c>
      <c r="I631">
        <v>12</v>
      </c>
      <c r="J631" t="s">
        <v>13</v>
      </c>
      <c r="K631" t="s">
        <v>14</v>
      </c>
      <c r="L631">
        <v>36</v>
      </c>
    </row>
    <row r="632" spans="1:12" x14ac:dyDescent="0.3">
      <c r="A632">
        <v>203</v>
      </c>
      <c r="B632" t="s">
        <v>28</v>
      </c>
      <c r="C632" s="1">
        <v>45847</v>
      </c>
      <c r="D632" s="1" t="str">
        <f>TEXT(FMData[[#This Row],[Show_Date]],"mmm")</f>
        <v>Jul</v>
      </c>
      <c r="E632" s="1" t="str">
        <f>TEXT(FMData[[#This Row],[Show_Date]],"ddd")</f>
        <v>Wed</v>
      </c>
      <c r="F632" t="s">
        <v>11</v>
      </c>
      <c r="G632" t="s">
        <v>17</v>
      </c>
      <c r="H632">
        <v>5</v>
      </c>
      <c r="I632">
        <v>12</v>
      </c>
      <c r="J632" t="s">
        <v>23</v>
      </c>
      <c r="K632" t="s">
        <v>25</v>
      </c>
      <c r="L632">
        <v>60</v>
      </c>
    </row>
    <row r="633" spans="1:12" x14ac:dyDescent="0.3">
      <c r="A633">
        <v>965</v>
      </c>
      <c r="B633" t="s">
        <v>28</v>
      </c>
      <c r="C633" s="1">
        <v>45922</v>
      </c>
      <c r="D633" s="1" t="str">
        <f>TEXT(FMData[[#This Row],[Show_Date]],"mmm")</f>
        <v>Sep</v>
      </c>
      <c r="E633" s="1" t="str">
        <f>TEXT(FMData[[#This Row],[Show_Date]],"ddd")</f>
        <v>Mon</v>
      </c>
      <c r="F633" t="s">
        <v>20</v>
      </c>
      <c r="G633" t="s">
        <v>22</v>
      </c>
      <c r="H633">
        <v>4</v>
      </c>
      <c r="I633">
        <v>20</v>
      </c>
      <c r="J633" t="s">
        <v>13</v>
      </c>
      <c r="K633" t="s">
        <v>25</v>
      </c>
      <c r="L633">
        <v>80</v>
      </c>
    </row>
    <row r="634" spans="1:12" x14ac:dyDescent="0.3">
      <c r="A634">
        <v>878</v>
      </c>
      <c r="B634" t="s">
        <v>26</v>
      </c>
      <c r="C634" s="1">
        <v>45878</v>
      </c>
      <c r="D634" s="1" t="str">
        <f>TEXT(FMData[[#This Row],[Show_Date]],"mmm")</f>
        <v>Aug</v>
      </c>
      <c r="E634" s="1" t="str">
        <f>TEXT(FMData[[#This Row],[Show_Date]],"ddd")</f>
        <v>Sat</v>
      </c>
      <c r="F634" t="s">
        <v>16</v>
      </c>
      <c r="G634" t="s">
        <v>17</v>
      </c>
      <c r="H634">
        <v>3</v>
      </c>
      <c r="I634">
        <v>12</v>
      </c>
      <c r="J634" t="s">
        <v>21</v>
      </c>
      <c r="K634" t="s">
        <v>14</v>
      </c>
      <c r="L634">
        <v>36</v>
      </c>
    </row>
    <row r="635" spans="1:12" x14ac:dyDescent="0.3">
      <c r="A635">
        <v>104</v>
      </c>
      <c r="B635" t="s">
        <v>31</v>
      </c>
      <c r="C635" s="1">
        <v>45889</v>
      </c>
      <c r="D635" s="1" t="str">
        <f>TEXT(FMData[[#This Row],[Show_Date]],"mmm")</f>
        <v>Aug</v>
      </c>
      <c r="E635" s="1" t="str">
        <f>TEXT(FMData[[#This Row],[Show_Date]],"ddd")</f>
        <v>Wed</v>
      </c>
      <c r="F635" t="s">
        <v>20</v>
      </c>
      <c r="G635" t="s">
        <v>30</v>
      </c>
      <c r="H635">
        <v>1</v>
      </c>
      <c r="I635">
        <v>8</v>
      </c>
      <c r="J635" t="s">
        <v>23</v>
      </c>
      <c r="K635" t="s">
        <v>14</v>
      </c>
      <c r="L635">
        <v>8</v>
      </c>
    </row>
    <row r="636" spans="1:12" x14ac:dyDescent="0.3">
      <c r="A636">
        <v>216</v>
      </c>
      <c r="B636" t="s">
        <v>15</v>
      </c>
      <c r="C636" s="1">
        <v>45885</v>
      </c>
      <c r="D636" s="1" t="str">
        <f>TEXT(FMData[[#This Row],[Show_Date]],"mmm")</f>
        <v>Aug</v>
      </c>
      <c r="E636" s="1" t="str">
        <f>TEXT(FMData[[#This Row],[Show_Date]],"ddd")</f>
        <v>Sat</v>
      </c>
      <c r="F636" t="s">
        <v>20</v>
      </c>
      <c r="G636" t="s">
        <v>17</v>
      </c>
      <c r="H636">
        <v>5</v>
      </c>
      <c r="I636">
        <v>12</v>
      </c>
      <c r="J636" t="s">
        <v>21</v>
      </c>
      <c r="K636" t="s">
        <v>18</v>
      </c>
      <c r="L636">
        <v>60</v>
      </c>
    </row>
    <row r="637" spans="1:12" x14ac:dyDescent="0.3">
      <c r="A637">
        <v>70</v>
      </c>
      <c r="B637" t="s">
        <v>10</v>
      </c>
      <c r="C637" s="1">
        <v>45906</v>
      </c>
      <c r="D637" s="1" t="str">
        <f>TEXT(FMData[[#This Row],[Show_Date]],"mmm")</f>
        <v>Sep</v>
      </c>
      <c r="E637" s="1" t="str">
        <f>TEXT(FMData[[#This Row],[Show_Date]],"ddd")</f>
        <v>Sat</v>
      </c>
      <c r="F637" t="s">
        <v>11</v>
      </c>
      <c r="G637" t="s">
        <v>17</v>
      </c>
      <c r="H637">
        <v>2</v>
      </c>
      <c r="I637">
        <v>12</v>
      </c>
      <c r="J637" t="s">
        <v>13</v>
      </c>
      <c r="K637" t="s">
        <v>18</v>
      </c>
      <c r="L637">
        <v>24</v>
      </c>
    </row>
    <row r="638" spans="1:12" x14ac:dyDescent="0.3">
      <c r="A638">
        <v>536</v>
      </c>
      <c r="B638" t="s">
        <v>10</v>
      </c>
      <c r="C638" s="1">
        <v>45843</v>
      </c>
      <c r="D638" s="1" t="str">
        <f>TEXT(FMData[[#This Row],[Show_Date]],"mmm")</f>
        <v>Jul</v>
      </c>
      <c r="E638" s="1" t="str">
        <f>TEXT(FMData[[#This Row],[Show_Date]],"ddd")</f>
        <v>Sat</v>
      </c>
      <c r="F638" t="s">
        <v>11</v>
      </c>
      <c r="G638" t="s">
        <v>22</v>
      </c>
      <c r="H638">
        <v>3</v>
      </c>
      <c r="I638">
        <v>20</v>
      </c>
      <c r="J638" t="s">
        <v>13</v>
      </c>
      <c r="K638" t="s">
        <v>25</v>
      </c>
      <c r="L638">
        <v>60</v>
      </c>
    </row>
    <row r="639" spans="1:12" x14ac:dyDescent="0.3">
      <c r="A639">
        <v>1259</v>
      </c>
      <c r="B639" t="s">
        <v>19</v>
      </c>
      <c r="C639" s="1">
        <v>45907</v>
      </c>
      <c r="D639" s="1" t="str">
        <f>TEXT(FMData[[#This Row],[Show_Date]],"mmm")</f>
        <v>Sep</v>
      </c>
      <c r="E639" s="1" t="str">
        <f>TEXT(FMData[[#This Row],[Show_Date]],"ddd")</f>
        <v>Sun</v>
      </c>
      <c r="F639" t="s">
        <v>33</v>
      </c>
      <c r="G639" t="s">
        <v>17</v>
      </c>
      <c r="H639">
        <v>5</v>
      </c>
      <c r="I639">
        <v>12</v>
      </c>
      <c r="J639" t="s">
        <v>21</v>
      </c>
      <c r="K639" t="s">
        <v>27</v>
      </c>
      <c r="L639">
        <v>60</v>
      </c>
    </row>
    <row r="640" spans="1:12" x14ac:dyDescent="0.3">
      <c r="A640">
        <v>1930</v>
      </c>
      <c r="B640" t="s">
        <v>32</v>
      </c>
      <c r="C640" s="1">
        <v>45872</v>
      </c>
      <c r="D640" s="1" t="str">
        <f>TEXT(FMData[[#This Row],[Show_Date]],"mmm")</f>
        <v>Aug</v>
      </c>
      <c r="E640" s="1" t="str">
        <f>TEXT(FMData[[#This Row],[Show_Date]],"ddd")</f>
        <v>Sun</v>
      </c>
      <c r="F640" t="s">
        <v>20</v>
      </c>
      <c r="G640" t="s">
        <v>17</v>
      </c>
      <c r="H640">
        <v>2</v>
      </c>
      <c r="I640">
        <v>12</v>
      </c>
      <c r="J640" t="s">
        <v>21</v>
      </c>
      <c r="K640" t="s">
        <v>27</v>
      </c>
      <c r="L640">
        <v>24</v>
      </c>
    </row>
    <row r="641" spans="1:12" x14ac:dyDescent="0.3">
      <c r="A641">
        <v>862</v>
      </c>
      <c r="B641" t="s">
        <v>24</v>
      </c>
      <c r="C641" s="1">
        <v>45921</v>
      </c>
      <c r="D641" s="1" t="str">
        <f>TEXT(FMData[[#This Row],[Show_Date]],"mmm")</f>
        <v>Sep</v>
      </c>
      <c r="E641" s="1" t="str">
        <f>TEXT(FMData[[#This Row],[Show_Date]],"ddd")</f>
        <v>Sun</v>
      </c>
      <c r="F641" t="s">
        <v>16</v>
      </c>
      <c r="G641" t="s">
        <v>17</v>
      </c>
      <c r="H641">
        <v>5</v>
      </c>
      <c r="I641">
        <v>12</v>
      </c>
      <c r="J641" t="s">
        <v>13</v>
      </c>
      <c r="K641" t="s">
        <v>25</v>
      </c>
      <c r="L641">
        <v>60</v>
      </c>
    </row>
    <row r="642" spans="1:12" x14ac:dyDescent="0.3">
      <c r="A642">
        <v>7</v>
      </c>
      <c r="B642" t="s">
        <v>15</v>
      </c>
      <c r="C642" s="1">
        <v>45921</v>
      </c>
      <c r="D642" s="1" t="str">
        <f>TEXT(FMData[[#This Row],[Show_Date]],"mmm")</f>
        <v>Sep</v>
      </c>
      <c r="E642" s="1" t="str">
        <f>TEXT(FMData[[#This Row],[Show_Date]],"ddd")</f>
        <v>Sun</v>
      </c>
      <c r="F642" t="s">
        <v>16</v>
      </c>
      <c r="G642" t="s">
        <v>17</v>
      </c>
      <c r="H642">
        <v>4</v>
      </c>
      <c r="I642">
        <v>12</v>
      </c>
      <c r="J642" t="s">
        <v>13</v>
      </c>
      <c r="K642" t="s">
        <v>14</v>
      </c>
      <c r="L642">
        <v>48</v>
      </c>
    </row>
    <row r="643" spans="1:12" x14ac:dyDescent="0.3">
      <c r="A643">
        <v>1213</v>
      </c>
      <c r="B643" t="s">
        <v>26</v>
      </c>
      <c r="C643" s="1">
        <v>45910</v>
      </c>
      <c r="D643" s="1" t="str">
        <f>TEXT(FMData[[#This Row],[Show_Date]],"mmm")</f>
        <v>Sep</v>
      </c>
      <c r="E643" s="1" t="str">
        <f>TEXT(FMData[[#This Row],[Show_Date]],"ddd")</f>
        <v>Wed</v>
      </c>
      <c r="F643" t="s">
        <v>20</v>
      </c>
      <c r="G643" t="s">
        <v>17</v>
      </c>
      <c r="H643">
        <v>5</v>
      </c>
      <c r="I643">
        <v>12</v>
      </c>
      <c r="J643" t="s">
        <v>13</v>
      </c>
      <c r="K643" t="s">
        <v>14</v>
      </c>
      <c r="L643">
        <v>60</v>
      </c>
    </row>
    <row r="644" spans="1:12" x14ac:dyDescent="0.3">
      <c r="A644">
        <v>782</v>
      </c>
      <c r="B644" t="s">
        <v>32</v>
      </c>
      <c r="C644" s="1">
        <v>45918</v>
      </c>
      <c r="D644" s="1" t="str">
        <f>TEXT(FMData[[#This Row],[Show_Date]],"mmm")</f>
        <v>Sep</v>
      </c>
      <c r="E644" s="1" t="str">
        <f>TEXT(FMData[[#This Row],[Show_Date]],"ddd")</f>
        <v>Thu</v>
      </c>
      <c r="F644" t="s">
        <v>20</v>
      </c>
      <c r="G644" t="s">
        <v>22</v>
      </c>
      <c r="H644">
        <v>5</v>
      </c>
      <c r="I644">
        <v>20</v>
      </c>
      <c r="J644" t="s">
        <v>23</v>
      </c>
      <c r="K644" t="s">
        <v>14</v>
      </c>
      <c r="L644">
        <v>100</v>
      </c>
    </row>
    <row r="645" spans="1:12" x14ac:dyDescent="0.3">
      <c r="A645">
        <v>289</v>
      </c>
      <c r="B645" t="s">
        <v>24</v>
      </c>
      <c r="C645" s="1">
        <v>45855</v>
      </c>
      <c r="D645" s="1" t="str">
        <f>TEXT(FMData[[#This Row],[Show_Date]],"mmm")</f>
        <v>Jul</v>
      </c>
      <c r="E645" s="1" t="str">
        <f>TEXT(FMData[[#This Row],[Show_Date]],"ddd")</f>
        <v>Thu</v>
      </c>
      <c r="F645" t="s">
        <v>33</v>
      </c>
      <c r="G645" t="s">
        <v>17</v>
      </c>
      <c r="H645">
        <v>5</v>
      </c>
      <c r="I645">
        <v>12</v>
      </c>
      <c r="J645" t="s">
        <v>13</v>
      </c>
      <c r="K645" t="s">
        <v>25</v>
      </c>
      <c r="L645">
        <v>60</v>
      </c>
    </row>
    <row r="646" spans="1:12" x14ac:dyDescent="0.3">
      <c r="A646">
        <v>860</v>
      </c>
      <c r="B646" t="s">
        <v>28</v>
      </c>
      <c r="C646" s="1">
        <v>45929</v>
      </c>
      <c r="D646" s="1" t="str">
        <f>TEXT(FMData[[#This Row],[Show_Date]],"mmm")</f>
        <v>Sep</v>
      </c>
      <c r="E646" s="1" t="str">
        <f>TEXT(FMData[[#This Row],[Show_Date]],"ddd")</f>
        <v>Mon</v>
      </c>
      <c r="F646" t="s">
        <v>11</v>
      </c>
      <c r="G646" t="s">
        <v>17</v>
      </c>
      <c r="H646">
        <v>4</v>
      </c>
      <c r="I646">
        <v>12</v>
      </c>
      <c r="J646" t="s">
        <v>23</v>
      </c>
      <c r="K646" t="s">
        <v>18</v>
      </c>
      <c r="L646">
        <v>48</v>
      </c>
    </row>
    <row r="647" spans="1:12" x14ac:dyDescent="0.3">
      <c r="A647">
        <v>1557</v>
      </c>
      <c r="B647" t="s">
        <v>26</v>
      </c>
      <c r="C647" s="1">
        <v>45844</v>
      </c>
      <c r="D647" s="1" t="str">
        <f>TEXT(FMData[[#This Row],[Show_Date]],"mmm")</f>
        <v>Jul</v>
      </c>
      <c r="E647" s="1" t="str">
        <f>TEXT(FMData[[#This Row],[Show_Date]],"ddd")</f>
        <v>Sun</v>
      </c>
      <c r="F647" t="s">
        <v>33</v>
      </c>
      <c r="G647" t="s">
        <v>17</v>
      </c>
      <c r="H647">
        <v>3</v>
      </c>
      <c r="I647">
        <v>12</v>
      </c>
      <c r="J647" t="s">
        <v>23</v>
      </c>
      <c r="K647" t="s">
        <v>25</v>
      </c>
      <c r="L647">
        <v>36</v>
      </c>
    </row>
    <row r="648" spans="1:12" x14ac:dyDescent="0.3">
      <c r="A648">
        <v>759</v>
      </c>
      <c r="B648" t="s">
        <v>24</v>
      </c>
      <c r="C648" s="1">
        <v>45877</v>
      </c>
      <c r="D648" s="1" t="str">
        <f>TEXT(FMData[[#This Row],[Show_Date]],"mmm")</f>
        <v>Aug</v>
      </c>
      <c r="E648" s="1" t="str">
        <f>TEXT(FMData[[#This Row],[Show_Date]],"ddd")</f>
        <v>Fri</v>
      </c>
      <c r="F648" t="s">
        <v>20</v>
      </c>
      <c r="G648" t="s">
        <v>30</v>
      </c>
      <c r="H648">
        <v>5</v>
      </c>
      <c r="I648">
        <v>8</v>
      </c>
      <c r="J648" t="s">
        <v>23</v>
      </c>
      <c r="K648" t="s">
        <v>14</v>
      </c>
      <c r="L648">
        <v>40</v>
      </c>
    </row>
    <row r="649" spans="1:12" x14ac:dyDescent="0.3">
      <c r="A649">
        <v>1558</v>
      </c>
      <c r="B649" t="s">
        <v>32</v>
      </c>
      <c r="C649" s="1">
        <v>45911</v>
      </c>
      <c r="D649" s="1" t="str">
        <f>TEXT(FMData[[#This Row],[Show_Date]],"mmm")</f>
        <v>Sep</v>
      </c>
      <c r="E649" s="1" t="str">
        <f>TEXT(FMData[[#This Row],[Show_Date]],"ddd")</f>
        <v>Thu</v>
      </c>
      <c r="F649" t="s">
        <v>33</v>
      </c>
      <c r="G649" t="s">
        <v>17</v>
      </c>
      <c r="H649">
        <v>4</v>
      </c>
      <c r="I649">
        <v>12</v>
      </c>
      <c r="J649" t="s">
        <v>23</v>
      </c>
      <c r="K649" t="s">
        <v>14</v>
      </c>
      <c r="L649">
        <v>48</v>
      </c>
    </row>
    <row r="650" spans="1:12" x14ac:dyDescent="0.3">
      <c r="A650">
        <v>1463</v>
      </c>
      <c r="B650" t="s">
        <v>15</v>
      </c>
      <c r="C650" s="1">
        <v>45901</v>
      </c>
      <c r="D650" s="1" t="str">
        <f>TEXT(FMData[[#This Row],[Show_Date]],"mmm")</f>
        <v>Sep</v>
      </c>
      <c r="E650" s="1" t="str">
        <f>TEXT(FMData[[#This Row],[Show_Date]],"ddd")</f>
        <v>Mon</v>
      </c>
      <c r="F650" t="s">
        <v>16</v>
      </c>
      <c r="G650" t="s">
        <v>12</v>
      </c>
      <c r="H650">
        <v>4</v>
      </c>
      <c r="I650">
        <v>25</v>
      </c>
      <c r="J650" t="s">
        <v>21</v>
      </c>
      <c r="K650" t="s">
        <v>18</v>
      </c>
      <c r="L650">
        <v>100</v>
      </c>
    </row>
    <row r="651" spans="1:12" x14ac:dyDescent="0.3">
      <c r="A651">
        <v>1173</v>
      </c>
      <c r="B651" t="s">
        <v>32</v>
      </c>
      <c r="C651" s="1">
        <v>45884</v>
      </c>
      <c r="D651" s="1" t="str">
        <f>TEXT(FMData[[#This Row],[Show_Date]],"mmm")</f>
        <v>Aug</v>
      </c>
      <c r="E651" s="1" t="str">
        <f>TEXT(FMData[[#This Row],[Show_Date]],"ddd")</f>
        <v>Fri</v>
      </c>
      <c r="F651" t="s">
        <v>11</v>
      </c>
      <c r="G651" t="s">
        <v>17</v>
      </c>
      <c r="H651">
        <v>3</v>
      </c>
      <c r="I651">
        <v>12</v>
      </c>
      <c r="J651" t="s">
        <v>23</v>
      </c>
      <c r="K651" t="s">
        <v>14</v>
      </c>
      <c r="L651">
        <v>36</v>
      </c>
    </row>
    <row r="652" spans="1:12" x14ac:dyDescent="0.3">
      <c r="A652">
        <v>199</v>
      </c>
      <c r="B652" t="s">
        <v>15</v>
      </c>
      <c r="C652" s="1">
        <v>45844</v>
      </c>
      <c r="D652" s="1" t="str">
        <f>TEXT(FMData[[#This Row],[Show_Date]],"mmm")</f>
        <v>Jul</v>
      </c>
      <c r="E652" s="1" t="str">
        <f>TEXT(FMData[[#This Row],[Show_Date]],"ddd")</f>
        <v>Sun</v>
      </c>
      <c r="F652" t="s">
        <v>11</v>
      </c>
      <c r="G652" t="s">
        <v>12</v>
      </c>
      <c r="H652">
        <v>4</v>
      </c>
      <c r="I652">
        <v>25</v>
      </c>
      <c r="J652" t="s">
        <v>23</v>
      </c>
      <c r="K652" t="s">
        <v>27</v>
      </c>
      <c r="L652">
        <v>100</v>
      </c>
    </row>
    <row r="653" spans="1:12" x14ac:dyDescent="0.3">
      <c r="A653">
        <v>1196</v>
      </c>
      <c r="B653" t="s">
        <v>15</v>
      </c>
      <c r="C653" s="1">
        <v>45929</v>
      </c>
      <c r="D653" s="1" t="str">
        <f>TEXT(FMData[[#This Row],[Show_Date]],"mmm")</f>
        <v>Sep</v>
      </c>
      <c r="E653" s="1" t="str">
        <f>TEXT(FMData[[#This Row],[Show_Date]],"ddd")</f>
        <v>Mon</v>
      </c>
      <c r="F653" t="s">
        <v>11</v>
      </c>
      <c r="G653" t="s">
        <v>12</v>
      </c>
      <c r="H653">
        <v>2</v>
      </c>
      <c r="I653">
        <v>25</v>
      </c>
      <c r="J653" t="s">
        <v>23</v>
      </c>
      <c r="K653" t="s">
        <v>14</v>
      </c>
      <c r="L653">
        <v>50</v>
      </c>
    </row>
    <row r="654" spans="1:12" x14ac:dyDescent="0.3">
      <c r="A654">
        <v>34</v>
      </c>
      <c r="B654" t="s">
        <v>26</v>
      </c>
      <c r="C654" s="1">
        <v>45909</v>
      </c>
      <c r="D654" s="1" t="str">
        <f>TEXT(FMData[[#This Row],[Show_Date]],"mmm")</f>
        <v>Sep</v>
      </c>
      <c r="E654" s="1" t="str">
        <f>TEXT(FMData[[#This Row],[Show_Date]],"ddd")</f>
        <v>Tue</v>
      </c>
      <c r="F654" t="s">
        <v>11</v>
      </c>
      <c r="G654" t="s">
        <v>29</v>
      </c>
      <c r="H654">
        <v>5</v>
      </c>
      <c r="I654">
        <v>30</v>
      </c>
      <c r="J654" t="s">
        <v>13</v>
      </c>
      <c r="K654" t="s">
        <v>14</v>
      </c>
      <c r="L654">
        <v>150</v>
      </c>
    </row>
    <row r="655" spans="1:12" x14ac:dyDescent="0.3">
      <c r="A655">
        <v>1601</v>
      </c>
      <c r="B655" t="s">
        <v>19</v>
      </c>
      <c r="C655" s="1">
        <v>45867</v>
      </c>
      <c r="D655" s="1" t="str">
        <f>TEXT(FMData[[#This Row],[Show_Date]],"mmm")</f>
        <v>Jul</v>
      </c>
      <c r="E655" s="1" t="str">
        <f>TEXT(FMData[[#This Row],[Show_Date]],"ddd")</f>
        <v>Tue</v>
      </c>
      <c r="F655" t="s">
        <v>11</v>
      </c>
      <c r="G655" t="s">
        <v>17</v>
      </c>
      <c r="H655">
        <v>2</v>
      </c>
      <c r="I655">
        <v>12</v>
      </c>
      <c r="J655" t="s">
        <v>23</v>
      </c>
      <c r="K655" t="s">
        <v>25</v>
      </c>
      <c r="L655">
        <v>24</v>
      </c>
    </row>
    <row r="656" spans="1:12" x14ac:dyDescent="0.3">
      <c r="A656">
        <v>1225</v>
      </c>
      <c r="B656" t="s">
        <v>24</v>
      </c>
      <c r="C656" s="1">
        <v>45906</v>
      </c>
      <c r="D656" s="1" t="str">
        <f>TEXT(FMData[[#This Row],[Show_Date]],"mmm")</f>
        <v>Sep</v>
      </c>
      <c r="E656" s="1" t="str">
        <f>TEXT(FMData[[#This Row],[Show_Date]],"ddd")</f>
        <v>Sat</v>
      </c>
      <c r="F656" t="s">
        <v>11</v>
      </c>
      <c r="G656" t="s">
        <v>17</v>
      </c>
      <c r="H656">
        <v>4</v>
      </c>
      <c r="I656">
        <v>12</v>
      </c>
      <c r="J656" t="s">
        <v>21</v>
      </c>
      <c r="K656" t="s">
        <v>14</v>
      </c>
      <c r="L656">
        <v>48</v>
      </c>
    </row>
    <row r="657" spans="1:12" x14ac:dyDescent="0.3">
      <c r="A657">
        <v>1398</v>
      </c>
      <c r="B657" t="s">
        <v>28</v>
      </c>
      <c r="C657" s="1">
        <v>45850</v>
      </c>
      <c r="D657" s="1" t="str">
        <f>TEXT(FMData[[#This Row],[Show_Date]],"mmm")</f>
        <v>Jul</v>
      </c>
      <c r="E657" s="1" t="str">
        <f>TEXT(FMData[[#This Row],[Show_Date]],"ddd")</f>
        <v>Sat</v>
      </c>
      <c r="F657" t="s">
        <v>11</v>
      </c>
      <c r="G657" t="s">
        <v>22</v>
      </c>
      <c r="H657">
        <v>3</v>
      </c>
      <c r="I657">
        <v>20</v>
      </c>
      <c r="J657" t="s">
        <v>21</v>
      </c>
      <c r="K657" t="s">
        <v>18</v>
      </c>
      <c r="L657">
        <v>60</v>
      </c>
    </row>
    <row r="658" spans="1:12" x14ac:dyDescent="0.3">
      <c r="A658">
        <v>1164</v>
      </c>
      <c r="B658" t="s">
        <v>10</v>
      </c>
      <c r="C658" s="1">
        <v>45927</v>
      </c>
      <c r="D658" s="1" t="str">
        <f>TEXT(FMData[[#This Row],[Show_Date]],"mmm")</f>
        <v>Sep</v>
      </c>
      <c r="E658" s="1" t="str">
        <f>TEXT(FMData[[#This Row],[Show_Date]],"ddd")</f>
        <v>Sat</v>
      </c>
      <c r="F658" t="s">
        <v>11</v>
      </c>
      <c r="G658" t="s">
        <v>12</v>
      </c>
      <c r="H658">
        <v>2</v>
      </c>
      <c r="I658">
        <v>25</v>
      </c>
      <c r="J658" t="s">
        <v>21</v>
      </c>
      <c r="K658" t="s">
        <v>14</v>
      </c>
      <c r="L658">
        <v>50</v>
      </c>
    </row>
    <row r="659" spans="1:12" x14ac:dyDescent="0.3">
      <c r="A659">
        <v>1379</v>
      </c>
      <c r="B659" t="s">
        <v>10</v>
      </c>
      <c r="C659" s="1">
        <v>45858</v>
      </c>
      <c r="D659" s="1" t="str">
        <f>TEXT(FMData[[#This Row],[Show_Date]],"mmm")</f>
        <v>Jul</v>
      </c>
      <c r="E659" s="1" t="str">
        <f>TEXT(FMData[[#This Row],[Show_Date]],"ddd")</f>
        <v>Sun</v>
      </c>
      <c r="F659" t="s">
        <v>11</v>
      </c>
      <c r="G659" t="s">
        <v>17</v>
      </c>
      <c r="H659">
        <v>5</v>
      </c>
      <c r="I659">
        <v>12</v>
      </c>
      <c r="J659" t="s">
        <v>23</v>
      </c>
      <c r="K659" t="s">
        <v>14</v>
      </c>
      <c r="L659">
        <v>60</v>
      </c>
    </row>
    <row r="660" spans="1:12" x14ac:dyDescent="0.3">
      <c r="A660">
        <v>622</v>
      </c>
      <c r="B660" t="s">
        <v>26</v>
      </c>
      <c r="C660" s="1">
        <v>45839</v>
      </c>
      <c r="D660" s="1" t="str">
        <f>TEXT(FMData[[#This Row],[Show_Date]],"mmm")</f>
        <v>Jul</v>
      </c>
      <c r="E660" s="1" t="str">
        <f>TEXT(FMData[[#This Row],[Show_Date]],"ddd")</f>
        <v>Tue</v>
      </c>
      <c r="F660" t="s">
        <v>11</v>
      </c>
      <c r="G660" t="s">
        <v>22</v>
      </c>
      <c r="H660">
        <v>5</v>
      </c>
      <c r="I660">
        <v>20</v>
      </c>
      <c r="J660" t="s">
        <v>23</v>
      </c>
      <c r="K660" t="s">
        <v>25</v>
      </c>
      <c r="L660">
        <v>100</v>
      </c>
    </row>
    <row r="661" spans="1:12" x14ac:dyDescent="0.3">
      <c r="A661">
        <v>985</v>
      </c>
      <c r="B661" t="s">
        <v>19</v>
      </c>
      <c r="C661" s="1">
        <v>45914</v>
      </c>
      <c r="D661" s="1" t="str">
        <f>TEXT(FMData[[#This Row],[Show_Date]],"mmm")</f>
        <v>Sep</v>
      </c>
      <c r="E661" s="1" t="str">
        <f>TEXT(FMData[[#This Row],[Show_Date]],"ddd")</f>
        <v>Sun</v>
      </c>
      <c r="F661" t="s">
        <v>16</v>
      </c>
      <c r="G661" t="s">
        <v>12</v>
      </c>
      <c r="H661">
        <v>1</v>
      </c>
      <c r="I661">
        <v>25</v>
      </c>
      <c r="J661" t="s">
        <v>13</v>
      </c>
      <c r="K661" t="s">
        <v>18</v>
      </c>
      <c r="L661">
        <v>25</v>
      </c>
    </row>
    <row r="662" spans="1:12" x14ac:dyDescent="0.3">
      <c r="A662">
        <v>562</v>
      </c>
      <c r="B662" t="s">
        <v>32</v>
      </c>
      <c r="C662" s="1">
        <v>45890</v>
      </c>
      <c r="D662" s="1" t="str">
        <f>TEXT(FMData[[#This Row],[Show_Date]],"mmm")</f>
        <v>Aug</v>
      </c>
      <c r="E662" s="1" t="str">
        <f>TEXT(FMData[[#This Row],[Show_Date]],"ddd")</f>
        <v>Thu</v>
      </c>
      <c r="F662" t="s">
        <v>16</v>
      </c>
      <c r="G662" t="s">
        <v>30</v>
      </c>
      <c r="H662">
        <v>3</v>
      </c>
      <c r="I662">
        <v>8</v>
      </c>
      <c r="J662" t="s">
        <v>23</v>
      </c>
      <c r="K662" t="s">
        <v>25</v>
      </c>
      <c r="L662">
        <v>24</v>
      </c>
    </row>
    <row r="663" spans="1:12" x14ac:dyDescent="0.3">
      <c r="A663">
        <v>615</v>
      </c>
      <c r="B663" t="s">
        <v>10</v>
      </c>
      <c r="C663" s="1">
        <v>45897</v>
      </c>
      <c r="D663" s="1" t="str">
        <f>TEXT(FMData[[#This Row],[Show_Date]],"mmm")</f>
        <v>Aug</v>
      </c>
      <c r="E663" s="1" t="str">
        <f>TEXT(FMData[[#This Row],[Show_Date]],"ddd")</f>
        <v>Thu</v>
      </c>
      <c r="F663" t="s">
        <v>20</v>
      </c>
      <c r="G663" t="s">
        <v>17</v>
      </c>
      <c r="H663">
        <v>3</v>
      </c>
      <c r="I663">
        <v>12</v>
      </c>
      <c r="J663" t="s">
        <v>13</v>
      </c>
      <c r="K663" t="s">
        <v>14</v>
      </c>
      <c r="L663">
        <v>36</v>
      </c>
    </row>
    <row r="664" spans="1:12" x14ac:dyDescent="0.3">
      <c r="A664">
        <v>789</v>
      </c>
      <c r="B664" t="s">
        <v>19</v>
      </c>
      <c r="C664" s="1">
        <v>45844</v>
      </c>
      <c r="D664" s="1" t="str">
        <f>TEXT(FMData[[#This Row],[Show_Date]],"mmm")</f>
        <v>Jul</v>
      </c>
      <c r="E664" s="1" t="str">
        <f>TEXT(FMData[[#This Row],[Show_Date]],"ddd")</f>
        <v>Sun</v>
      </c>
      <c r="F664" t="s">
        <v>20</v>
      </c>
      <c r="G664" t="s">
        <v>29</v>
      </c>
      <c r="H664">
        <v>2</v>
      </c>
      <c r="I664">
        <v>30</v>
      </c>
      <c r="J664" t="s">
        <v>21</v>
      </c>
      <c r="K664" t="s">
        <v>14</v>
      </c>
      <c r="L664">
        <v>60</v>
      </c>
    </row>
    <row r="665" spans="1:12" x14ac:dyDescent="0.3">
      <c r="A665">
        <v>1176</v>
      </c>
      <c r="B665" t="s">
        <v>28</v>
      </c>
      <c r="C665" s="1">
        <v>45929</v>
      </c>
      <c r="D665" s="1" t="str">
        <f>TEXT(FMData[[#This Row],[Show_Date]],"mmm")</f>
        <v>Sep</v>
      </c>
      <c r="E665" s="1" t="str">
        <f>TEXT(FMData[[#This Row],[Show_Date]],"ddd")</f>
        <v>Mon</v>
      </c>
      <c r="F665" t="s">
        <v>20</v>
      </c>
      <c r="G665" t="s">
        <v>17</v>
      </c>
      <c r="H665">
        <v>2</v>
      </c>
      <c r="I665">
        <v>12</v>
      </c>
      <c r="J665" t="s">
        <v>13</v>
      </c>
      <c r="K665" t="s">
        <v>18</v>
      </c>
      <c r="L665">
        <v>24</v>
      </c>
    </row>
    <row r="666" spans="1:12" x14ac:dyDescent="0.3">
      <c r="A666">
        <v>1233</v>
      </c>
      <c r="B666" t="s">
        <v>15</v>
      </c>
      <c r="C666" s="1">
        <v>45882</v>
      </c>
      <c r="D666" s="1" t="str">
        <f>TEXT(FMData[[#This Row],[Show_Date]],"mmm")</f>
        <v>Aug</v>
      </c>
      <c r="E666" s="1" t="str">
        <f>TEXT(FMData[[#This Row],[Show_Date]],"ddd")</f>
        <v>Wed</v>
      </c>
      <c r="F666" t="s">
        <v>11</v>
      </c>
      <c r="G666" t="s">
        <v>17</v>
      </c>
      <c r="H666">
        <v>4</v>
      </c>
      <c r="I666">
        <v>12</v>
      </c>
      <c r="J666" t="s">
        <v>21</v>
      </c>
      <c r="K666" t="s">
        <v>18</v>
      </c>
      <c r="L666">
        <v>48</v>
      </c>
    </row>
    <row r="667" spans="1:12" x14ac:dyDescent="0.3">
      <c r="A667">
        <v>1249</v>
      </c>
      <c r="B667" t="s">
        <v>26</v>
      </c>
      <c r="C667" s="1">
        <v>45890</v>
      </c>
      <c r="D667" s="1" t="str">
        <f>TEXT(FMData[[#This Row],[Show_Date]],"mmm")</f>
        <v>Aug</v>
      </c>
      <c r="E667" s="1" t="str">
        <f>TEXT(FMData[[#This Row],[Show_Date]],"ddd")</f>
        <v>Thu</v>
      </c>
      <c r="F667" t="s">
        <v>11</v>
      </c>
      <c r="G667" t="s">
        <v>22</v>
      </c>
      <c r="H667">
        <v>5</v>
      </c>
      <c r="I667">
        <v>20</v>
      </c>
      <c r="J667" t="s">
        <v>13</v>
      </c>
      <c r="K667" t="s">
        <v>27</v>
      </c>
      <c r="L667">
        <v>100</v>
      </c>
    </row>
    <row r="668" spans="1:12" x14ac:dyDescent="0.3">
      <c r="A668">
        <v>58</v>
      </c>
      <c r="B668" t="s">
        <v>24</v>
      </c>
      <c r="C668" s="1">
        <v>45928</v>
      </c>
      <c r="D668" s="1" t="str">
        <f>TEXT(FMData[[#This Row],[Show_Date]],"mmm")</f>
        <v>Sep</v>
      </c>
      <c r="E668" s="1" t="str">
        <f>TEXT(FMData[[#This Row],[Show_Date]],"ddd")</f>
        <v>Sun</v>
      </c>
      <c r="F668" t="s">
        <v>11</v>
      </c>
      <c r="G668" t="s">
        <v>17</v>
      </c>
      <c r="H668">
        <v>4</v>
      </c>
      <c r="I668">
        <v>12</v>
      </c>
      <c r="J668" t="s">
        <v>23</v>
      </c>
      <c r="K668" t="s">
        <v>25</v>
      </c>
      <c r="L668">
        <v>48</v>
      </c>
    </row>
    <row r="669" spans="1:12" x14ac:dyDescent="0.3">
      <c r="A669">
        <v>513</v>
      </c>
      <c r="B669" t="s">
        <v>28</v>
      </c>
      <c r="C669" s="1">
        <v>45881</v>
      </c>
      <c r="D669" s="1" t="str">
        <f>TEXT(FMData[[#This Row],[Show_Date]],"mmm")</f>
        <v>Aug</v>
      </c>
      <c r="E669" s="1" t="str">
        <f>TEXT(FMData[[#This Row],[Show_Date]],"ddd")</f>
        <v>Tue</v>
      </c>
      <c r="F669" t="s">
        <v>20</v>
      </c>
      <c r="G669" t="s">
        <v>17</v>
      </c>
      <c r="H669">
        <v>1</v>
      </c>
      <c r="I669">
        <v>12</v>
      </c>
      <c r="J669" t="s">
        <v>13</v>
      </c>
      <c r="K669" t="s">
        <v>18</v>
      </c>
      <c r="L669">
        <v>12</v>
      </c>
    </row>
    <row r="670" spans="1:12" x14ac:dyDescent="0.3">
      <c r="A670">
        <v>1290</v>
      </c>
      <c r="B670" t="s">
        <v>24</v>
      </c>
      <c r="C670" s="1">
        <v>45910</v>
      </c>
      <c r="D670" s="1" t="str">
        <f>TEXT(FMData[[#This Row],[Show_Date]],"mmm")</f>
        <v>Sep</v>
      </c>
      <c r="E670" s="1" t="str">
        <f>TEXT(FMData[[#This Row],[Show_Date]],"ddd")</f>
        <v>Wed</v>
      </c>
      <c r="F670" t="s">
        <v>16</v>
      </c>
      <c r="G670" t="s">
        <v>17</v>
      </c>
      <c r="H670">
        <v>5</v>
      </c>
      <c r="I670">
        <v>12</v>
      </c>
      <c r="J670" t="s">
        <v>23</v>
      </c>
      <c r="K670" t="s">
        <v>25</v>
      </c>
      <c r="L670">
        <v>60</v>
      </c>
    </row>
    <row r="671" spans="1:12" x14ac:dyDescent="0.3">
      <c r="A671">
        <v>1513</v>
      </c>
      <c r="B671" t="s">
        <v>15</v>
      </c>
      <c r="C671" s="1">
        <v>45841</v>
      </c>
      <c r="D671" s="1" t="str">
        <f>TEXT(FMData[[#This Row],[Show_Date]],"mmm")</f>
        <v>Jul</v>
      </c>
      <c r="E671" s="1" t="str">
        <f>TEXT(FMData[[#This Row],[Show_Date]],"ddd")</f>
        <v>Thu</v>
      </c>
      <c r="F671" t="s">
        <v>33</v>
      </c>
      <c r="G671" t="s">
        <v>29</v>
      </c>
      <c r="H671">
        <v>5</v>
      </c>
      <c r="I671">
        <v>30</v>
      </c>
      <c r="J671" t="s">
        <v>23</v>
      </c>
      <c r="K671" t="s">
        <v>25</v>
      </c>
      <c r="L671">
        <v>150</v>
      </c>
    </row>
    <row r="672" spans="1:12" x14ac:dyDescent="0.3">
      <c r="A672">
        <v>1849</v>
      </c>
      <c r="B672" t="s">
        <v>24</v>
      </c>
      <c r="C672" s="1">
        <v>45925</v>
      </c>
      <c r="D672" s="1" t="str">
        <f>TEXT(FMData[[#This Row],[Show_Date]],"mmm")</f>
        <v>Sep</v>
      </c>
      <c r="E672" s="1" t="str">
        <f>TEXT(FMData[[#This Row],[Show_Date]],"ddd")</f>
        <v>Thu</v>
      </c>
      <c r="F672" t="s">
        <v>33</v>
      </c>
      <c r="G672" t="s">
        <v>30</v>
      </c>
      <c r="H672">
        <v>2</v>
      </c>
      <c r="I672">
        <v>8</v>
      </c>
      <c r="J672" t="s">
        <v>21</v>
      </c>
      <c r="K672" t="s">
        <v>27</v>
      </c>
      <c r="L672">
        <v>16</v>
      </c>
    </row>
    <row r="673" spans="1:12" x14ac:dyDescent="0.3">
      <c r="A673">
        <v>729</v>
      </c>
      <c r="B673" t="s">
        <v>15</v>
      </c>
      <c r="C673" s="1">
        <v>45899</v>
      </c>
      <c r="D673" s="1" t="str">
        <f>TEXT(FMData[[#This Row],[Show_Date]],"mmm")</f>
        <v>Aug</v>
      </c>
      <c r="E673" s="1" t="str">
        <f>TEXT(FMData[[#This Row],[Show_Date]],"ddd")</f>
        <v>Sat</v>
      </c>
      <c r="F673" t="s">
        <v>11</v>
      </c>
      <c r="G673" t="s">
        <v>17</v>
      </c>
      <c r="H673">
        <v>5</v>
      </c>
      <c r="I673">
        <v>12</v>
      </c>
      <c r="J673" t="s">
        <v>21</v>
      </c>
      <c r="K673" t="s">
        <v>18</v>
      </c>
      <c r="L673">
        <v>60</v>
      </c>
    </row>
    <row r="674" spans="1:12" x14ac:dyDescent="0.3">
      <c r="A674">
        <v>624</v>
      </c>
      <c r="B674" t="s">
        <v>26</v>
      </c>
      <c r="C674" s="1">
        <v>45911</v>
      </c>
      <c r="D674" s="1" t="str">
        <f>TEXT(FMData[[#This Row],[Show_Date]],"mmm")</f>
        <v>Sep</v>
      </c>
      <c r="E674" s="1" t="str">
        <f>TEXT(FMData[[#This Row],[Show_Date]],"ddd")</f>
        <v>Thu</v>
      </c>
      <c r="F674" t="s">
        <v>16</v>
      </c>
      <c r="G674" t="s">
        <v>29</v>
      </c>
      <c r="H674">
        <v>1</v>
      </c>
      <c r="I674">
        <v>30</v>
      </c>
      <c r="J674" t="s">
        <v>23</v>
      </c>
      <c r="K674" t="s">
        <v>14</v>
      </c>
      <c r="L674">
        <v>30</v>
      </c>
    </row>
    <row r="675" spans="1:12" x14ac:dyDescent="0.3">
      <c r="A675">
        <v>1636</v>
      </c>
      <c r="B675" t="s">
        <v>28</v>
      </c>
      <c r="C675" s="1">
        <v>45921</v>
      </c>
      <c r="D675" s="1" t="str">
        <f>TEXT(FMData[[#This Row],[Show_Date]],"mmm")</f>
        <v>Sep</v>
      </c>
      <c r="E675" s="1" t="str">
        <f>TEXT(FMData[[#This Row],[Show_Date]],"ddd")</f>
        <v>Sun</v>
      </c>
      <c r="F675" t="s">
        <v>16</v>
      </c>
      <c r="G675" t="s">
        <v>17</v>
      </c>
      <c r="H675">
        <v>2</v>
      </c>
      <c r="I675">
        <v>12</v>
      </c>
      <c r="J675" t="s">
        <v>21</v>
      </c>
      <c r="K675" t="s">
        <v>18</v>
      </c>
      <c r="L675">
        <v>24</v>
      </c>
    </row>
    <row r="676" spans="1:12" x14ac:dyDescent="0.3">
      <c r="A676">
        <v>180</v>
      </c>
      <c r="B676" t="s">
        <v>32</v>
      </c>
      <c r="C676" s="1">
        <v>45844</v>
      </c>
      <c r="D676" s="1" t="str">
        <f>TEXT(FMData[[#This Row],[Show_Date]],"mmm")</f>
        <v>Jul</v>
      </c>
      <c r="E676" s="1" t="str">
        <f>TEXT(FMData[[#This Row],[Show_Date]],"ddd")</f>
        <v>Sun</v>
      </c>
      <c r="F676" t="s">
        <v>16</v>
      </c>
      <c r="G676" t="s">
        <v>12</v>
      </c>
      <c r="H676">
        <v>4</v>
      </c>
      <c r="I676">
        <v>25</v>
      </c>
      <c r="J676" t="s">
        <v>13</v>
      </c>
      <c r="K676" t="s">
        <v>18</v>
      </c>
      <c r="L676">
        <v>100</v>
      </c>
    </row>
    <row r="677" spans="1:12" x14ac:dyDescent="0.3">
      <c r="A677">
        <v>1015</v>
      </c>
      <c r="B677" t="s">
        <v>15</v>
      </c>
      <c r="C677" s="1">
        <v>45851</v>
      </c>
      <c r="D677" s="1" t="str">
        <f>TEXT(FMData[[#This Row],[Show_Date]],"mmm")</f>
        <v>Jul</v>
      </c>
      <c r="E677" s="1" t="str">
        <f>TEXT(FMData[[#This Row],[Show_Date]],"ddd")</f>
        <v>Sun</v>
      </c>
      <c r="F677" t="s">
        <v>16</v>
      </c>
      <c r="G677" t="s">
        <v>12</v>
      </c>
      <c r="H677">
        <v>1</v>
      </c>
      <c r="I677">
        <v>25</v>
      </c>
      <c r="J677" t="s">
        <v>13</v>
      </c>
      <c r="K677" t="s">
        <v>14</v>
      </c>
      <c r="L677">
        <v>25</v>
      </c>
    </row>
    <row r="678" spans="1:12" x14ac:dyDescent="0.3">
      <c r="A678">
        <v>1966</v>
      </c>
      <c r="B678" t="s">
        <v>24</v>
      </c>
      <c r="C678" s="1">
        <v>45901</v>
      </c>
      <c r="D678" s="1" t="str">
        <f>TEXT(FMData[[#This Row],[Show_Date]],"mmm")</f>
        <v>Sep</v>
      </c>
      <c r="E678" s="1" t="str">
        <f>TEXT(FMData[[#This Row],[Show_Date]],"ddd")</f>
        <v>Mon</v>
      </c>
      <c r="F678" t="s">
        <v>16</v>
      </c>
      <c r="G678" t="s">
        <v>30</v>
      </c>
      <c r="H678">
        <v>3</v>
      </c>
      <c r="I678">
        <v>8</v>
      </c>
      <c r="J678" t="s">
        <v>21</v>
      </c>
      <c r="K678" t="s">
        <v>25</v>
      </c>
      <c r="L678">
        <v>24</v>
      </c>
    </row>
    <row r="679" spans="1:12" x14ac:dyDescent="0.3">
      <c r="A679">
        <v>160</v>
      </c>
      <c r="B679" t="s">
        <v>31</v>
      </c>
      <c r="C679" s="1">
        <v>45919</v>
      </c>
      <c r="D679" s="1" t="str">
        <f>TEXT(FMData[[#This Row],[Show_Date]],"mmm")</f>
        <v>Sep</v>
      </c>
      <c r="E679" s="1" t="str">
        <f>TEXT(FMData[[#This Row],[Show_Date]],"ddd")</f>
        <v>Fri</v>
      </c>
      <c r="F679" t="s">
        <v>33</v>
      </c>
      <c r="G679" t="s">
        <v>30</v>
      </c>
      <c r="H679">
        <v>5</v>
      </c>
      <c r="I679">
        <v>8</v>
      </c>
      <c r="J679" t="s">
        <v>13</v>
      </c>
      <c r="K679" t="s">
        <v>25</v>
      </c>
      <c r="L679">
        <v>40</v>
      </c>
    </row>
    <row r="680" spans="1:12" x14ac:dyDescent="0.3">
      <c r="A680">
        <v>1658</v>
      </c>
      <c r="B680" t="s">
        <v>32</v>
      </c>
      <c r="C680" s="1">
        <v>45905</v>
      </c>
      <c r="D680" s="1" t="str">
        <f>TEXT(FMData[[#This Row],[Show_Date]],"mmm")</f>
        <v>Sep</v>
      </c>
      <c r="E680" s="1" t="str">
        <f>TEXT(FMData[[#This Row],[Show_Date]],"ddd")</f>
        <v>Fri</v>
      </c>
      <c r="F680" t="s">
        <v>16</v>
      </c>
      <c r="G680" t="s">
        <v>12</v>
      </c>
      <c r="H680">
        <v>3</v>
      </c>
      <c r="I680">
        <v>25</v>
      </c>
      <c r="J680" t="s">
        <v>23</v>
      </c>
      <c r="K680" t="s">
        <v>27</v>
      </c>
      <c r="L680">
        <v>75</v>
      </c>
    </row>
    <row r="681" spans="1:12" x14ac:dyDescent="0.3">
      <c r="A681">
        <v>1642</v>
      </c>
      <c r="B681" t="s">
        <v>24</v>
      </c>
      <c r="C681" s="1">
        <v>45926</v>
      </c>
      <c r="D681" s="1" t="str">
        <f>TEXT(FMData[[#This Row],[Show_Date]],"mmm")</f>
        <v>Sep</v>
      </c>
      <c r="E681" s="1" t="str">
        <f>TEXT(FMData[[#This Row],[Show_Date]],"ddd")</f>
        <v>Fri</v>
      </c>
      <c r="F681" t="s">
        <v>11</v>
      </c>
      <c r="G681" t="s">
        <v>29</v>
      </c>
      <c r="H681">
        <v>3</v>
      </c>
      <c r="I681">
        <v>30</v>
      </c>
      <c r="J681" t="s">
        <v>13</v>
      </c>
      <c r="K681" t="s">
        <v>27</v>
      </c>
      <c r="L681">
        <v>90</v>
      </c>
    </row>
    <row r="682" spans="1:12" x14ac:dyDescent="0.3">
      <c r="A682">
        <v>700</v>
      </c>
      <c r="B682" t="s">
        <v>32</v>
      </c>
      <c r="C682" s="1">
        <v>45853</v>
      </c>
      <c r="D682" s="1" t="str">
        <f>TEXT(FMData[[#This Row],[Show_Date]],"mmm")</f>
        <v>Jul</v>
      </c>
      <c r="E682" s="1" t="str">
        <f>TEXT(FMData[[#This Row],[Show_Date]],"ddd")</f>
        <v>Tue</v>
      </c>
      <c r="F682" t="s">
        <v>20</v>
      </c>
      <c r="G682" t="s">
        <v>30</v>
      </c>
      <c r="H682">
        <v>1</v>
      </c>
      <c r="I682">
        <v>8</v>
      </c>
      <c r="J682" t="s">
        <v>21</v>
      </c>
      <c r="K682" t="s">
        <v>18</v>
      </c>
      <c r="L682">
        <v>8</v>
      </c>
    </row>
    <row r="683" spans="1:12" x14ac:dyDescent="0.3">
      <c r="A683">
        <v>186</v>
      </c>
      <c r="B683" t="s">
        <v>15</v>
      </c>
      <c r="C683" s="1">
        <v>45886</v>
      </c>
      <c r="D683" s="1" t="str">
        <f>TEXT(FMData[[#This Row],[Show_Date]],"mmm")</f>
        <v>Aug</v>
      </c>
      <c r="E683" s="1" t="str">
        <f>TEXT(FMData[[#This Row],[Show_Date]],"ddd")</f>
        <v>Sun</v>
      </c>
      <c r="F683" t="s">
        <v>11</v>
      </c>
      <c r="G683" t="s">
        <v>29</v>
      </c>
      <c r="H683">
        <v>5</v>
      </c>
      <c r="I683">
        <v>30</v>
      </c>
      <c r="J683" t="s">
        <v>21</v>
      </c>
      <c r="K683" t="s">
        <v>14</v>
      </c>
      <c r="L683">
        <v>150</v>
      </c>
    </row>
    <row r="684" spans="1:12" x14ac:dyDescent="0.3">
      <c r="A684">
        <v>1044</v>
      </c>
      <c r="B684" t="s">
        <v>24</v>
      </c>
      <c r="C684" s="1">
        <v>45856</v>
      </c>
      <c r="D684" s="1" t="str">
        <f>TEXT(FMData[[#This Row],[Show_Date]],"mmm")</f>
        <v>Jul</v>
      </c>
      <c r="E684" s="1" t="str">
        <f>TEXT(FMData[[#This Row],[Show_Date]],"ddd")</f>
        <v>Fri</v>
      </c>
      <c r="F684" t="s">
        <v>11</v>
      </c>
      <c r="G684" t="s">
        <v>17</v>
      </c>
      <c r="H684">
        <v>3</v>
      </c>
      <c r="I684">
        <v>12</v>
      </c>
      <c r="J684" t="s">
        <v>21</v>
      </c>
      <c r="K684" t="s">
        <v>25</v>
      </c>
      <c r="L684">
        <v>36</v>
      </c>
    </row>
    <row r="685" spans="1:12" x14ac:dyDescent="0.3">
      <c r="A685">
        <v>1169</v>
      </c>
      <c r="B685" t="s">
        <v>32</v>
      </c>
      <c r="C685" s="1">
        <v>45879</v>
      </c>
      <c r="D685" s="1" t="str">
        <f>TEXT(FMData[[#This Row],[Show_Date]],"mmm")</f>
        <v>Aug</v>
      </c>
      <c r="E685" s="1" t="str">
        <f>TEXT(FMData[[#This Row],[Show_Date]],"ddd")</f>
        <v>Sun</v>
      </c>
      <c r="F685" t="s">
        <v>11</v>
      </c>
      <c r="G685" t="s">
        <v>30</v>
      </c>
      <c r="H685">
        <v>4</v>
      </c>
      <c r="I685">
        <v>8</v>
      </c>
      <c r="J685" t="s">
        <v>23</v>
      </c>
      <c r="K685" t="s">
        <v>25</v>
      </c>
      <c r="L685">
        <v>32</v>
      </c>
    </row>
    <row r="686" spans="1:12" x14ac:dyDescent="0.3">
      <c r="A686">
        <v>618</v>
      </c>
      <c r="B686" t="s">
        <v>19</v>
      </c>
      <c r="C686" s="1">
        <v>45909</v>
      </c>
      <c r="D686" s="1" t="str">
        <f>TEXT(FMData[[#This Row],[Show_Date]],"mmm")</f>
        <v>Sep</v>
      </c>
      <c r="E686" s="1" t="str">
        <f>TEXT(FMData[[#This Row],[Show_Date]],"ddd")</f>
        <v>Tue</v>
      </c>
      <c r="F686" t="s">
        <v>11</v>
      </c>
      <c r="G686" t="s">
        <v>17</v>
      </c>
      <c r="H686">
        <v>5</v>
      </c>
      <c r="I686">
        <v>12</v>
      </c>
      <c r="J686" t="s">
        <v>13</v>
      </c>
      <c r="K686" t="s">
        <v>18</v>
      </c>
      <c r="L686">
        <v>60</v>
      </c>
    </row>
    <row r="687" spans="1:12" x14ac:dyDescent="0.3">
      <c r="A687">
        <v>629</v>
      </c>
      <c r="B687" t="s">
        <v>28</v>
      </c>
      <c r="C687" s="1">
        <v>45886</v>
      </c>
      <c r="D687" s="1" t="str">
        <f>TEXT(FMData[[#This Row],[Show_Date]],"mmm")</f>
        <v>Aug</v>
      </c>
      <c r="E687" s="1" t="str">
        <f>TEXT(FMData[[#This Row],[Show_Date]],"ddd")</f>
        <v>Sun</v>
      </c>
      <c r="F687" t="s">
        <v>20</v>
      </c>
      <c r="G687" t="s">
        <v>17</v>
      </c>
      <c r="H687">
        <v>1</v>
      </c>
      <c r="I687">
        <v>12</v>
      </c>
      <c r="J687" t="s">
        <v>21</v>
      </c>
      <c r="K687" t="s">
        <v>25</v>
      </c>
      <c r="L687">
        <v>12</v>
      </c>
    </row>
    <row r="688" spans="1:12" x14ac:dyDescent="0.3">
      <c r="A688">
        <v>392</v>
      </c>
      <c r="B688" t="s">
        <v>32</v>
      </c>
      <c r="C688" s="1">
        <v>45928</v>
      </c>
      <c r="D688" s="1" t="str">
        <f>TEXT(FMData[[#This Row],[Show_Date]],"mmm")</f>
        <v>Sep</v>
      </c>
      <c r="E688" s="1" t="str">
        <f>TEXT(FMData[[#This Row],[Show_Date]],"ddd")</f>
        <v>Sun</v>
      </c>
      <c r="F688" t="s">
        <v>20</v>
      </c>
      <c r="G688" t="s">
        <v>17</v>
      </c>
      <c r="H688">
        <v>4</v>
      </c>
      <c r="I688">
        <v>12</v>
      </c>
      <c r="J688" t="s">
        <v>13</v>
      </c>
      <c r="K688" t="s">
        <v>14</v>
      </c>
      <c r="L688">
        <v>48</v>
      </c>
    </row>
    <row r="689" spans="1:12" x14ac:dyDescent="0.3">
      <c r="A689">
        <v>1561</v>
      </c>
      <c r="B689" t="s">
        <v>32</v>
      </c>
      <c r="C689" s="1">
        <v>45893</v>
      </c>
      <c r="D689" s="1" t="str">
        <f>TEXT(FMData[[#This Row],[Show_Date]],"mmm")</f>
        <v>Aug</v>
      </c>
      <c r="E689" s="1" t="str">
        <f>TEXT(FMData[[#This Row],[Show_Date]],"ddd")</f>
        <v>Sun</v>
      </c>
      <c r="F689" t="s">
        <v>20</v>
      </c>
      <c r="G689" t="s">
        <v>17</v>
      </c>
      <c r="H689">
        <v>3</v>
      </c>
      <c r="I689">
        <v>12</v>
      </c>
      <c r="J689" t="s">
        <v>13</v>
      </c>
      <c r="K689" t="s">
        <v>18</v>
      </c>
      <c r="L689">
        <v>36</v>
      </c>
    </row>
    <row r="690" spans="1:12" x14ac:dyDescent="0.3">
      <c r="A690">
        <v>861</v>
      </c>
      <c r="B690" t="s">
        <v>31</v>
      </c>
      <c r="C690" s="1">
        <v>45856</v>
      </c>
      <c r="D690" s="1" t="str">
        <f>TEXT(FMData[[#This Row],[Show_Date]],"mmm")</f>
        <v>Jul</v>
      </c>
      <c r="E690" s="1" t="str">
        <f>TEXT(FMData[[#This Row],[Show_Date]],"ddd")</f>
        <v>Fri</v>
      </c>
      <c r="F690" t="s">
        <v>11</v>
      </c>
      <c r="G690" t="s">
        <v>22</v>
      </c>
      <c r="H690">
        <v>1</v>
      </c>
      <c r="I690">
        <v>20</v>
      </c>
      <c r="J690" t="s">
        <v>13</v>
      </c>
      <c r="K690" t="s">
        <v>27</v>
      </c>
      <c r="L690">
        <v>20</v>
      </c>
    </row>
    <row r="691" spans="1:12" x14ac:dyDescent="0.3">
      <c r="A691">
        <v>1221</v>
      </c>
      <c r="B691" t="s">
        <v>10</v>
      </c>
      <c r="C691" s="1">
        <v>45890</v>
      </c>
      <c r="D691" s="1" t="str">
        <f>TEXT(FMData[[#This Row],[Show_Date]],"mmm")</f>
        <v>Aug</v>
      </c>
      <c r="E691" s="1" t="str">
        <f>TEXT(FMData[[#This Row],[Show_Date]],"ddd")</f>
        <v>Thu</v>
      </c>
      <c r="F691" t="s">
        <v>11</v>
      </c>
      <c r="G691" t="s">
        <v>12</v>
      </c>
      <c r="H691">
        <v>2</v>
      </c>
      <c r="I691">
        <v>25</v>
      </c>
      <c r="J691" t="s">
        <v>23</v>
      </c>
      <c r="K691" t="s">
        <v>25</v>
      </c>
      <c r="L691">
        <v>50</v>
      </c>
    </row>
    <row r="692" spans="1:12" x14ac:dyDescent="0.3">
      <c r="A692">
        <v>1576</v>
      </c>
      <c r="B692" t="s">
        <v>10</v>
      </c>
      <c r="C692" s="1">
        <v>45849</v>
      </c>
      <c r="D692" s="1" t="str">
        <f>TEXT(FMData[[#This Row],[Show_Date]],"mmm")</f>
        <v>Jul</v>
      </c>
      <c r="E692" s="1" t="str">
        <f>TEXT(FMData[[#This Row],[Show_Date]],"ddd")</f>
        <v>Fri</v>
      </c>
      <c r="F692" t="s">
        <v>11</v>
      </c>
      <c r="G692" t="s">
        <v>17</v>
      </c>
      <c r="H692">
        <v>5</v>
      </c>
      <c r="I692">
        <v>12</v>
      </c>
      <c r="J692" t="s">
        <v>13</v>
      </c>
      <c r="K692" t="s">
        <v>27</v>
      </c>
      <c r="L692">
        <v>60</v>
      </c>
    </row>
    <row r="693" spans="1:12" x14ac:dyDescent="0.3">
      <c r="A693">
        <v>116</v>
      </c>
      <c r="B693" t="s">
        <v>10</v>
      </c>
      <c r="C693" s="1">
        <v>45885</v>
      </c>
      <c r="D693" s="1" t="str">
        <f>TEXT(FMData[[#This Row],[Show_Date]],"mmm")</f>
        <v>Aug</v>
      </c>
      <c r="E693" s="1" t="str">
        <f>TEXT(FMData[[#This Row],[Show_Date]],"ddd")</f>
        <v>Sat</v>
      </c>
      <c r="F693" t="s">
        <v>11</v>
      </c>
      <c r="G693" t="s">
        <v>17</v>
      </c>
      <c r="H693">
        <v>4</v>
      </c>
      <c r="I693">
        <v>12</v>
      </c>
      <c r="J693" t="s">
        <v>21</v>
      </c>
      <c r="K693" t="s">
        <v>25</v>
      </c>
      <c r="L693">
        <v>48</v>
      </c>
    </row>
    <row r="694" spans="1:12" x14ac:dyDescent="0.3">
      <c r="A694">
        <v>1239</v>
      </c>
      <c r="B694" t="s">
        <v>10</v>
      </c>
      <c r="C694" s="1">
        <v>45892</v>
      </c>
      <c r="D694" s="1" t="str">
        <f>TEXT(FMData[[#This Row],[Show_Date]],"mmm")</f>
        <v>Aug</v>
      </c>
      <c r="E694" s="1" t="str">
        <f>TEXT(FMData[[#This Row],[Show_Date]],"ddd")</f>
        <v>Sat</v>
      </c>
      <c r="F694" t="s">
        <v>11</v>
      </c>
      <c r="G694" t="s">
        <v>12</v>
      </c>
      <c r="H694">
        <v>4</v>
      </c>
      <c r="I694">
        <v>25</v>
      </c>
      <c r="J694" t="s">
        <v>21</v>
      </c>
      <c r="K694" t="s">
        <v>14</v>
      </c>
      <c r="L694">
        <v>100</v>
      </c>
    </row>
    <row r="695" spans="1:12" x14ac:dyDescent="0.3">
      <c r="A695">
        <v>1483</v>
      </c>
      <c r="B695" t="s">
        <v>10</v>
      </c>
      <c r="C695" s="1">
        <v>45895</v>
      </c>
      <c r="D695" s="1" t="str">
        <f>TEXT(FMData[[#This Row],[Show_Date]],"mmm")</f>
        <v>Aug</v>
      </c>
      <c r="E695" s="1" t="str">
        <f>TEXT(FMData[[#This Row],[Show_Date]],"ddd")</f>
        <v>Tue</v>
      </c>
      <c r="F695" t="s">
        <v>11</v>
      </c>
      <c r="G695" t="s">
        <v>17</v>
      </c>
      <c r="H695">
        <v>2</v>
      </c>
      <c r="I695">
        <v>12</v>
      </c>
      <c r="J695" t="s">
        <v>23</v>
      </c>
      <c r="K695" t="s">
        <v>18</v>
      </c>
      <c r="L695">
        <v>24</v>
      </c>
    </row>
    <row r="696" spans="1:12" x14ac:dyDescent="0.3">
      <c r="A696">
        <v>1411</v>
      </c>
      <c r="B696" t="s">
        <v>10</v>
      </c>
      <c r="C696" s="1">
        <v>45926</v>
      </c>
      <c r="D696" s="1" t="str">
        <f>TEXT(FMData[[#This Row],[Show_Date]],"mmm")</f>
        <v>Sep</v>
      </c>
      <c r="E696" s="1" t="str">
        <f>TEXT(FMData[[#This Row],[Show_Date]],"ddd")</f>
        <v>Fri</v>
      </c>
      <c r="F696" t="s">
        <v>16</v>
      </c>
      <c r="G696" t="s">
        <v>17</v>
      </c>
      <c r="H696">
        <v>3</v>
      </c>
      <c r="I696">
        <v>12</v>
      </c>
      <c r="J696" t="s">
        <v>23</v>
      </c>
      <c r="K696" t="s">
        <v>14</v>
      </c>
      <c r="L696">
        <v>36</v>
      </c>
    </row>
    <row r="697" spans="1:12" x14ac:dyDescent="0.3">
      <c r="A697">
        <v>270</v>
      </c>
      <c r="B697" t="s">
        <v>10</v>
      </c>
      <c r="C697" s="1">
        <v>45881</v>
      </c>
      <c r="D697" s="1" t="str">
        <f>TEXT(FMData[[#This Row],[Show_Date]],"mmm")</f>
        <v>Aug</v>
      </c>
      <c r="E697" s="1" t="str">
        <f>TEXT(FMData[[#This Row],[Show_Date]],"ddd")</f>
        <v>Tue</v>
      </c>
      <c r="F697" t="s">
        <v>16</v>
      </c>
      <c r="G697" t="s">
        <v>12</v>
      </c>
      <c r="H697">
        <v>3</v>
      </c>
      <c r="I697">
        <v>25</v>
      </c>
      <c r="J697" t="s">
        <v>23</v>
      </c>
      <c r="K697" t="s">
        <v>27</v>
      </c>
      <c r="L697">
        <v>75</v>
      </c>
    </row>
    <row r="698" spans="1:12" x14ac:dyDescent="0.3">
      <c r="A698">
        <v>1145</v>
      </c>
      <c r="B698" t="s">
        <v>10</v>
      </c>
      <c r="C698" s="1">
        <v>45865</v>
      </c>
      <c r="D698" s="1" t="str">
        <f>TEXT(FMData[[#This Row],[Show_Date]],"mmm")</f>
        <v>Jul</v>
      </c>
      <c r="E698" s="1" t="str">
        <f>TEXT(FMData[[#This Row],[Show_Date]],"ddd")</f>
        <v>Sun</v>
      </c>
      <c r="F698" t="s">
        <v>11</v>
      </c>
      <c r="G698" t="s">
        <v>17</v>
      </c>
      <c r="H698">
        <v>3</v>
      </c>
      <c r="I698">
        <v>12</v>
      </c>
      <c r="J698" t="s">
        <v>13</v>
      </c>
      <c r="K698" t="s">
        <v>14</v>
      </c>
      <c r="L698">
        <v>36</v>
      </c>
    </row>
    <row r="699" spans="1:12" x14ac:dyDescent="0.3">
      <c r="A699">
        <v>946</v>
      </c>
      <c r="B699" t="s">
        <v>10</v>
      </c>
      <c r="C699" s="1">
        <v>45880</v>
      </c>
      <c r="D699" s="1" t="str">
        <f>TEXT(FMData[[#This Row],[Show_Date]],"mmm")</f>
        <v>Aug</v>
      </c>
      <c r="E699" s="1" t="str">
        <f>TEXT(FMData[[#This Row],[Show_Date]],"ddd")</f>
        <v>Mon</v>
      </c>
      <c r="F699" t="s">
        <v>20</v>
      </c>
      <c r="G699" t="s">
        <v>17</v>
      </c>
      <c r="H699">
        <v>3</v>
      </c>
      <c r="I699">
        <v>12</v>
      </c>
      <c r="J699" t="s">
        <v>21</v>
      </c>
      <c r="K699" t="s">
        <v>25</v>
      </c>
      <c r="L699">
        <v>36</v>
      </c>
    </row>
    <row r="700" spans="1:12" x14ac:dyDescent="0.3">
      <c r="A700">
        <v>585</v>
      </c>
      <c r="B700" t="s">
        <v>10</v>
      </c>
      <c r="C700" s="1">
        <v>45900</v>
      </c>
      <c r="D700" s="1" t="str">
        <f>TEXT(FMData[[#This Row],[Show_Date]],"mmm")</f>
        <v>Aug</v>
      </c>
      <c r="E700" s="1" t="str">
        <f>TEXT(FMData[[#This Row],[Show_Date]],"ddd")</f>
        <v>Sun</v>
      </c>
      <c r="F700" t="s">
        <v>11</v>
      </c>
      <c r="G700" t="s">
        <v>12</v>
      </c>
      <c r="H700">
        <v>4</v>
      </c>
      <c r="I700">
        <v>25</v>
      </c>
      <c r="J700" t="s">
        <v>21</v>
      </c>
      <c r="K700" t="s">
        <v>25</v>
      </c>
      <c r="L700">
        <v>100</v>
      </c>
    </row>
    <row r="701" spans="1:12" x14ac:dyDescent="0.3">
      <c r="A701">
        <v>261</v>
      </c>
      <c r="B701" t="s">
        <v>24</v>
      </c>
      <c r="C701" s="1">
        <v>45852</v>
      </c>
      <c r="D701" s="1" t="str">
        <f>TEXT(FMData[[#This Row],[Show_Date]],"mmm")</f>
        <v>Jul</v>
      </c>
      <c r="E701" s="1" t="str">
        <f>TEXT(FMData[[#This Row],[Show_Date]],"ddd")</f>
        <v>Mon</v>
      </c>
      <c r="F701" t="s">
        <v>33</v>
      </c>
      <c r="G701" t="s">
        <v>30</v>
      </c>
      <c r="H701">
        <v>2</v>
      </c>
      <c r="I701">
        <v>8</v>
      </c>
      <c r="J701" t="s">
        <v>13</v>
      </c>
      <c r="K701" t="s">
        <v>18</v>
      </c>
      <c r="L701">
        <v>16</v>
      </c>
    </row>
    <row r="702" spans="1:12" x14ac:dyDescent="0.3">
      <c r="A702">
        <v>144</v>
      </c>
      <c r="B702" t="s">
        <v>19</v>
      </c>
      <c r="C702" s="1">
        <v>45880</v>
      </c>
      <c r="D702" s="1" t="str">
        <f>TEXT(FMData[[#This Row],[Show_Date]],"mmm")</f>
        <v>Aug</v>
      </c>
      <c r="E702" s="1" t="str">
        <f>TEXT(FMData[[#This Row],[Show_Date]],"ddd")</f>
        <v>Mon</v>
      </c>
      <c r="F702" t="s">
        <v>33</v>
      </c>
      <c r="G702" t="s">
        <v>17</v>
      </c>
      <c r="H702">
        <v>5</v>
      </c>
      <c r="I702">
        <v>12</v>
      </c>
      <c r="J702" t="s">
        <v>21</v>
      </c>
      <c r="K702" t="s">
        <v>14</v>
      </c>
      <c r="L702">
        <v>60</v>
      </c>
    </row>
    <row r="703" spans="1:12" x14ac:dyDescent="0.3">
      <c r="A703">
        <v>6</v>
      </c>
      <c r="B703" t="s">
        <v>19</v>
      </c>
      <c r="C703" s="1">
        <v>45862</v>
      </c>
      <c r="D703" s="1" t="str">
        <f>TEXT(FMData[[#This Row],[Show_Date]],"mmm")</f>
        <v>Jul</v>
      </c>
      <c r="E703" s="1" t="str">
        <f>TEXT(FMData[[#This Row],[Show_Date]],"ddd")</f>
        <v>Thu</v>
      </c>
      <c r="F703" t="s">
        <v>11</v>
      </c>
      <c r="G703" t="s">
        <v>30</v>
      </c>
      <c r="H703">
        <v>5</v>
      </c>
      <c r="I703">
        <v>8</v>
      </c>
      <c r="J703" t="s">
        <v>23</v>
      </c>
      <c r="K703" t="s">
        <v>25</v>
      </c>
      <c r="L703">
        <v>40</v>
      </c>
    </row>
    <row r="704" spans="1:12" x14ac:dyDescent="0.3">
      <c r="A704">
        <v>1243</v>
      </c>
      <c r="B704" t="s">
        <v>28</v>
      </c>
      <c r="C704" s="1">
        <v>45897</v>
      </c>
      <c r="D704" s="1" t="str">
        <f>TEXT(FMData[[#This Row],[Show_Date]],"mmm")</f>
        <v>Aug</v>
      </c>
      <c r="E704" s="1" t="str">
        <f>TEXT(FMData[[#This Row],[Show_Date]],"ddd")</f>
        <v>Thu</v>
      </c>
      <c r="F704" t="s">
        <v>16</v>
      </c>
      <c r="G704" t="s">
        <v>12</v>
      </c>
      <c r="H704">
        <v>3</v>
      </c>
      <c r="I704">
        <v>25</v>
      </c>
      <c r="J704" t="s">
        <v>21</v>
      </c>
      <c r="K704" t="s">
        <v>18</v>
      </c>
      <c r="L704">
        <v>75</v>
      </c>
    </row>
    <row r="705" spans="1:12" x14ac:dyDescent="0.3">
      <c r="A705">
        <v>1802</v>
      </c>
      <c r="B705" t="s">
        <v>15</v>
      </c>
      <c r="C705" s="1">
        <v>45891</v>
      </c>
      <c r="D705" s="1" t="str">
        <f>TEXT(FMData[[#This Row],[Show_Date]],"mmm")</f>
        <v>Aug</v>
      </c>
      <c r="E705" s="1" t="str">
        <f>TEXT(FMData[[#This Row],[Show_Date]],"ddd")</f>
        <v>Fri</v>
      </c>
      <c r="F705" t="s">
        <v>16</v>
      </c>
      <c r="G705" t="s">
        <v>29</v>
      </c>
      <c r="H705">
        <v>4</v>
      </c>
      <c r="I705">
        <v>30</v>
      </c>
      <c r="J705" t="s">
        <v>13</v>
      </c>
      <c r="K705" t="s">
        <v>27</v>
      </c>
      <c r="L705">
        <v>120</v>
      </c>
    </row>
    <row r="706" spans="1:12" x14ac:dyDescent="0.3">
      <c r="A706">
        <v>1247</v>
      </c>
      <c r="B706" t="s">
        <v>10</v>
      </c>
      <c r="C706" s="1">
        <v>45892</v>
      </c>
      <c r="D706" s="1" t="str">
        <f>TEXT(FMData[[#This Row],[Show_Date]],"mmm")</f>
        <v>Aug</v>
      </c>
      <c r="E706" s="1" t="str">
        <f>TEXT(FMData[[#This Row],[Show_Date]],"ddd")</f>
        <v>Sat</v>
      </c>
      <c r="F706" t="s">
        <v>16</v>
      </c>
      <c r="G706" t="s">
        <v>12</v>
      </c>
      <c r="H706">
        <v>4</v>
      </c>
      <c r="I706">
        <v>25</v>
      </c>
      <c r="J706" t="s">
        <v>13</v>
      </c>
      <c r="K706" t="s">
        <v>18</v>
      </c>
      <c r="L706">
        <v>100</v>
      </c>
    </row>
    <row r="707" spans="1:12" x14ac:dyDescent="0.3">
      <c r="A707">
        <v>1434</v>
      </c>
      <c r="B707" t="s">
        <v>31</v>
      </c>
      <c r="C707" s="1">
        <v>45880</v>
      </c>
      <c r="D707" s="1" t="str">
        <f>TEXT(FMData[[#This Row],[Show_Date]],"mmm")</f>
        <v>Aug</v>
      </c>
      <c r="E707" s="1" t="str">
        <f>TEXT(FMData[[#This Row],[Show_Date]],"ddd")</f>
        <v>Mon</v>
      </c>
      <c r="F707" t="s">
        <v>11</v>
      </c>
      <c r="G707" t="s">
        <v>17</v>
      </c>
      <c r="H707">
        <v>5</v>
      </c>
      <c r="I707">
        <v>12</v>
      </c>
      <c r="J707" t="s">
        <v>13</v>
      </c>
      <c r="K707" t="s">
        <v>14</v>
      </c>
      <c r="L707">
        <v>60</v>
      </c>
    </row>
    <row r="708" spans="1:12" x14ac:dyDescent="0.3">
      <c r="A708">
        <v>1291</v>
      </c>
      <c r="B708" t="s">
        <v>24</v>
      </c>
      <c r="C708" s="1">
        <v>45929</v>
      </c>
      <c r="D708" s="1" t="str">
        <f>TEXT(FMData[[#This Row],[Show_Date]],"mmm")</f>
        <v>Sep</v>
      </c>
      <c r="E708" s="1" t="str">
        <f>TEXT(FMData[[#This Row],[Show_Date]],"ddd")</f>
        <v>Mon</v>
      </c>
      <c r="F708" t="s">
        <v>11</v>
      </c>
      <c r="G708" t="s">
        <v>17</v>
      </c>
      <c r="H708">
        <v>1</v>
      </c>
      <c r="I708">
        <v>12</v>
      </c>
      <c r="J708" t="s">
        <v>21</v>
      </c>
      <c r="K708" t="s">
        <v>18</v>
      </c>
      <c r="L708">
        <v>12</v>
      </c>
    </row>
    <row r="709" spans="1:12" x14ac:dyDescent="0.3">
      <c r="A709">
        <v>487</v>
      </c>
      <c r="B709" t="s">
        <v>32</v>
      </c>
      <c r="C709" s="1">
        <v>45865</v>
      </c>
      <c r="D709" s="1" t="str">
        <f>TEXT(FMData[[#This Row],[Show_Date]],"mmm")</f>
        <v>Jul</v>
      </c>
      <c r="E709" s="1" t="str">
        <f>TEXT(FMData[[#This Row],[Show_Date]],"ddd")</f>
        <v>Sun</v>
      </c>
      <c r="F709" t="s">
        <v>20</v>
      </c>
      <c r="G709" t="s">
        <v>17</v>
      </c>
      <c r="H709">
        <v>5</v>
      </c>
      <c r="I709">
        <v>12</v>
      </c>
      <c r="J709" t="s">
        <v>23</v>
      </c>
      <c r="K709" t="s">
        <v>18</v>
      </c>
      <c r="L709">
        <v>60</v>
      </c>
    </row>
    <row r="710" spans="1:12" x14ac:dyDescent="0.3">
      <c r="A710">
        <v>1796</v>
      </c>
      <c r="B710" t="s">
        <v>26</v>
      </c>
      <c r="C710" s="1">
        <v>45854</v>
      </c>
      <c r="D710" s="1" t="str">
        <f>TEXT(FMData[[#This Row],[Show_Date]],"mmm")</f>
        <v>Jul</v>
      </c>
      <c r="E710" s="1" t="str">
        <f>TEXT(FMData[[#This Row],[Show_Date]],"ddd")</f>
        <v>Wed</v>
      </c>
      <c r="F710" t="s">
        <v>20</v>
      </c>
      <c r="G710" t="s">
        <v>30</v>
      </c>
      <c r="H710">
        <v>2</v>
      </c>
      <c r="I710">
        <v>8</v>
      </c>
      <c r="J710" t="s">
        <v>23</v>
      </c>
      <c r="K710" t="s">
        <v>18</v>
      </c>
      <c r="L710">
        <v>16</v>
      </c>
    </row>
    <row r="711" spans="1:12" x14ac:dyDescent="0.3">
      <c r="A711">
        <v>1865</v>
      </c>
      <c r="B711" t="s">
        <v>31</v>
      </c>
      <c r="C711" s="1">
        <v>45851</v>
      </c>
      <c r="D711" s="1" t="str">
        <f>TEXT(FMData[[#This Row],[Show_Date]],"mmm")</f>
        <v>Jul</v>
      </c>
      <c r="E711" s="1" t="str">
        <f>TEXT(FMData[[#This Row],[Show_Date]],"ddd")</f>
        <v>Sun</v>
      </c>
      <c r="F711" t="s">
        <v>16</v>
      </c>
      <c r="G711" t="s">
        <v>17</v>
      </c>
      <c r="H711">
        <v>5</v>
      </c>
      <c r="I711">
        <v>12</v>
      </c>
      <c r="J711" t="s">
        <v>21</v>
      </c>
      <c r="K711" t="s">
        <v>27</v>
      </c>
      <c r="L711">
        <v>60</v>
      </c>
    </row>
    <row r="712" spans="1:12" x14ac:dyDescent="0.3">
      <c r="A712">
        <v>962</v>
      </c>
      <c r="B712" t="s">
        <v>24</v>
      </c>
      <c r="C712" s="1">
        <v>45868</v>
      </c>
      <c r="D712" s="1" t="str">
        <f>TEXT(FMData[[#This Row],[Show_Date]],"mmm")</f>
        <v>Jul</v>
      </c>
      <c r="E712" s="1" t="str">
        <f>TEXT(FMData[[#This Row],[Show_Date]],"ddd")</f>
        <v>Wed</v>
      </c>
      <c r="F712" t="s">
        <v>33</v>
      </c>
      <c r="G712" t="s">
        <v>17</v>
      </c>
      <c r="H712">
        <v>2</v>
      </c>
      <c r="I712">
        <v>12</v>
      </c>
      <c r="J712" t="s">
        <v>21</v>
      </c>
      <c r="K712" t="s">
        <v>14</v>
      </c>
      <c r="L712">
        <v>24</v>
      </c>
    </row>
    <row r="713" spans="1:12" x14ac:dyDescent="0.3">
      <c r="A713">
        <v>558</v>
      </c>
      <c r="B713" t="s">
        <v>10</v>
      </c>
      <c r="C713" s="1">
        <v>45879</v>
      </c>
      <c r="D713" s="1" t="str">
        <f>TEXT(FMData[[#This Row],[Show_Date]],"mmm")</f>
        <v>Aug</v>
      </c>
      <c r="E713" s="1" t="str">
        <f>TEXT(FMData[[#This Row],[Show_Date]],"ddd")</f>
        <v>Sun</v>
      </c>
      <c r="F713" t="s">
        <v>11</v>
      </c>
      <c r="G713" t="s">
        <v>17</v>
      </c>
      <c r="H713">
        <v>5</v>
      </c>
      <c r="I713">
        <v>12</v>
      </c>
      <c r="J713" t="s">
        <v>23</v>
      </c>
      <c r="K713" t="s">
        <v>18</v>
      </c>
      <c r="L713">
        <v>60</v>
      </c>
    </row>
    <row r="714" spans="1:12" x14ac:dyDescent="0.3">
      <c r="A714">
        <v>1624</v>
      </c>
      <c r="B714" t="s">
        <v>31</v>
      </c>
      <c r="C714" s="1">
        <v>45900</v>
      </c>
      <c r="D714" s="1" t="str">
        <f>TEXT(FMData[[#This Row],[Show_Date]],"mmm")</f>
        <v>Aug</v>
      </c>
      <c r="E714" s="1" t="str">
        <f>TEXT(FMData[[#This Row],[Show_Date]],"ddd")</f>
        <v>Sun</v>
      </c>
      <c r="F714" t="s">
        <v>11</v>
      </c>
      <c r="G714" t="s">
        <v>22</v>
      </c>
      <c r="H714">
        <v>5</v>
      </c>
      <c r="I714">
        <v>20</v>
      </c>
      <c r="J714" t="s">
        <v>21</v>
      </c>
      <c r="K714" t="s">
        <v>18</v>
      </c>
      <c r="L714">
        <v>100</v>
      </c>
    </row>
    <row r="715" spans="1:12" x14ac:dyDescent="0.3">
      <c r="A715">
        <v>1198</v>
      </c>
      <c r="B715" t="s">
        <v>32</v>
      </c>
      <c r="C715" s="1">
        <v>45907</v>
      </c>
      <c r="D715" s="1" t="str">
        <f>TEXT(FMData[[#This Row],[Show_Date]],"mmm")</f>
        <v>Sep</v>
      </c>
      <c r="E715" s="1" t="str">
        <f>TEXT(FMData[[#This Row],[Show_Date]],"ddd")</f>
        <v>Sun</v>
      </c>
      <c r="F715" t="s">
        <v>11</v>
      </c>
      <c r="G715" t="s">
        <v>22</v>
      </c>
      <c r="H715">
        <v>5</v>
      </c>
      <c r="I715">
        <v>20</v>
      </c>
      <c r="J715" t="s">
        <v>13</v>
      </c>
      <c r="K715" t="s">
        <v>18</v>
      </c>
      <c r="L715">
        <v>100</v>
      </c>
    </row>
    <row r="716" spans="1:12" x14ac:dyDescent="0.3">
      <c r="A716">
        <v>677</v>
      </c>
      <c r="B716" t="s">
        <v>31</v>
      </c>
      <c r="C716" s="1">
        <v>45890</v>
      </c>
      <c r="D716" s="1" t="str">
        <f>TEXT(FMData[[#This Row],[Show_Date]],"mmm")</f>
        <v>Aug</v>
      </c>
      <c r="E716" s="1" t="str">
        <f>TEXT(FMData[[#This Row],[Show_Date]],"ddd")</f>
        <v>Thu</v>
      </c>
      <c r="F716" t="s">
        <v>11</v>
      </c>
      <c r="G716" t="s">
        <v>17</v>
      </c>
      <c r="H716">
        <v>2</v>
      </c>
      <c r="I716">
        <v>12</v>
      </c>
      <c r="J716" t="s">
        <v>23</v>
      </c>
      <c r="K716" t="s">
        <v>27</v>
      </c>
      <c r="L716">
        <v>24</v>
      </c>
    </row>
    <row r="717" spans="1:12" x14ac:dyDescent="0.3">
      <c r="A717">
        <v>1339</v>
      </c>
      <c r="B717" t="s">
        <v>10</v>
      </c>
      <c r="C717" s="1">
        <v>45868</v>
      </c>
      <c r="D717" s="1" t="str">
        <f>TEXT(FMData[[#This Row],[Show_Date]],"mmm")</f>
        <v>Jul</v>
      </c>
      <c r="E717" s="1" t="str">
        <f>TEXT(FMData[[#This Row],[Show_Date]],"ddd")</f>
        <v>Wed</v>
      </c>
      <c r="F717" t="s">
        <v>11</v>
      </c>
      <c r="G717" t="s">
        <v>12</v>
      </c>
      <c r="H717">
        <v>2</v>
      </c>
      <c r="I717">
        <v>25</v>
      </c>
      <c r="J717" t="s">
        <v>21</v>
      </c>
      <c r="K717" t="s">
        <v>27</v>
      </c>
      <c r="L717">
        <v>50</v>
      </c>
    </row>
    <row r="718" spans="1:12" x14ac:dyDescent="0.3">
      <c r="A718">
        <v>405</v>
      </c>
      <c r="B718" t="s">
        <v>19</v>
      </c>
      <c r="C718" s="1">
        <v>45886</v>
      </c>
      <c r="D718" s="1" t="str">
        <f>TEXT(FMData[[#This Row],[Show_Date]],"mmm")</f>
        <v>Aug</v>
      </c>
      <c r="E718" s="1" t="str">
        <f>TEXT(FMData[[#This Row],[Show_Date]],"ddd")</f>
        <v>Sun</v>
      </c>
      <c r="F718" t="s">
        <v>11</v>
      </c>
      <c r="G718" t="s">
        <v>30</v>
      </c>
      <c r="H718">
        <v>3</v>
      </c>
      <c r="I718">
        <v>8</v>
      </c>
      <c r="J718" t="s">
        <v>13</v>
      </c>
      <c r="K718" t="s">
        <v>18</v>
      </c>
      <c r="L718">
        <v>24</v>
      </c>
    </row>
    <row r="719" spans="1:12" x14ac:dyDescent="0.3">
      <c r="A719">
        <v>1362</v>
      </c>
      <c r="B719" t="s">
        <v>10</v>
      </c>
      <c r="C719" s="1">
        <v>45911</v>
      </c>
      <c r="D719" s="1" t="str">
        <f>TEXT(FMData[[#This Row],[Show_Date]],"mmm")</f>
        <v>Sep</v>
      </c>
      <c r="E719" s="1" t="str">
        <f>TEXT(FMData[[#This Row],[Show_Date]],"ddd")</f>
        <v>Thu</v>
      </c>
      <c r="F719" t="s">
        <v>11</v>
      </c>
      <c r="G719" t="s">
        <v>17</v>
      </c>
      <c r="H719">
        <v>4</v>
      </c>
      <c r="I719">
        <v>12</v>
      </c>
      <c r="J719" t="s">
        <v>23</v>
      </c>
      <c r="K719" t="s">
        <v>18</v>
      </c>
      <c r="L719">
        <v>48</v>
      </c>
    </row>
    <row r="720" spans="1:12" x14ac:dyDescent="0.3">
      <c r="A720">
        <v>1295</v>
      </c>
      <c r="B720" t="s">
        <v>31</v>
      </c>
      <c r="C720" s="1">
        <v>45889</v>
      </c>
      <c r="D720" s="1" t="str">
        <f>TEXT(FMData[[#This Row],[Show_Date]],"mmm")</f>
        <v>Aug</v>
      </c>
      <c r="E720" s="1" t="str">
        <f>TEXT(FMData[[#This Row],[Show_Date]],"ddd")</f>
        <v>Wed</v>
      </c>
      <c r="F720" t="s">
        <v>11</v>
      </c>
      <c r="G720" t="s">
        <v>29</v>
      </c>
      <c r="H720">
        <v>3</v>
      </c>
      <c r="I720">
        <v>30</v>
      </c>
      <c r="J720" t="s">
        <v>23</v>
      </c>
      <c r="K720" t="s">
        <v>18</v>
      </c>
      <c r="L720">
        <v>90</v>
      </c>
    </row>
    <row r="721" spans="1:12" x14ac:dyDescent="0.3">
      <c r="A721">
        <v>1416</v>
      </c>
      <c r="B721" t="s">
        <v>31</v>
      </c>
      <c r="C721" s="1">
        <v>45874</v>
      </c>
      <c r="D721" s="1" t="str">
        <f>TEXT(FMData[[#This Row],[Show_Date]],"mmm")</f>
        <v>Aug</v>
      </c>
      <c r="E721" s="1" t="str">
        <f>TEXT(FMData[[#This Row],[Show_Date]],"ddd")</f>
        <v>Tue</v>
      </c>
      <c r="F721" t="s">
        <v>11</v>
      </c>
      <c r="G721" t="s">
        <v>12</v>
      </c>
      <c r="H721">
        <v>4</v>
      </c>
      <c r="I721">
        <v>25</v>
      </c>
      <c r="J721" t="s">
        <v>21</v>
      </c>
      <c r="K721" t="s">
        <v>18</v>
      </c>
      <c r="L721">
        <v>100</v>
      </c>
    </row>
    <row r="722" spans="1:12" x14ac:dyDescent="0.3">
      <c r="A722">
        <v>806</v>
      </c>
      <c r="B722" t="s">
        <v>31</v>
      </c>
      <c r="C722" s="1">
        <v>45879</v>
      </c>
      <c r="D722" s="1" t="str">
        <f>TEXT(FMData[[#This Row],[Show_Date]],"mmm")</f>
        <v>Aug</v>
      </c>
      <c r="E722" s="1" t="str">
        <f>TEXT(FMData[[#This Row],[Show_Date]],"ddd")</f>
        <v>Sun</v>
      </c>
      <c r="F722" t="s">
        <v>11</v>
      </c>
      <c r="G722" t="s">
        <v>29</v>
      </c>
      <c r="H722">
        <v>4</v>
      </c>
      <c r="I722">
        <v>30</v>
      </c>
      <c r="J722" t="s">
        <v>21</v>
      </c>
      <c r="K722" t="s">
        <v>27</v>
      </c>
      <c r="L722">
        <v>120</v>
      </c>
    </row>
    <row r="723" spans="1:12" x14ac:dyDescent="0.3">
      <c r="A723">
        <v>1801</v>
      </c>
      <c r="B723" t="s">
        <v>31</v>
      </c>
      <c r="C723" s="1">
        <v>45886</v>
      </c>
      <c r="D723" s="1" t="str">
        <f>TEXT(FMData[[#This Row],[Show_Date]],"mmm")</f>
        <v>Aug</v>
      </c>
      <c r="E723" s="1" t="str">
        <f>TEXT(FMData[[#This Row],[Show_Date]],"ddd")</f>
        <v>Sun</v>
      </c>
      <c r="F723" t="s">
        <v>11</v>
      </c>
      <c r="G723" t="s">
        <v>17</v>
      </c>
      <c r="H723">
        <v>2</v>
      </c>
      <c r="I723">
        <v>12</v>
      </c>
      <c r="J723" t="s">
        <v>21</v>
      </c>
      <c r="K723" t="s">
        <v>25</v>
      </c>
      <c r="L723">
        <v>24</v>
      </c>
    </row>
    <row r="724" spans="1:12" x14ac:dyDescent="0.3">
      <c r="A724">
        <v>1081</v>
      </c>
      <c r="B724" t="s">
        <v>32</v>
      </c>
      <c r="C724" s="1">
        <v>45925</v>
      </c>
      <c r="D724" s="1" t="str">
        <f>TEXT(FMData[[#This Row],[Show_Date]],"mmm")</f>
        <v>Sep</v>
      </c>
      <c r="E724" s="1" t="str">
        <f>TEXT(FMData[[#This Row],[Show_Date]],"ddd")</f>
        <v>Thu</v>
      </c>
      <c r="F724" t="s">
        <v>11</v>
      </c>
      <c r="G724" t="s">
        <v>30</v>
      </c>
      <c r="H724">
        <v>2</v>
      </c>
      <c r="I724">
        <v>8</v>
      </c>
      <c r="J724" t="s">
        <v>21</v>
      </c>
      <c r="K724" t="s">
        <v>25</v>
      </c>
      <c r="L724">
        <v>16</v>
      </c>
    </row>
    <row r="725" spans="1:12" x14ac:dyDescent="0.3">
      <c r="A725">
        <v>222</v>
      </c>
      <c r="B725" t="s">
        <v>32</v>
      </c>
      <c r="C725" s="1">
        <v>45923</v>
      </c>
      <c r="D725" s="1" t="str">
        <f>TEXT(FMData[[#This Row],[Show_Date]],"mmm")</f>
        <v>Sep</v>
      </c>
      <c r="E725" s="1" t="str">
        <f>TEXT(FMData[[#This Row],[Show_Date]],"ddd")</f>
        <v>Tue</v>
      </c>
      <c r="F725" t="s">
        <v>11</v>
      </c>
      <c r="G725" t="s">
        <v>12</v>
      </c>
      <c r="H725">
        <v>2</v>
      </c>
      <c r="I725">
        <v>25</v>
      </c>
      <c r="J725" t="s">
        <v>21</v>
      </c>
      <c r="K725" t="s">
        <v>14</v>
      </c>
      <c r="L725">
        <v>50</v>
      </c>
    </row>
    <row r="726" spans="1:12" x14ac:dyDescent="0.3">
      <c r="A726">
        <v>1310</v>
      </c>
      <c r="B726" t="s">
        <v>31</v>
      </c>
      <c r="C726" s="1">
        <v>45914</v>
      </c>
      <c r="D726" s="1" t="str">
        <f>TEXT(FMData[[#This Row],[Show_Date]],"mmm")</f>
        <v>Sep</v>
      </c>
      <c r="E726" s="1" t="str">
        <f>TEXT(FMData[[#This Row],[Show_Date]],"ddd")</f>
        <v>Sun</v>
      </c>
      <c r="F726" t="s">
        <v>11</v>
      </c>
      <c r="G726" t="s">
        <v>17</v>
      </c>
      <c r="H726">
        <v>4</v>
      </c>
      <c r="I726">
        <v>12</v>
      </c>
      <c r="J726" t="s">
        <v>23</v>
      </c>
      <c r="K726" t="s">
        <v>27</v>
      </c>
      <c r="L726">
        <v>48</v>
      </c>
    </row>
    <row r="727" spans="1:12" x14ac:dyDescent="0.3">
      <c r="A727">
        <v>1231</v>
      </c>
      <c r="B727" t="s">
        <v>31</v>
      </c>
      <c r="C727" s="1">
        <v>45885</v>
      </c>
      <c r="D727" s="1" t="str">
        <f>TEXT(FMData[[#This Row],[Show_Date]],"mmm")</f>
        <v>Aug</v>
      </c>
      <c r="E727" s="1" t="str">
        <f>TEXT(FMData[[#This Row],[Show_Date]],"ddd")</f>
        <v>Sat</v>
      </c>
      <c r="F727" t="s">
        <v>11</v>
      </c>
      <c r="G727" t="s">
        <v>12</v>
      </c>
      <c r="H727">
        <v>4</v>
      </c>
      <c r="I727">
        <v>25</v>
      </c>
      <c r="J727" t="s">
        <v>23</v>
      </c>
      <c r="K727" t="s">
        <v>18</v>
      </c>
      <c r="L727">
        <v>100</v>
      </c>
    </row>
    <row r="728" spans="1:12" x14ac:dyDescent="0.3">
      <c r="A728">
        <v>2000</v>
      </c>
      <c r="B728" t="s">
        <v>24</v>
      </c>
      <c r="C728" s="1">
        <v>45851</v>
      </c>
      <c r="D728" s="1" t="str">
        <f>TEXT(FMData[[#This Row],[Show_Date]],"mmm")</f>
        <v>Jul</v>
      </c>
      <c r="E728" s="1" t="str">
        <f>TEXT(FMData[[#This Row],[Show_Date]],"ddd")</f>
        <v>Sun</v>
      </c>
      <c r="F728" t="s">
        <v>11</v>
      </c>
      <c r="G728" t="s">
        <v>17</v>
      </c>
      <c r="H728">
        <v>4</v>
      </c>
      <c r="I728">
        <v>12</v>
      </c>
      <c r="J728" t="s">
        <v>13</v>
      </c>
      <c r="K728" t="s">
        <v>25</v>
      </c>
      <c r="L728">
        <v>48</v>
      </c>
    </row>
    <row r="729" spans="1:12" x14ac:dyDescent="0.3">
      <c r="A729">
        <v>703</v>
      </c>
      <c r="B729" t="s">
        <v>24</v>
      </c>
      <c r="C729" s="1">
        <v>45885</v>
      </c>
      <c r="D729" s="1" t="str">
        <f>TEXT(FMData[[#This Row],[Show_Date]],"mmm")</f>
        <v>Aug</v>
      </c>
      <c r="E729" s="1" t="str">
        <f>TEXT(FMData[[#This Row],[Show_Date]],"ddd")</f>
        <v>Sat</v>
      </c>
      <c r="F729" t="s">
        <v>11</v>
      </c>
      <c r="G729" t="s">
        <v>17</v>
      </c>
      <c r="H729">
        <v>4</v>
      </c>
      <c r="I729">
        <v>12</v>
      </c>
      <c r="J729" t="s">
        <v>23</v>
      </c>
      <c r="K729" t="s">
        <v>27</v>
      </c>
      <c r="L729">
        <v>48</v>
      </c>
    </row>
    <row r="730" spans="1:12" x14ac:dyDescent="0.3">
      <c r="A730">
        <v>1524</v>
      </c>
      <c r="B730" t="s">
        <v>15</v>
      </c>
      <c r="C730" s="1">
        <v>45923</v>
      </c>
      <c r="D730" s="1" t="str">
        <f>TEXT(FMData[[#This Row],[Show_Date]],"mmm")</f>
        <v>Sep</v>
      </c>
      <c r="E730" s="1" t="str">
        <f>TEXT(FMData[[#This Row],[Show_Date]],"ddd")</f>
        <v>Tue</v>
      </c>
      <c r="F730" t="s">
        <v>11</v>
      </c>
      <c r="G730" t="s">
        <v>17</v>
      </c>
      <c r="H730">
        <v>5</v>
      </c>
      <c r="I730">
        <v>12</v>
      </c>
      <c r="J730" t="s">
        <v>21</v>
      </c>
      <c r="K730" t="s">
        <v>18</v>
      </c>
      <c r="L730">
        <v>60</v>
      </c>
    </row>
    <row r="731" spans="1:12" x14ac:dyDescent="0.3">
      <c r="A731">
        <v>998</v>
      </c>
      <c r="B731" t="s">
        <v>31</v>
      </c>
      <c r="C731" s="1">
        <v>45925</v>
      </c>
      <c r="D731" s="1" t="str">
        <f>TEXT(FMData[[#This Row],[Show_Date]],"mmm")</f>
        <v>Sep</v>
      </c>
      <c r="E731" s="1" t="str">
        <f>TEXT(FMData[[#This Row],[Show_Date]],"ddd")</f>
        <v>Thu</v>
      </c>
      <c r="F731" t="s">
        <v>11</v>
      </c>
      <c r="G731" t="s">
        <v>17</v>
      </c>
      <c r="H731">
        <v>5</v>
      </c>
      <c r="I731">
        <v>12</v>
      </c>
      <c r="J731" t="s">
        <v>13</v>
      </c>
      <c r="K731" t="s">
        <v>14</v>
      </c>
      <c r="L731">
        <v>60</v>
      </c>
    </row>
    <row r="732" spans="1:12" x14ac:dyDescent="0.3">
      <c r="A732">
        <v>420</v>
      </c>
      <c r="B732" t="s">
        <v>10</v>
      </c>
      <c r="C732" s="1">
        <v>45919</v>
      </c>
      <c r="D732" s="1" t="str">
        <f>TEXT(FMData[[#This Row],[Show_Date]],"mmm")</f>
        <v>Sep</v>
      </c>
      <c r="E732" s="1" t="str">
        <f>TEXT(FMData[[#This Row],[Show_Date]],"ddd")</f>
        <v>Fri</v>
      </c>
      <c r="F732" t="s">
        <v>11</v>
      </c>
      <c r="G732" t="s">
        <v>17</v>
      </c>
      <c r="H732">
        <v>1</v>
      </c>
      <c r="I732">
        <v>12</v>
      </c>
      <c r="J732" t="s">
        <v>23</v>
      </c>
      <c r="K732" t="s">
        <v>27</v>
      </c>
      <c r="L732">
        <v>12</v>
      </c>
    </row>
    <row r="733" spans="1:12" x14ac:dyDescent="0.3">
      <c r="A733">
        <v>742</v>
      </c>
      <c r="B733" t="s">
        <v>10</v>
      </c>
      <c r="C733" s="1">
        <v>45852</v>
      </c>
      <c r="D733" s="1" t="str">
        <f>TEXT(FMData[[#This Row],[Show_Date]],"mmm")</f>
        <v>Jul</v>
      </c>
      <c r="E733" s="1" t="str">
        <f>TEXT(FMData[[#This Row],[Show_Date]],"ddd")</f>
        <v>Mon</v>
      </c>
      <c r="F733" t="s">
        <v>11</v>
      </c>
      <c r="G733" t="s">
        <v>17</v>
      </c>
      <c r="H733">
        <v>2</v>
      </c>
      <c r="I733">
        <v>12</v>
      </c>
      <c r="J733" t="s">
        <v>13</v>
      </c>
      <c r="K733" t="s">
        <v>18</v>
      </c>
      <c r="L733">
        <v>24</v>
      </c>
    </row>
    <row r="734" spans="1:12" x14ac:dyDescent="0.3">
      <c r="A734">
        <v>458</v>
      </c>
      <c r="B734" t="s">
        <v>19</v>
      </c>
      <c r="C734" s="1">
        <v>45857</v>
      </c>
      <c r="D734" s="1" t="str">
        <f>TEXT(FMData[[#This Row],[Show_Date]],"mmm")</f>
        <v>Jul</v>
      </c>
      <c r="E734" s="1" t="str">
        <f>TEXT(FMData[[#This Row],[Show_Date]],"ddd")</f>
        <v>Sat</v>
      </c>
      <c r="F734" t="s">
        <v>11</v>
      </c>
      <c r="G734" t="s">
        <v>12</v>
      </c>
      <c r="H734">
        <v>2</v>
      </c>
      <c r="I734">
        <v>25</v>
      </c>
      <c r="J734" t="s">
        <v>23</v>
      </c>
      <c r="K734" t="s">
        <v>27</v>
      </c>
      <c r="L734">
        <v>50</v>
      </c>
    </row>
    <row r="735" spans="1:12" x14ac:dyDescent="0.3">
      <c r="A735">
        <v>1553</v>
      </c>
      <c r="B735" t="s">
        <v>28</v>
      </c>
      <c r="C735" s="1">
        <v>45876</v>
      </c>
      <c r="D735" s="1" t="str">
        <f>TEXT(FMData[[#This Row],[Show_Date]],"mmm")</f>
        <v>Aug</v>
      </c>
      <c r="E735" s="1" t="str">
        <f>TEXT(FMData[[#This Row],[Show_Date]],"ddd")</f>
        <v>Thu</v>
      </c>
      <c r="F735" t="s">
        <v>11</v>
      </c>
      <c r="G735" t="s">
        <v>12</v>
      </c>
      <c r="H735">
        <v>4</v>
      </c>
      <c r="I735">
        <v>25</v>
      </c>
      <c r="J735" t="s">
        <v>21</v>
      </c>
      <c r="K735" t="s">
        <v>27</v>
      </c>
      <c r="L735">
        <v>100</v>
      </c>
    </row>
    <row r="736" spans="1:12" x14ac:dyDescent="0.3">
      <c r="A736">
        <v>911</v>
      </c>
      <c r="B736" t="s">
        <v>32</v>
      </c>
      <c r="C736" s="1">
        <v>45863</v>
      </c>
      <c r="D736" s="1" t="str">
        <f>TEXT(FMData[[#This Row],[Show_Date]],"mmm")</f>
        <v>Jul</v>
      </c>
      <c r="E736" s="1" t="str">
        <f>TEXT(FMData[[#This Row],[Show_Date]],"ddd")</f>
        <v>Fri</v>
      </c>
      <c r="F736" t="s">
        <v>11</v>
      </c>
      <c r="G736" t="s">
        <v>17</v>
      </c>
      <c r="H736">
        <v>1</v>
      </c>
      <c r="I736">
        <v>12</v>
      </c>
      <c r="J736" t="s">
        <v>21</v>
      </c>
      <c r="K736" t="s">
        <v>27</v>
      </c>
      <c r="L736">
        <v>12</v>
      </c>
    </row>
    <row r="737" spans="1:12" x14ac:dyDescent="0.3">
      <c r="A737">
        <v>284</v>
      </c>
      <c r="B737" t="s">
        <v>28</v>
      </c>
      <c r="C737" s="1">
        <v>45871</v>
      </c>
      <c r="D737" s="1" t="str">
        <f>TEXT(FMData[[#This Row],[Show_Date]],"mmm")</f>
        <v>Aug</v>
      </c>
      <c r="E737" s="1" t="str">
        <f>TEXT(FMData[[#This Row],[Show_Date]],"ddd")</f>
        <v>Sat</v>
      </c>
      <c r="F737" t="s">
        <v>11</v>
      </c>
      <c r="G737" t="s">
        <v>17</v>
      </c>
      <c r="H737">
        <v>1</v>
      </c>
      <c r="I737">
        <v>12</v>
      </c>
      <c r="J737" t="s">
        <v>21</v>
      </c>
      <c r="K737" t="s">
        <v>14</v>
      </c>
      <c r="L737">
        <v>12</v>
      </c>
    </row>
    <row r="738" spans="1:12" x14ac:dyDescent="0.3">
      <c r="A738">
        <v>334</v>
      </c>
      <c r="B738" t="s">
        <v>32</v>
      </c>
      <c r="C738" s="1">
        <v>45914</v>
      </c>
      <c r="D738" s="1" t="str">
        <f>TEXT(FMData[[#This Row],[Show_Date]],"mmm")</f>
        <v>Sep</v>
      </c>
      <c r="E738" s="1" t="str">
        <f>TEXT(FMData[[#This Row],[Show_Date]],"ddd")</f>
        <v>Sun</v>
      </c>
      <c r="F738" t="s">
        <v>11</v>
      </c>
      <c r="G738" t="s">
        <v>30</v>
      </c>
      <c r="H738">
        <v>3</v>
      </c>
      <c r="I738">
        <v>8</v>
      </c>
      <c r="J738" t="s">
        <v>13</v>
      </c>
      <c r="K738" t="s">
        <v>27</v>
      </c>
      <c r="L738">
        <v>24</v>
      </c>
    </row>
    <row r="739" spans="1:12" x14ac:dyDescent="0.3">
      <c r="A739">
        <v>502</v>
      </c>
      <c r="B739" t="s">
        <v>15</v>
      </c>
      <c r="C739" s="1">
        <v>45886</v>
      </c>
      <c r="D739" s="1" t="str">
        <f>TEXT(FMData[[#This Row],[Show_Date]],"mmm")</f>
        <v>Aug</v>
      </c>
      <c r="E739" s="1" t="str">
        <f>TEXT(FMData[[#This Row],[Show_Date]],"ddd")</f>
        <v>Sun</v>
      </c>
      <c r="F739" t="s">
        <v>11</v>
      </c>
      <c r="G739" t="s">
        <v>30</v>
      </c>
      <c r="H739">
        <v>3</v>
      </c>
      <c r="I739">
        <v>8</v>
      </c>
      <c r="J739" t="s">
        <v>21</v>
      </c>
      <c r="K739" t="s">
        <v>25</v>
      </c>
      <c r="L739">
        <v>24</v>
      </c>
    </row>
    <row r="740" spans="1:12" x14ac:dyDescent="0.3">
      <c r="A740">
        <v>1711</v>
      </c>
      <c r="B740" t="s">
        <v>15</v>
      </c>
      <c r="C740" s="1">
        <v>45922</v>
      </c>
      <c r="D740" s="1" t="str">
        <f>TEXT(FMData[[#This Row],[Show_Date]],"mmm")</f>
        <v>Sep</v>
      </c>
      <c r="E740" s="1" t="str">
        <f>TEXT(FMData[[#This Row],[Show_Date]],"ddd")</f>
        <v>Mon</v>
      </c>
      <c r="F740" t="s">
        <v>11</v>
      </c>
      <c r="G740" t="s">
        <v>17</v>
      </c>
      <c r="H740">
        <v>2</v>
      </c>
      <c r="I740">
        <v>12</v>
      </c>
      <c r="J740" t="s">
        <v>23</v>
      </c>
      <c r="K740" t="s">
        <v>27</v>
      </c>
      <c r="L740">
        <v>24</v>
      </c>
    </row>
    <row r="741" spans="1:12" x14ac:dyDescent="0.3">
      <c r="A741">
        <v>1030</v>
      </c>
      <c r="B741" t="s">
        <v>15</v>
      </c>
      <c r="C741" s="1">
        <v>45848</v>
      </c>
      <c r="D741" s="1" t="str">
        <f>TEXT(FMData[[#This Row],[Show_Date]],"mmm")</f>
        <v>Jul</v>
      </c>
      <c r="E741" s="1" t="str">
        <f>TEXT(FMData[[#This Row],[Show_Date]],"ddd")</f>
        <v>Thu</v>
      </c>
      <c r="F741" t="s">
        <v>11</v>
      </c>
      <c r="G741" t="s">
        <v>12</v>
      </c>
      <c r="H741">
        <v>5</v>
      </c>
      <c r="I741">
        <v>25</v>
      </c>
      <c r="J741" t="s">
        <v>21</v>
      </c>
      <c r="K741" t="s">
        <v>27</v>
      </c>
      <c r="L741">
        <v>125</v>
      </c>
    </row>
    <row r="742" spans="1:12" x14ac:dyDescent="0.3">
      <c r="A742">
        <v>1012</v>
      </c>
      <c r="B742" t="s">
        <v>15</v>
      </c>
      <c r="C742" s="1">
        <v>45886</v>
      </c>
      <c r="D742" s="1" t="str">
        <f>TEXT(FMData[[#This Row],[Show_Date]],"mmm")</f>
        <v>Aug</v>
      </c>
      <c r="E742" s="1" t="str">
        <f>TEXT(FMData[[#This Row],[Show_Date]],"ddd")</f>
        <v>Sun</v>
      </c>
      <c r="F742" t="s">
        <v>11</v>
      </c>
      <c r="G742" t="s">
        <v>17</v>
      </c>
      <c r="H742">
        <v>4</v>
      </c>
      <c r="I742">
        <v>12</v>
      </c>
      <c r="J742" t="s">
        <v>13</v>
      </c>
      <c r="K742" t="s">
        <v>25</v>
      </c>
      <c r="L742">
        <v>48</v>
      </c>
    </row>
    <row r="743" spans="1:12" x14ac:dyDescent="0.3">
      <c r="A743">
        <v>812</v>
      </c>
      <c r="B743" t="s">
        <v>32</v>
      </c>
      <c r="C743" s="1">
        <v>45843</v>
      </c>
      <c r="D743" s="1" t="str">
        <f>TEXT(FMData[[#This Row],[Show_Date]],"mmm")</f>
        <v>Jul</v>
      </c>
      <c r="E743" s="1" t="str">
        <f>TEXT(FMData[[#This Row],[Show_Date]],"ddd")</f>
        <v>Sat</v>
      </c>
      <c r="F743" t="s">
        <v>11</v>
      </c>
      <c r="G743" t="s">
        <v>12</v>
      </c>
      <c r="H743">
        <v>4</v>
      </c>
      <c r="I743">
        <v>25</v>
      </c>
      <c r="J743" t="s">
        <v>21</v>
      </c>
      <c r="K743" t="s">
        <v>25</v>
      </c>
      <c r="L743">
        <v>100</v>
      </c>
    </row>
    <row r="744" spans="1:12" x14ac:dyDescent="0.3">
      <c r="A744">
        <v>1676</v>
      </c>
      <c r="B744" t="s">
        <v>15</v>
      </c>
      <c r="C744" s="1">
        <v>45886</v>
      </c>
      <c r="D744" s="1" t="str">
        <f>TEXT(FMData[[#This Row],[Show_Date]],"mmm")</f>
        <v>Aug</v>
      </c>
      <c r="E744" s="1" t="str">
        <f>TEXT(FMData[[#This Row],[Show_Date]],"ddd")</f>
        <v>Sun</v>
      </c>
      <c r="F744" t="s">
        <v>11</v>
      </c>
      <c r="G744" t="s">
        <v>17</v>
      </c>
      <c r="H744">
        <v>1</v>
      </c>
      <c r="I744">
        <v>12</v>
      </c>
      <c r="J744" t="s">
        <v>13</v>
      </c>
      <c r="K744" t="s">
        <v>27</v>
      </c>
      <c r="L744">
        <v>12</v>
      </c>
    </row>
    <row r="745" spans="1:12" x14ac:dyDescent="0.3">
      <c r="A745">
        <v>1272</v>
      </c>
      <c r="B745" t="s">
        <v>10</v>
      </c>
      <c r="C745" s="1">
        <v>45925</v>
      </c>
      <c r="D745" s="1" t="str">
        <f>TEXT(FMData[[#This Row],[Show_Date]],"mmm")</f>
        <v>Sep</v>
      </c>
      <c r="E745" s="1" t="str">
        <f>TEXT(FMData[[#This Row],[Show_Date]],"ddd")</f>
        <v>Thu</v>
      </c>
      <c r="F745" t="s">
        <v>11</v>
      </c>
      <c r="G745" t="s">
        <v>17</v>
      </c>
      <c r="H745">
        <v>2</v>
      </c>
      <c r="I745">
        <v>12</v>
      </c>
      <c r="J745" t="s">
        <v>21</v>
      </c>
      <c r="K745" t="s">
        <v>18</v>
      </c>
      <c r="L745">
        <v>24</v>
      </c>
    </row>
    <row r="746" spans="1:12" x14ac:dyDescent="0.3">
      <c r="A746">
        <v>1804</v>
      </c>
      <c r="B746" t="s">
        <v>19</v>
      </c>
      <c r="C746" s="1">
        <v>45902</v>
      </c>
      <c r="D746" s="1" t="str">
        <f>TEXT(FMData[[#This Row],[Show_Date]],"mmm")</f>
        <v>Sep</v>
      </c>
      <c r="E746" s="1" t="str">
        <f>TEXT(FMData[[#This Row],[Show_Date]],"ddd")</f>
        <v>Tue</v>
      </c>
      <c r="F746" t="s">
        <v>11</v>
      </c>
      <c r="G746" t="s">
        <v>29</v>
      </c>
      <c r="H746">
        <v>5</v>
      </c>
      <c r="I746">
        <v>30</v>
      </c>
      <c r="J746" t="s">
        <v>23</v>
      </c>
      <c r="K746" t="s">
        <v>18</v>
      </c>
      <c r="L746">
        <v>150</v>
      </c>
    </row>
    <row r="747" spans="1:12" x14ac:dyDescent="0.3">
      <c r="A747">
        <v>1408</v>
      </c>
      <c r="B747" t="s">
        <v>15</v>
      </c>
      <c r="C747" s="1">
        <v>45893</v>
      </c>
      <c r="D747" s="1" t="str">
        <f>TEXT(FMData[[#This Row],[Show_Date]],"mmm")</f>
        <v>Aug</v>
      </c>
      <c r="E747" s="1" t="str">
        <f>TEXT(FMData[[#This Row],[Show_Date]],"ddd")</f>
        <v>Sun</v>
      </c>
      <c r="F747" t="s">
        <v>11</v>
      </c>
      <c r="G747" t="s">
        <v>29</v>
      </c>
      <c r="H747">
        <v>5</v>
      </c>
      <c r="I747">
        <v>30</v>
      </c>
      <c r="J747" t="s">
        <v>23</v>
      </c>
      <c r="K747" t="s">
        <v>18</v>
      </c>
      <c r="L747">
        <v>150</v>
      </c>
    </row>
    <row r="748" spans="1:12" x14ac:dyDescent="0.3">
      <c r="A748">
        <v>1627</v>
      </c>
      <c r="B748" t="s">
        <v>24</v>
      </c>
      <c r="C748" s="1">
        <v>45848</v>
      </c>
      <c r="D748" s="1" t="str">
        <f>TEXT(FMData[[#This Row],[Show_Date]],"mmm")</f>
        <v>Jul</v>
      </c>
      <c r="E748" s="1" t="str">
        <f>TEXT(FMData[[#This Row],[Show_Date]],"ddd")</f>
        <v>Thu</v>
      </c>
      <c r="F748" t="s">
        <v>11</v>
      </c>
      <c r="G748" t="s">
        <v>17</v>
      </c>
      <c r="H748">
        <v>4</v>
      </c>
      <c r="I748">
        <v>12</v>
      </c>
      <c r="J748" t="s">
        <v>21</v>
      </c>
      <c r="K748" t="s">
        <v>18</v>
      </c>
      <c r="L748">
        <v>48</v>
      </c>
    </row>
    <row r="749" spans="1:12" x14ac:dyDescent="0.3">
      <c r="A749">
        <v>573</v>
      </c>
      <c r="B749" t="s">
        <v>24</v>
      </c>
      <c r="C749" s="1">
        <v>45846</v>
      </c>
      <c r="D749" s="1" t="str">
        <f>TEXT(FMData[[#This Row],[Show_Date]],"mmm")</f>
        <v>Jul</v>
      </c>
      <c r="E749" s="1" t="str">
        <f>TEXT(FMData[[#This Row],[Show_Date]],"ddd")</f>
        <v>Tue</v>
      </c>
      <c r="F749" t="s">
        <v>11</v>
      </c>
      <c r="G749" t="s">
        <v>17</v>
      </c>
      <c r="H749">
        <v>4</v>
      </c>
      <c r="I749">
        <v>12</v>
      </c>
      <c r="J749" t="s">
        <v>23</v>
      </c>
      <c r="K749" t="s">
        <v>18</v>
      </c>
      <c r="L749">
        <v>48</v>
      </c>
    </row>
    <row r="750" spans="1:12" x14ac:dyDescent="0.3">
      <c r="A750">
        <v>1805</v>
      </c>
      <c r="B750" t="s">
        <v>15</v>
      </c>
      <c r="C750" s="1">
        <v>45928</v>
      </c>
      <c r="D750" s="1" t="str">
        <f>TEXT(FMData[[#This Row],[Show_Date]],"mmm")</f>
        <v>Sep</v>
      </c>
      <c r="E750" s="1" t="str">
        <f>TEXT(FMData[[#This Row],[Show_Date]],"ddd")</f>
        <v>Sun</v>
      </c>
      <c r="F750" t="s">
        <v>11</v>
      </c>
      <c r="G750" t="s">
        <v>17</v>
      </c>
      <c r="H750">
        <v>2</v>
      </c>
      <c r="I750">
        <v>12</v>
      </c>
      <c r="J750" t="s">
        <v>13</v>
      </c>
      <c r="K750" t="s">
        <v>18</v>
      </c>
      <c r="L750">
        <v>24</v>
      </c>
    </row>
    <row r="751" spans="1:12" x14ac:dyDescent="0.3">
      <c r="A751">
        <v>527</v>
      </c>
      <c r="B751" t="s">
        <v>32</v>
      </c>
      <c r="C751" s="1">
        <v>45854</v>
      </c>
      <c r="D751" s="1" t="str">
        <f>TEXT(FMData[[#This Row],[Show_Date]],"mmm")</f>
        <v>Jul</v>
      </c>
      <c r="E751" s="1" t="str">
        <f>TEXT(FMData[[#This Row],[Show_Date]],"ddd")</f>
        <v>Wed</v>
      </c>
      <c r="F751" t="s">
        <v>11</v>
      </c>
      <c r="G751" t="s">
        <v>17</v>
      </c>
      <c r="H751">
        <v>3</v>
      </c>
      <c r="I751">
        <v>12</v>
      </c>
      <c r="J751" t="s">
        <v>23</v>
      </c>
      <c r="K751" t="s">
        <v>18</v>
      </c>
      <c r="L751">
        <v>36</v>
      </c>
    </row>
    <row r="752" spans="1:12" x14ac:dyDescent="0.3">
      <c r="A752">
        <v>302</v>
      </c>
      <c r="B752" t="s">
        <v>24</v>
      </c>
      <c r="C752" s="1">
        <v>45930</v>
      </c>
      <c r="D752" s="1" t="str">
        <f>TEXT(FMData[[#This Row],[Show_Date]],"mmm")</f>
        <v>Sep</v>
      </c>
      <c r="E752" s="1" t="str">
        <f>TEXT(FMData[[#This Row],[Show_Date]],"ddd")</f>
        <v>Tue</v>
      </c>
      <c r="F752" t="s">
        <v>11</v>
      </c>
      <c r="G752" t="s">
        <v>12</v>
      </c>
      <c r="H752">
        <v>1</v>
      </c>
      <c r="I752">
        <v>25</v>
      </c>
      <c r="J752" t="s">
        <v>21</v>
      </c>
      <c r="K752" t="s">
        <v>14</v>
      </c>
      <c r="L752">
        <v>25</v>
      </c>
    </row>
    <row r="753" spans="1:12" x14ac:dyDescent="0.3">
      <c r="A753">
        <v>1647</v>
      </c>
      <c r="B753" t="s">
        <v>28</v>
      </c>
      <c r="C753" s="1">
        <v>45924</v>
      </c>
      <c r="D753" s="1" t="str">
        <f>TEXT(FMData[[#This Row],[Show_Date]],"mmm")</f>
        <v>Sep</v>
      </c>
      <c r="E753" s="1" t="str">
        <f>TEXT(FMData[[#This Row],[Show_Date]],"ddd")</f>
        <v>Wed</v>
      </c>
      <c r="F753" t="s">
        <v>11</v>
      </c>
      <c r="G753" t="s">
        <v>17</v>
      </c>
      <c r="H753">
        <v>1</v>
      </c>
      <c r="I753">
        <v>12</v>
      </c>
      <c r="J753" t="s">
        <v>21</v>
      </c>
      <c r="K753" t="s">
        <v>25</v>
      </c>
      <c r="L753">
        <v>12</v>
      </c>
    </row>
    <row r="754" spans="1:12" x14ac:dyDescent="0.3">
      <c r="A754">
        <v>1955</v>
      </c>
      <c r="B754" t="s">
        <v>32</v>
      </c>
      <c r="C754" s="1">
        <v>45918</v>
      </c>
      <c r="D754" s="1" t="str">
        <f>TEXT(FMData[[#This Row],[Show_Date]],"mmm")</f>
        <v>Sep</v>
      </c>
      <c r="E754" s="1" t="str">
        <f>TEXT(FMData[[#This Row],[Show_Date]],"ddd")</f>
        <v>Thu</v>
      </c>
      <c r="F754" t="s">
        <v>11</v>
      </c>
      <c r="G754" t="s">
        <v>17</v>
      </c>
      <c r="H754">
        <v>5</v>
      </c>
      <c r="I754">
        <v>12</v>
      </c>
      <c r="J754" t="s">
        <v>21</v>
      </c>
      <c r="K754" t="s">
        <v>27</v>
      </c>
      <c r="L754">
        <v>60</v>
      </c>
    </row>
    <row r="755" spans="1:12" x14ac:dyDescent="0.3">
      <c r="A755">
        <v>725</v>
      </c>
      <c r="B755" t="s">
        <v>24</v>
      </c>
      <c r="C755" s="1">
        <v>45879</v>
      </c>
      <c r="D755" s="1" t="str">
        <f>TEXT(FMData[[#This Row],[Show_Date]],"mmm")</f>
        <v>Aug</v>
      </c>
      <c r="E755" s="1" t="str">
        <f>TEXT(FMData[[#This Row],[Show_Date]],"ddd")</f>
        <v>Sun</v>
      </c>
      <c r="F755" t="s">
        <v>11</v>
      </c>
      <c r="G755" t="s">
        <v>17</v>
      </c>
      <c r="H755">
        <v>5</v>
      </c>
      <c r="I755">
        <v>12</v>
      </c>
      <c r="J755" t="s">
        <v>21</v>
      </c>
      <c r="K755" t="s">
        <v>27</v>
      </c>
      <c r="L755">
        <v>60</v>
      </c>
    </row>
    <row r="756" spans="1:12" x14ac:dyDescent="0.3">
      <c r="A756">
        <v>1450</v>
      </c>
      <c r="B756" t="s">
        <v>31</v>
      </c>
      <c r="C756" s="1">
        <v>45920</v>
      </c>
      <c r="D756" s="1" t="str">
        <f>TEXT(FMData[[#This Row],[Show_Date]],"mmm")</f>
        <v>Sep</v>
      </c>
      <c r="E756" s="1" t="str">
        <f>TEXT(FMData[[#This Row],[Show_Date]],"ddd")</f>
        <v>Sat</v>
      </c>
      <c r="F756" t="s">
        <v>11</v>
      </c>
      <c r="G756" t="s">
        <v>17</v>
      </c>
      <c r="H756">
        <v>4</v>
      </c>
      <c r="I756">
        <v>12</v>
      </c>
      <c r="J756" t="s">
        <v>13</v>
      </c>
      <c r="K756" t="s">
        <v>27</v>
      </c>
      <c r="L756">
        <v>48</v>
      </c>
    </row>
    <row r="757" spans="1:12" x14ac:dyDescent="0.3">
      <c r="A757">
        <v>1421</v>
      </c>
      <c r="B757" t="s">
        <v>24</v>
      </c>
      <c r="C757" s="1">
        <v>45886</v>
      </c>
      <c r="D757" s="1" t="str">
        <f>TEXT(FMData[[#This Row],[Show_Date]],"mmm")</f>
        <v>Aug</v>
      </c>
      <c r="E757" s="1" t="str">
        <f>TEXT(FMData[[#This Row],[Show_Date]],"ddd")</f>
        <v>Sun</v>
      </c>
      <c r="F757" t="s">
        <v>11</v>
      </c>
      <c r="G757" t="s">
        <v>30</v>
      </c>
      <c r="H757">
        <v>2</v>
      </c>
      <c r="I757">
        <v>8</v>
      </c>
      <c r="J757" t="s">
        <v>21</v>
      </c>
      <c r="K757" t="s">
        <v>14</v>
      </c>
      <c r="L757">
        <v>16</v>
      </c>
    </row>
    <row r="758" spans="1:12" x14ac:dyDescent="0.3">
      <c r="A758">
        <v>43</v>
      </c>
      <c r="B758" t="s">
        <v>26</v>
      </c>
      <c r="C758" s="1">
        <v>45921</v>
      </c>
      <c r="D758" s="1" t="str">
        <f>TEXT(FMData[[#This Row],[Show_Date]],"mmm")</f>
        <v>Sep</v>
      </c>
      <c r="E758" s="1" t="str">
        <f>TEXT(FMData[[#This Row],[Show_Date]],"ddd")</f>
        <v>Sun</v>
      </c>
      <c r="F758" t="s">
        <v>11</v>
      </c>
      <c r="G758" t="s">
        <v>12</v>
      </c>
      <c r="H758">
        <v>5</v>
      </c>
      <c r="I758">
        <v>25</v>
      </c>
      <c r="J758" t="s">
        <v>13</v>
      </c>
      <c r="K758" t="s">
        <v>27</v>
      </c>
      <c r="L758">
        <v>125</v>
      </c>
    </row>
    <row r="759" spans="1:12" x14ac:dyDescent="0.3">
      <c r="A759">
        <v>1947</v>
      </c>
      <c r="B759" t="s">
        <v>24</v>
      </c>
      <c r="C759" s="1">
        <v>45848</v>
      </c>
      <c r="D759" s="1" t="str">
        <f>TEXT(FMData[[#This Row],[Show_Date]],"mmm")</f>
        <v>Jul</v>
      </c>
      <c r="E759" s="1" t="str">
        <f>TEXT(FMData[[#This Row],[Show_Date]],"ddd")</f>
        <v>Thu</v>
      </c>
      <c r="F759" t="s">
        <v>11</v>
      </c>
      <c r="G759" t="s">
        <v>30</v>
      </c>
      <c r="H759">
        <v>3</v>
      </c>
      <c r="I759">
        <v>8</v>
      </c>
      <c r="J759" t="s">
        <v>23</v>
      </c>
      <c r="K759" t="s">
        <v>14</v>
      </c>
      <c r="L759">
        <v>24</v>
      </c>
    </row>
    <row r="760" spans="1:12" x14ac:dyDescent="0.3">
      <c r="A760">
        <v>1803</v>
      </c>
      <c r="B760" t="s">
        <v>32</v>
      </c>
      <c r="C760" s="1">
        <v>45921</v>
      </c>
      <c r="D760" s="1" t="str">
        <f>TEXT(FMData[[#This Row],[Show_Date]],"mmm")</f>
        <v>Sep</v>
      </c>
      <c r="E760" s="1" t="str">
        <f>TEXT(FMData[[#This Row],[Show_Date]],"ddd")</f>
        <v>Sun</v>
      </c>
      <c r="F760" t="s">
        <v>11</v>
      </c>
      <c r="G760" t="s">
        <v>22</v>
      </c>
      <c r="H760">
        <v>2</v>
      </c>
      <c r="I760">
        <v>20</v>
      </c>
      <c r="J760" t="s">
        <v>21</v>
      </c>
      <c r="K760" t="s">
        <v>27</v>
      </c>
      <c r="L760">
        <v>40</v>
      </c>
    </row>
    <row r="761" spans="1:12" x14ac:dyDescent="0.3">
      <c r="A761">
        <v>71</v>
      </c>
      <c r="B761" t="s">
        <v>26</v>
      </c>
      <c r="C761" s="1">
        <v>45878</v>
      </c>
      <c r="D761" s="1" t="str">
        <f>TEXT(FMData[[#This Row],[Show_Date]],"mmm")</f>
        <v>Aug</v>
      </c>
      <c r="E761" s="1" t="str">
        <f>TEXT(FMData[[#This Row],[Show_Date]],"ddd")</f>
        <v>Sat</v>
      </c>
      <c r="F761" t="s">
        <v>11</v>
      </c>
      <c r="G761" t="s">
        <v>30</v>
      </c>
      <c r="H761">
        <v>2</v>
      </c>
      <c r="I761">
        <v>8</v>
      </c>
      <c r="J761" t="s">
        <v>13</v>
      </c>
      <c r="K761" t="s">
        <v>14</v>
      </c>
      <c r="L761">
        <v>16</v>
      </c>
    </row>
    <row r="762" spans="1:12" x14ac:dyDescent="0.3">
      <c r="A762">
        <v>1040</v>
      </c>
      <c r="B762" t="s">
        <v>32</v>
      </c>
      <c r="C762" s="1">
        <v>45847</v>
      </c>
      <c r="D762" s="1" t="str">
        <f>TEXT(FMData[[#This Row],[Show_Date]],"mmm")</f>
        <v>Jul</v>
      </c>
      <c r="E762" s="1" t="str">
        <f>TEXT(FMData[[#This Row],[Show_Date]],"ddd")</f>
        <v>Wed</v>
      </c>
      <c r="F762" t="s">
        <v>11</v>
      </c>
      <c r="G762" t="s">
        <v>12</v>
      </c>
      <c r="H762">
        <v>1</v>
      </c>
      <c r="I762">
        <v>25</v>
      </c>
      <c r="J762" t="s">
        <v>13</v>
      </c>
      <c r="K762" t="s">
        <v>27</v>
      </c>
      <c r="L762">
        <v>25</v>
      </c>
    </row>
    <row r="763" spans="1:12" x14ac:dyDescent="0.3">
      <c r="A763">
        <v>456</v>
      </c>
      <c r="B763" t="s">
        <v>32</v>
      </c>
      <c r="C763" s="1">
        <v>45886</v>
      </c>
      <c r="D763" s="1" t="str">
        <f>TEXT(FMData[[#This Row],[Show_Date]],"mmm")</f>
        <v>Aug</v>
      </c>
      <c r="E763" s="1" t="str">
        <f>TEXT(FMData[[#This Row],[Show_Date]],"ddd")</f>
        <v>Sun</v>
      </c>
      <c r="F763" t="s">
        <v>11</v>
      </c>
      <c r="G763" t="s">
        <v>17</v>
      </c>
      <c r="H763">
        <v>1</v>
      </c>
      <c r="I763">
        <v>12</v>
      </c>
      <c r="J763" t="s">
        <v>21</v>
      </c>
      <c r="K763" t="s">
        <v>25</v>
      </c>
      <c r="L763">
        <v>12</v>
      </c>
    </row>
    <row r="764" spans="1:12" x14ac:dyDescent="0.3">
      <c r="A764">
        <v>843</v>
      </c>
      <c r="B764" t="s">
        <v>24</v>
      </c>
      <c r="C764" s="1">
        <v>45906</v>
      </c>
      <c r="D764" s="1" t="str">
        <f>TEXT(FMData[[#This Row],[Show_Date]],"mmm")</f>
        <v>Sep</v>
      </c>
      <c r="E764" s="1" t="str">
        <f>TEXT(FMData[[#This Row],[Show_Date]],"ddd")</f>
        <v>Sat</v>
      </c>
      <c r="F764" t="s">
        <v>11</v>
      </c>
      <c r="G764" t="s">
        <v>29</v>
      </c>
      <c r="H764">
        <v>4</v>
      </c>
      <c r="I764">
        <v>30</v>
      </c>
      <c r="J764" t="s">
        <v>13</v>
      </c>
      <c r="K764" t="s">
        <v>14</v>
      </c>
      <c r="L764">
        <v>120</v>
      </c>
    </row>
    <row r="765" spans="1:12" x14ac:dyDescent="0.3">
      <c r="A765">
        <v>200</v>
      </c>
      <c r="B765" t="s">
        <v>32</v>
      </c>
      <c r="C765" s="1">
        <v>45880</v>
      </c>
      <c r="D765" s="1" t="str">
        <f>TEXT(FMData[[#This Row],[Show_Date]],"mmm")</f>
        <v>Aug</v>
      </c>
      <c r="E765" s="1" t="str">
        <f>TEXT(FMData[[#This Row],[Show_Date]],"ddd")</f>
        <v>Mon</v>
      </c>
      <c r="F765" t="s">
        <v>11</v>
      </c>
      <c r="G765" t="s">
        <v>17</v>
      </c>
      <c r="H765">
        <v>3</v>
      </c>
      <c r="I765">
        <v>12</v>
      </c>
      <c r="J765" t="s">
        <v>21</v>
      </c>
      <c r="K765" t="s">
        <v>14</v>
      </c>
      <c r="L765">
        <v>36</v>
      </c>
    </row>
    <row r="766" spans="1:12" x14ac:dyDescent="0.3">
      <c r="A766">
        <v>1840</v>
      </c>
      <c r="B766" t="s">
        <v>24</v>
      </c>
      <c r="C766" s="1">
        <v>45880</v>
      </c>
      <c r="D766" s="1" t="str">
        <f>TEXT(FMData[[#This Row],[Show_Date]],"mmm")</f>
        <v>Aug</v>
      </c>
      <c r="E766" s="1" t="str">
        <f>TEXT(FMData[[#This Row],[Show_Date]],"ddd")</f>
        <v>Mon</v>
      </c>
      <c r="F766" t="s">
        <v>11</v>
      </c>
      <c r="G766" t="s">
        <v>30</v>
      </c>
      <c r="H766">
        <v>4</v>
      </c>
      <c r="I766">
        <v>8</v>
      </c>
      <c r="J766" t="s">
        <v>13</v>
      </c>
      <c r="K766" t="s">
        <v>18</v>
      </c>
      <c r="L766">
        <v>32</v>
      </c>
    </row>
    <row r="767" spans="1:12" x14ac:dyDescent="0.3">
      <c r="A767">
        <v>1060</v>
      </c>
      <c r="B767" t="s">
        <v>31</v>
      </c>
      <c r="C767" s="1">
        <v>45899</v>
      </c>
      <c r="D767" s="1" t="str">
        <f>TEXT(FMData[[#This Row],[Show_Date]],"mmm")</f>
        <v>Aug</v>
      </c>
      <c r="E767" s="1" t="str">
        <f>TEXT(FMData[[#This Row],[Show_Date]],"ddd")</f>
        <v>Sat</v>
      </c>
      <c r="F767" t="s">
        <v>11</v>
      </c>
      <c r="G767" t="s">
        <v>29</v>
      </c>
      <c r="H767">
        <v>5</v>
      </c>
      <c r="I767">
        <v>30</v>
      </c>
      <c r="J767" t="s">
        <v>23</v>
      </c>
      <c r="K767" t="s">
        <v>25</v>
      </c>
      <c r="L767">
        <v>150</v>
      </c>
    </row>
    <row r="768" spans="1:12" x14ac:dyDescent="0.3">
      <c r="A768">
        <v>188</v>
      </c>
      <c r="B768" t="s">
        <v>28</v>
      </c>
      <c r="C768" s="1">
        <v>45871</v>
      </c>
      <c r="D768" s="1" t="str">
        <f>TEXT(FMData[[#This Row],[Show_Date]],"mmm")</f>
        <v>Aug</v>
      </c>
      <c r="E768" s="1" t="str">
        <f>TEXT(FMData[[#This Row],[Show_Date]],"ddd")</f>
        <v>Sat</v>
      </c>
      <c r="F768" t="s">
        <v>11</v>
      </c>
      <c r="G768" t="s">
        <v>30</v>
      </c>
      <c r="H768">
        <v>4</v>
      </c>
      <c r="I768">
        <v>8</v>
      </c>
      <c r="J768" t="s">
        <v>13</v>
      </c>
      <c r="K768" t="s">
        <v>25</v>
      </c>
      <c r="L768">
        <v>32</v>
      </c>
    </row>
    <row r="769" spans="1:12" x14ac:dyDescent="0.3">
      <c r="A769">
        <v>769</v>
      </c>
      <c r="B769" t="s">
        <v>31</v>
      </c>
      <c r="C769" s="1">
        <v>45850</v>
      </c>
      <c r="D769" s="1" t="str">
        <f>TEXT(FMData[[#This Row],[Show_Date]],"mmm")</f>
        <v>Jul</v>
      </c>
      <c r="E769" s="1" t="str">
        <f>TEXT(FMData[[#This Row],[Show_Date]],"ddd")</f>
        <v>Sat</v>
      </c>
      <c r="F769" t="s">
        <v>11</v>
      </c>
      <c r="G769" t="s">
        <v>12</v>
      </c>
      <c r="H769">
        <v>1</v>
      </c>
      <c r="I769">
        <v>25</v>
      </c>
      <c r="J769" t="s">
        <v>21</v>
      </c>
      <c r="K769" t="s">
        <v>27</v>
      </c>
      <c r="L769">
        <v>25</v>
      </c>
    </row>
    <row r="770" spans="1:12" x14ac:dyDescent="0.3">
      <c r="A770">
        <v>1337</v>
      </c>
      <c r="B770" t="s">
        <v>32</v>
      </c>
      <c r="C770" s="1">
        <v>45890</v>
      </c>
      <c r="D770" s="1" t="str">
        <f>TEXT(FMData[[#This Row],[Show_Date]],"mmm")</f>
        <v>Aug</v>
      </c>
      <c r="E770" s="1" t="str">
        <f>TEXT(FMData[[#This Row],[Show_Date]],"ddd")</f>
        <v>Thu</v>
      </c>
      <c r="F770" t="s">
        <v>11</v>
      </c>
      <c r="G770" t="s">
        <v>29</v>
      </c>
      <c r="H770">
        <v>2</v>
      </c>
      <c r="I770">
        <v>30</v>
      </c>
      <c r="J770" t="s">
        <v>21</v>
      </c>
      <c r="K770" t="s">
        <v>27</v>
      </c>
      <c r="L770">
        <v>60</v>
      </c>
    </row>
    <row r="771" spans="1:12" x14ac:dyDescent="0.3">
      <c r="A771">
        <v>1889</v>
      </c>
      <c r="B771" t="s">
        <v>28</v>
      </c>
      <c r="C771" s="1">
        <v>45866</v>
      </c>
      <c r="D771" s="1" t="str">
        <f>TEXT(FMData[[#This Row],[Show_Date]],"mmm")</f>
        <v>Jul</v>
      </c>
      <c r="E771" s="1" t="str">
        <f>TEXT(FMData[[#This Row],[Show_Date]],"ddd")</f>
        <v>Mon</v>
      </c>
      <c r="F771" t="s">
        <v>11</v>
      </c>
      <c r="G771" t="s">
        <v>12</v>
      </c>
      <c r="H771">
        <v>3</v>
      </c>
      <c r="I771">
        <v>25</v>
      </c>
      <c r="J771" t="s">
        <v>13</v>
      </c>
      <c r="K771" t="s">
        <v>14</v>
      </c>
      <c r="L771">
        <v>75</v>
      </c>
    </row>
    <row r="772" spans="1:12" x14ac:dyDescent="0.3">
      <c r="A772">
        <v>1454</v>
      </c>
      <c r="B772" t="s">
        <v>32</v>
      </c>
      <c r="C772" s="1">
        <v>45850</v>
      </c>
      <c r="D772" s="1" t="str">
        <f>TEXT(FMData[[#This Row],[Show_Date]],"mmm")</f>
        <v>Jul</v>
      </c>
      <c r="E772" s="1" t="str">
        <f>TEXT(FMData[[#This Row],[Show_Date]],"ddd")</f>
        <v>Sat</v>
      </c>
      <c r="F772" t="s">
        <v>11</v>
      </c>
      <c r="G772" t="s">
        <v>17</v>
      </c>
      <c r="H772">
        <v>5</v>
      </c>
      <c r="I772">
        <v>12</v>
      </c>
      <c r="J772" t="s">
        <v>13</v>
      </c>
      <c r="K772" t="s">
        <v>18</v>
      </c>
      <c r="L772">
        <v>60</v>
      </c>
    </row>
    <row r="773" spans="1:12" x14ac:dyDescent="0.3">
      <c r="A773">
        <v>524</v>
      </c>
      <c r="B773" t="s">
        <v>28</v>
      </c>
      <c r="C773" s="1">
        <v>45911</v>
      </c>
      <c r="D773" s="1" t="str">
        <f>TEXT(FMData[[#This Row],[Show_Date]],"mmm")</f>
        <v>Sep</v>
      </c>
      <c r="E773" s="1" t="str">
        <f>TEXT(FMData[[#This Row],[Show_Date]],"ddd")</f>
        <v>Thu</v>
      </c>
      <c r="F773" t="s">
        <v>11</v>
      </c>
      <c r="G773" t="s">
        <v>17</v>
      </c>
      <c r="H773">
        <v>4</v>
      </c>
      <c r="I773">
        <v>12</v>
      </c>
      <c r="J773" t="s">
        <v>23</v>
      </c>
      <c r="K773" t="s">
        <v>18</v>
      </c>
      <c r="L773">
        <v>48</v>
      </c>
    </row>
    <row r="774" spans="1:12" x14ac:dyDescent="0.3">
      <c r="A774">
        <v>684</v>
      </c>
      <c r="B774" t="s">
        <v>31</v>
      </c>
      <c r="C774" s="1">
        <v>45890</v>
      </c>
      <c r="D774" s="1" t="str">
        <f>TEXT(FMData[[#This Row],[Show_Date]],"mmm")</f>
        <v>Aug</v>
      </c>
      <c r="E774" s="1" t="str">
        <f>TEXT(FMData[[#This Row],[Show_Date]],"ddd")</f>
        <v>Thu</v>
      </c>
      <c r="F774" t="s">
        <v>11</v>
      </c>
      <c r="G774" t="s">
        <v>17</v>
      </c>
      <c r="H774">
        <v>3</v>
      </c>
      <c r="I774">
        <v>12</v>
      </c>
      <c r="J774" t="s">
        <v>21</v>
      </c>
      <c r="K774" t="s">
        <v>25</v>
      </c>
      <c r="L774">
        <v>36</v>
      </c>
    </row>
    <row r="775" spans="1:12" x14ac:dyDescent="0.3">
      <c r="A775">
        <v>1632</v>
      </c>
      <c r="B775" t="s">
        <v>32</v>
      </c>
      <c r="C775" s="1">
        <v>45875</v>
      </c>
      <c r="D775" s="1" t="str">
        <f>TEXT(FMData[[#This Row],[Show_Date]],"mmm")</f>
        <v>Aug</v>
      </c>
      <c r="E775" s="1" t="str">
        <f>TEXT(FMData[[#This Row],[Show_Date]],"ddd")</f>
        <v>Wed</v>
      </c>
      <c r="F775" t="s">
        <v>11</v>
      </c>
      <c r="G775" t="s">
        <v>17</v>
      </c>
      <c r="H775">
        <v>5</v>
      </c>
      <c r="I775">
        <v>12</v>
      </c>
      <c r="J775" t="s">
        <v>13</v>
      </c>
      <c r="K775" t="s">
        <v>25</v>
      </c>
      <c r="L775">
        <v>60</v>
      </c>
    </row>
    <row r="776" spans="1:12" x14ac:dyDescent="0.3">
      <c r="A776">
        <v>286</v>
      </c>
      <c r="B776" t="s">
        <v>32</v>
      </c>
      <c r="C776" s="1">
        <v>45915</v>
      </c>
      <c r="D776" s="1" t="str">
        <f>TEXT(FMData[[#This Row],[Show_Date]],"mmm")</f>
        <v>Sep</v>
      </c>
      <c r="E776" s="1" t="str">
        <f>TEXT(FMData[[#This Row],[Show_Date]],"ddd")</f>
        <v>Mon</v>
      </c>
      <c r="F776" t="s">
        <v>11</v>
      </c>
      <c r="G776" t="s">
        <v>17</v>
      </c>
      <c r="H776">
        <v>3</v>
      </c>
      <c r="I776">
        <v>12</v>
      </c>
      <c r="J776" t="s">
        <v>23</v>
      </c>
      <c r="K776" t="s">
        <v>14</v>
      </c>
      <c r="L776">
        <v>36</v>
      </c>
    </row>
    <row r="777" spans="1:12" x14ac:dyDescent="0.3">
      <c r="A777">
        <v>1424</v>
      </c>
      <c r="B777" t="s">
        <v>28</v>
      </c>
      <c r="C777" s="1">
        <v>45925</v>
      </c>
      <c r="D777" s="1" t="str">
        <f>TEXT(FMData[[#This Row],[Show_Date]],"mmm")</f>
        <v>Sep</v>
      </c>
      <c r="E777" s="1" t="str">
        <f>TEXT(FMData[[#This Row],[Show_Date]],"ddd")</f>
        <v>Thu</v>
      </c>
      <c r="F777" t="s">
        <v>11</v>
      </c>
      <c r="G777" t="s">
        <v>17</v>
      </c>
      <c r="H777">
        <v>4</v>
      </c>
      <c r="I777">
        <v>12</v>
      </c>
      <c r="J777" t="s">
        <v>23</v>
      </c>
      <c r="K777" t="s">
        <v>14</v>
      </c>
      <c r="L777">
        <v>48</v>
      </c>
    </row>
    <row r="778" spans="1:12" x14ac:dyDescent="0.3">
      <c r="A778">
        <v>1685</v>
      </c>
      <c r="B778" t="s">
        <v>28</v>
      </c>
      <c r="C778" s="1">
        <v>45922</v>
      </c>
      <c r="D778" s="1" t="str">
        <f>TEXT(FMData[[#This Row],[Show_Date]],"mmm")</f>
        <v>Sep</v>
      </c>
      <c r="E778" s="1" t="str">
        <f>TEXT(FMData[[#This Row],[Show_Date]],"ddd")</f>
        <v>Mon</v>
      </c>
      <c r="F778" t="s">
        <v>11</v>
      </c>
      <c r="G778" t="s">
        <v>30</v>
      </c>
      <c r="H778">
        <v>3</v>
      </c>
      <c r="I778">
        <v>8</v>
      </c>
      <c r="J778" t="s">
        <v>13</v>
      </c>
      <c r="K778" t="s">
        <v>14</v>
      </c>
      <c r="L778">
        <v>24</v>
      </c>
    </row>
    <row r="779" spans="1:12" x14ac:dyDescent="0.3">
      <c r="A779">
        <v>1311</v>
      </c>
      <c r="B779" t="s">
        <v>32</v>
      </c>
      <c r="C779" s="1">
        <v>45882</v>
      </c>
      <c r="D779" s="1" t="str">
        <f>TEXT(FMData[[#This Row],[Show_Date]],"mmm")</f>
        <v>Aug</v>
      </c>
      <c r="E779" s="1" t="str">
        <f>TEXT(FMData[[#This Row],[Show_Date]],"ddd")</f>
        <v>Wed</v>
      </c>
      <c r="F779" t="s">
        <v>11</v>
      </c>
      <c r="G779" t="s">
        <v>30</v>
      </c>
      <c r="H779">
        <v>5</v>
      </c>
      <c r="I779">
        <v>8</v>
      </c>
      <c r="J779" t="s">
        <v>23</v>
      </c>
      <c r="K779" t="s">
        <v>18</v>
      </c>
      <c r="L779">
        <v>40</v>
      </c>
    </row>
    <row r="780" spans="1:12" x14ac:dyDescent="0.3">
      <c r="A780">
        <v>1270</v>
      </c>
      <c r="B780" t="s">
        <v>26</v>
      </c>
      <c r="C780" s="1">
        <v>45909</v>
      </c>
      <c r="D780" s="1" t="str">
        <f>TEXT(FMData[[#This Row],[Show_Date]],"mmm")</f>
        <v>Sep</v>
      </c>
      <c r="E780" s="1" t="str">
        <f>TEXT(FMData[[#This Row],[Show_Date]],"ddd")</f>
        <v>Tue</v>
      </c>
      <c r="F780" t="s">
        <v>11</v>
      </c>
      <c r="G780" t="s">
        <v>30</v>
      </c>
      <c r="H780">
        <v>5</v>
      </c>
      <c r="I780">
        <v>8</v>
      </c>
      <c r="J780" t="s">
        <v>13</v>
      </c>
      <c r="K780" t="s">
        <v>14</v>
      </c>
      <c r="L780">
        <v>40</v>
      </c>
    </row>
    <row r="781" spans="1:12" x14ac:dyDescent="0.3">
      <c r="A781">
        <v>1473</v>
      </c>
      <c r="B781" t="s">
        <v>24</v>
      </c>
      <c r="C781" s="1">
        <v>45879</v>
      </c>
      <c r="D781" s="1" t="str">
        <f>TEXT(FMData[[#This Row],[Show_Date]],"mmm")</f>
        <v>Aug</v>
      </c>
      <c r="E781" s="1" t="str">
        <f>TEXT(FMData[[#This Row],[Show_Date]],"ddd")</f>
        <v>Sun</v>
      </c>
      <c r="F781" t="s">
        <v>11</v>
      </c>
      <c r="G781" t="s">
        <v>12</v>
      </c>
      <c r="H781">
        <v>1</v>
      </c>
      <c r="I781">
        <v>25</v>
      </c>
      <c r="J781" t="s">
        <v>23</v>
      </c>
      <c r="K781" t="s">
        <v>14</v>
      </c>
      <c r="L781">
        <v>25</v>
      </c>
    </row>
    <row r="782" spans="1:12" x14ac:dyDescent="0.3">
      <c r="A782">
        <v>1958</v>
      </c>
      <c r="B782" t="s">
        <v>32</v>
      </c>
      <c r="C782" s="1">
        <v>45855</v>
      </c>
      <c r="D782" s="1" t="str">
        <f>TEXT(FMData[[#This Row],[Show_Date]],"mmm")</f>
        <v>Jul</v>
      </c>
      <c r="E782" s="1" t="str">
        <f>TEXT(FMData[[#This Row],[Show_Date]],"ddd")</f>
        <v>Thu</v>
      </c>
      <c r="F782" t="s">
        <v>11</v>
      </c>
      <c r="G782" t="s">
        <v>17</v>
      </c>
      <c r="H782">
        <v>3</v>
      </c>
      <c r="I782">
        <v>12</v>
      </c>
      <c r="J782" t="s">
        <v>21</v>
      </c>
      <c r="K782" t="s">
        <v>25</v>
      </c>
      <c r="L782">
        <v>36</v>
      </c>
    </row>
    <row r="783" spans="1:12" x14ac:dyDescent="0.3">
      <c r="A783">
        <v>545</v>
      </c>
      <c r="B783" t="s">
        <v>24</v>
      </c>
      <c r="C783" s="1">
        <v>45921</v>
      </c>
      <c r="D783" s="1" t="str">
        <f>TEXT(FMData[[#This Row],[Show_Date]],"mmm")</f>
        <v>Sep</v>
      </c>
      <c r="E783" s="1" t="str">
        <f>TEXT(FMData[[#This Row],[Show_Date]],"ddd")</f>
        <v>Sun</v>
      </c>
      <c r="F783" t="s">
        <v>11</v>
      </c>
      <c r="G783" t="s">
        <v>17</v>
      </c>
      <c r="H783">
        <v>2</v>
      </c>
      <c r="I783">
        <v>12</v>
      </c>
      <c r="J783" t="s">
        <v>21</v>
      </c>
      <c r="K783" t="s">
        <v>18</v>
      </c>
      <c r="L783">
        <v>24</v>
      </c>
    </row>
    <row r="784" spans="1:12" x14ac:dyDescent="0.3">
      <c r="A784">
        <v>807</v>
      </c>
      <c r="B784" t="s">
        <v>19</v>
      </c>
      <c r="C784" s="1">
        <v>45863</v>
      </c>
      <c r="D784" s="1" t="str">
        <f>TEXT(FMData[[#This Row],[Show_Date]],"mmm")</f>
        <v>Jul</v>
      </c>
      <c r="E784" s="1" t="str">
        <f>TEXT(FMData[[#This Row],[Show_Date]],"ddd")</f>
        <v>Fri</v>
      </c>
      <c r="F784" t="s">
        <v>11</v>
      </c>
      <c r="G784" t="s">
        <v>30</v>
      </c>
      <c r="H784">
        <v>3</v>
      </c>
      <c r="I784">
        <v>8</v>
      </c>
      <c r="J784" t="s">
        <v>23</v>
      </c>
      <c r="K784" t="s">
        <v>14</v>
      </c>
      <c r="L784">
        <v>24</v>
      </c>
    </row>
    <row r="785" spans="1:12" x14ac:dyDescent="0.3">
      <c r="A785">
        <v>117</v>
      </c>
      <c r="B785" t="s">
        <v>24</v>
      </c>
      <c r="C785" s="1">
        <v>45928</v>
      </c>
      <c r="D785" s="1" t="str">
        <f>TEXT(FMData[[#This Row],[Show_Date]],"mmm")</f>
        <v>Sep</v>
      </c>
      <c r="E785" s="1" t="str">
        <f>TEXT(FMData[[#This Row],[Show_Date]],"ddd")</f>
        <v>Sun</v>
      </c>
      <c r="F785" t="s">
        <v>11</v>
      </c>
      <c r="G785" t="s">
        <v>17</v>
      </c>
      <c r="H785">
        <v>2</v>
      </c>
      <c r="I785">
        <v>12</v>
      </c>
      <c r="J785" t="s">
        <v>21</v>
      </c>
      <c r="K785" t="s">
        <v>18</v>
      </c>
      <c r="L785">
        <v>24</v>
      </c>
    </row>
    <row r="786" spans="1:12" x14ac:dyDescent="0.3">
      <c r="A786">
        <v>560</v>
      </c>
      <c r="B786" t="s">
        <v>10</v>
      </c>
      <c r="C786" s="1">
        <v>45903</v>
      </c>
      <c r="D786" s="1" t="str">
        <f>TEXT(FMData[[#This Row],[Show_Date]],"mmm")</f>
        <v>Sep</v>
      </c>
      <c r="E786" s="1" t="str">
        <f>TEXT(FMData[[#This Row],[Show_Date]],"ddd")</f>
        <v>Wed</v>
      </c>
      <c r="F786" t="s">
        <v>11</v>
      </c>
      <c r="G786" t="s">
        <v>12</v>
      </c>
      <c r="H786">
        <v>1</v>
      </c>
      <c r="I786">
        <v>25</v>
      </c>
      <c r="J786" t="s">
        <v>21</v>
      </c>
      <c r="K786" t="s">
        <v>25</v>
      </c>
      <c r="L786">
        <v>25</v>
      </c>
    </row>
    <row r="787" spans="1:12" x14ac:dyDescent="0.3">
      <c r="A787">
        <v>1644</v>
      </c>
      <c r="B787" t="s">
        <v>26</v>
      </c>
      <c r="C787" s="1">
        <v>45874</v>
      </c>
      <c r="D787" s="1" t="str">
        <f>TEXT(FMData[[#This Row],[Show_Date]],"mmm")</f>
        <v>Aug</v>
      </c>
      <c r="E787" s="1" t="str">
        <f>TEXT(FMData[[#This Row],[Show_Date]],"ddd")</f>
        <v>Tue</v>
      </c>
      <c r="F787" t="s">
        <v>11</v>
      </c>
      <c r="G787" t="s">
        <v>17</v>
      </c>
      <c r="H787">
        <v>4</v>
      </c>
      <c r="I787">
        <v>12</v>
      </c>
      <c r="J787" t="s">
        <v>23</v>
      </c>
      <c r="K787" t="s">
        <v>25</v>
      </c>
      <c r="L787">
        <v>48</v>
      </c>
    </row>
    <row r="788" spans="1:12" x14ac:dyDescent="0.3">
      <c r="A788">
        <v>1282</v>
      </c>
      <c r="B788" t="s">
        <v>28</v>
      </c>
      <c r="C788" s="1">
        <v>45864</v>
      </c>
      <c r="D788" s="1" t="str">
        <f>TEXT(FMData[[#This Row],[Show_Date]],"mmm")</f>
        <v>Jul</v>
      </c>
      <c r="E788" s="1" t="str">
        <f>TEXT(FMData[[#This Row],[Show_Date]],"ddd")</f>
        <v>Sat</v>
      </c>
      <c r="F788" t="s">
        <v>11</v>
      </c>
      <c r="G788" t="s">
        <v>17</v>
      </c>
      <c r="H788">
        <v>3</v>
      </c>
      <c r="I788">
        <v>12</v>
      </c>
      <c r="J788" t="s">
        <v>23</v>
      </c>
      <c r="K788" t="s">
        <v>27</v>
      </c>
      <c r="L788">
        <v>36</v>
      </c>
    </row>
    <row r="789" spans="1:12" x14ac:dyDescent="0.3">
      <c r="A789">
        <v>1057</v>
      </c>
      <c r="B789" t="s">
        <v>19</v>
      </c>
      <c r="C789" s="1">
        <v>45884</v>
      </c>
      <c r="D789" s="1" t="str">
        <f>TEXT(FMData[[#This Row],[Show_Date]],"mmm")</f>
        <v>Aug</v>
      </c>
      <c r="E789" s="1" t="str">
        <f>TEXT(FMData[[#This Row],[Show_Date]],"ddd")</f>
        <v>Fri</v>
      </c>
      <c r="F789" t="s">
        <v>11</v>
      </c>
      <c r="G789" t="s">
        <v>12</v>
      </c>
      <c r="H789">
        <v>2</v>
      </c>
      <c r="I789">
        <v>25</v>
      </c>
      <c r="J789" t="s">
        <v>13</v>
      </c>
      <c r="K789" t="s">
        <v>25</v>
      </c>
      <c r="L789">
        <v>50</v>
      </c>
    </row>
    <row r="790" spans="1:12" x14ac:dyDescent="0.3">
      <c r="A790">
        <v>364</v>
      </c>
      <c r="B790" t="s">
        <v>26</v>
      </c>
      <c r="C790" s="1">
        <v>45900</v>
      </c>
      <c r="D790" s="1" t="str">
        <f>TEXT(FMData[[#This Row],[Show_Date]],"mmm")</f>
        <v>Aug</v>
      </c>
      <c r="E790" s="1" t="str">
        <f>TEXT(FMData[[#This Row],[Show_Date]],"ddd")</f>
        <v>Sun</v>
      </c>
      <c r="F790" t="s">
        <v>11</v>
      </c>
      <c r="G790" t="s">
        <v>17</v>
      </c>
      <c r="H790">
        <v>2</v>
      </c>
      <c r="I790">
        <v>12</v>
      </c>
      <c r="J790" t="s">
        <v>13</v>
      </c>
      <c r="K790" t="s">
        <v>25</v>
      </c>
      <c r="L790">
        <v>24</v>
      </c>
    </row>
    <row r="791" spans="1:12" x14ac:dyDescent="0.3">
      <c r="A791">
        <v>738</v>
      </c>
      <c r="B791" t="s">
        <v>15</v>
      </c>
      <c r="C791" s="1">
        <v>45864</v>
      </c>
      <c r="D791" s="1" t="str">
        <f>TEXT(FMData[[#This Row],[Show_Date]],"mmm")</f>
        <v>Jul</v>
      </c>
      <c r="E791" s="1" t="str">
        <f>TEXT(FMData[[#This Row],[Show_Date]],"ddd")</f>
        <v>Sat</v>
      </c>
      <c r="F791" t="s">
        <v>11</v>
      </c>
      <c r="G791" t="s">
        <v>12</v>
      </c>
      <c r="H791">
        <v>2</v>
      </c>
      <c r="I791">
        <v>25</v>
      </c>
      <c r="J791" t="s">
        <v>21</v>
      </c>
      <c r="K791" t="s">
        <v>27</v>
      </c>
      <c r="L791">
        <v>50</v>
      </c>
    </row>
    <row r="792" spans="1:12" x14ac:dyDescent="0.3">
      <c r="A792">
        <v>613</v>
      </c>
      <c r="B792" t="s">
        <v>31</v>
      </c>
      <c r="C792" s="1">
        <v>45922</v>
      </c>
      <c r="D792" s="1" t="str">
        <f>TEXT(FMData[[#This Row],[Show_Date]],"mmm")</f>
        <v>Sep</v>
      </c>
      <c r="E792" s="1" t="str">
        <f>TEXT(FMData[[#This Row],[Show_Date]],"ddd")</f>
        <v>Mon</v>
      </c>
      <c r="F792" t="s">
        <v>11</v>
      </c>
      <c r="G792" t="s">
        <v>17</v>
      </c>
      <c r="H792">
        <v>4</v>
      </c>
      <c r="I792">
        <v>12</v>
      </c>
      <c r="J792" t="s">
        <v>21</v>
      </c>
      <c r="K792" t="s">
        <v>25</v>
      </c>
      <c r="L792">
        <v>48</v>
      </c>
    </row>
    <row r="793" spans="1:12" x14ac:dyDescent="0.3">
      <c r="A793">
        <v>424</v>
      </c>
      <c r="B793" t="s">
        <v>32</v>
      </c>
      <c r="C793" s="1">
        <v>45854</v>
      </c>
      <c r="D793" s="1" t="str">
        <f>TEXT(FMData[[#This Row],[Show_Date]],"mmm")</f>
        <v>Jul</v>
      </c>
      <c r="E793" s="1" t="str">
        <f>TEXT(FMData[[#This Row],[Show_Date]],"ddd")</f>
        <v>Wed</v>
      </c>
      <c r="F793" t="s">
        <v>11</v>
      </c>
      <c r="G793" t="s">
        <v>17</v>
      </c>
      <c r="H793">
        <v>4</v>
      </c>
      <c r="I793">
        <v>12</v>
      </c>
      <c r="J793" t="s">
        <v>13</v>
      </c>
      <c r="K793" t="s">
        <v>14</v>
      </c>
      <c r="L793">
        <v>48</v>
      </c>
    </row>
    <row r="794" spans="1:12" x14ac:dyDescent="0.3">
      <c r="A794">
        <v>1507</v>
      </c>
      <c r="B794" t="s">
        <v>19</v>
      </c>
      <c r="C794" s="1">
        <v>45921</v>
      </c>
      <c r="D794" s="1" t="str">
        <f>TEXT(FMData[[#This Row],[Show_Date]],"mmm")</f>
        <v>Sep</v>
      </c>
      <c r="E794" s="1" t="str">
        <f>TEXT(FMData[[#This Row],[Show_Date]],"ddd")</f>
        <v>Sun</v>
      </c>
      <c r="F794" t="s">
        <v>11</v>
      </c>
      <c r="G794" t="s">
        <v>29</v>
      </c>
      <c r="H794">
        <v>4</v>
      </c>
      <c r="I794">
        <v>30</v>
      </c>
      <c r="J794" t="s">
        <v>21</v>
      </c>
      <c r="K794" t="s">
        <v>14</v>
      </c>
      <c r="L794">
        <v>120</v>
      </c>
    </row>
    <row r="795" spans="1:12" x14ac:dyDescent="0.3">
      <c r="A795">
        <v>1842</v>
      </c>
      <c r="B795" t="s">
        <v>10</v>
      </c>
      <c r="C795" s="1">
        <v>45926</v>
      </c>
      <c r="D795" s="1" t="str">
        <f>TEXT(FMData[[#This Row],[Show_Date]],"mmm")</f>
        <v>Sep</v>
      </c>
      <c r="E795" s="1" t="str">
        <f>TEXT(FMData[[#This Row],[Show_Date]],"ddd")</f>
        <v>Fri</v>
      </c>
      <c r="F795" t="s">
        <v>11</v>
      </c>
      <c r="G795" t="s">
        <v>17</v>
      </c>
      <c r="H795">
        <v>3</v>
      </c>
      <c r="I795">
        <v>12</v>
      </c>
      <c r="J795" t="s">
        <v>23</v>
      </c>
      <c r="K795" t="s">
        <v>25</v>
      </c>
      <c r="L795">
        <v>36</v>
      </c>
    </row>
    <row r="796" spans="1:12" x14ac:dyDescent="0.3">
      <c r="A796">
        <v>335</v>
      </c>
      <c r="B796" t="s">
        <v>10</v>
      </c>
      <c r="C796" s="1">
        <v>45870</v>
      </c>
      <c r="D796" s="1" t="str">
        <f>TEXT(FMData[[#This Row],[Show_Date]],"mmm")</f>
        <v>Aug</v>
      </c>
      <c r="E796" s="1" t="str">
        <f>TEXT(FMData[[#This Row],[Show_Date]],"ddd")</f>
        <v>Fri</v>
      </c>
      <c r="F796" t="s">
        <v>11</v>
      </c>
      <c r="G796" t="s">
        <v>17</v>
      </c>
      <c r="H796">
        <v>5</v>
      </c>
      <c r="I796">
        <v>12</v>
      </c>
      <c r="J796" t="s">
        <v>21</v>
      </c>
      <c r="K796" t="s">
        <v>18</v>
      </c>
      <c r="L796">
        <v>60</v>
      </c>
    </row>
    <row r="797" spans="1:12" x14ac:dyDescent="0.3">
      <c r="A797">
        <v>704</v>
      </c>
      <c r="B797" t="s">
        <v>19</v>
      </c>
      <c r="C797" s="1">
        <v>45906</v>
      </c>
      <c r="D797" s="1" t="str">
        <f>TEXT(FMData[[#This Row],[Show_Date]],"mmm")</f>
        <v>Sep</v>
      </c>
      <c r="E797" s="1" t="str">
        <f>TEXT(FMData[[#This Row],[Show_Date]],"ddd")</f>
        <v>Sat</v>
      </c>
      <c r="F797" t="s">
        <v>11</v>
      </c>
      <c r="G797" t="s">
        <v>17</v>
      </c>
      <c r="H797">
        <v>5</v>
      </c>
      <c r="I797">
        <v>12</v>
      </c>
      <c r="J797" t="s">
        <v>23</v>
      </c>
      <c r="K797" t="s">
        <v>25</v>
      </c>
      <c r="L797">
        <v>60</v>
      </c>
    </row>
    <row r="798" spans="1:12" x14ac:dyDescent="0.3">
      <c r="A798">
        <v>603</v>
      </c>
      <c r="B798" t="s">
        <v>31</v>
      </c>
      <c r="C798" s="1">
        <v>45895</v>
      </c>
      <c r="D798" s="1" t="str">
        <f>TEXT(FMData[[#This Row],[Show_Date]],"mmm")</f>
        <v>Aug</v>
      </c>
      <c r="E798" s="1" t="str">
        <f>TEXT(FMData[[#This Row],[Show_Date]],"ddd")</f>
        <v>Tue</v>
      </c>
      <c r="F798" t="s">
        <v>11</v>
      </c>
      <c r="G798" t="s">
        <v>30</v>
      </c>
      <c r="H798">
        <v>5</v>
      </c>
      <c r="I798">
        <v>8</v>
      </c>
      <c r="J798" t="s">
        <v>23</v>
      </c>
      <c r="K798" t="s">
        <v>25</v>
      </c>
      <c r="L798">
        <v>40</v>
      </c>
    </row>
    <row r="799" spans="1:12" x14ac:dyDescent="0.3">
      <c r="A799">
        <v>1783</v>
      </c>
      <c r="B799" t="s">
        <v>19</v>
      </c>
      <c r="C799" s="1">
        <v>45915</v>
      </c>
      <c r="D799" s="1" t="str">
        <f>TEXT(FMData[[#This Row],[Show_Date]],"mmm")</f>
        <v>Sep</v>
      </c>
      <c r="E799" s="1" t="str">
        <f>TEXT(FMData[[#This Row],[Show_Date]],"ddd")</f>
        <v>Mon</v>
      </c>
      <c r="F799" t="s">
        <v>11</v>
      </c>
      <c r="G799" t="s">
        <v>17</v>
      </c>
      <c r="H799">
        <v>4</v>
      </c>
      <c r="I799">
        <v>12</v>
      </c>
      <c r="J799" t="s">
        <v>21</v>
      </c>
      <c r="K799" t="s">
        <v>18</v>
      </c>
      <c r="L799">
        <v>48</v>
      </c>
    </row>
    <row r="800" spans="1:12" x14ac:dyDescent="0.3">
      <c r="A800">
        <v>1309</v>
      </c>
      <c r="B800" t="s">
        <v>24</v>
      </c>
      <c r="C800" s="1">
        <v>45843</v>
      </c>
      <c r="D800" s="1" t="str">
        <f>TEXT(FMData[[#This Row],[Show_Date]],"mmm")</f>
        <v>Jul</v>
      </c>
      <c r="E800" s="1" t="str">
        <f>TEXT(FMData[[#This Row],[Show_Date]],"ddd")</f>
        <v>Sat</v>
      </c>
      <c r="F800" t="s">
        <v>11</v>
      </c>
      <c r="G800" t="s">
        <v>17</v>
      </c>
      <c r="H800">
        <v>3</v>
      </c>
      <c r="I800">
        <v>12</v>
      </c>
      <c r="J800" t="s">
        <v>21</v>
      </c>
      <c r="K800" t="s">
        <v>27</v>
      </c>
      <c r="L800">
        <v>36</v>
      </c>
    </row>
    <row r="801" spans="1:12" x14ac:dyDescent="0.3">
      <c r="A801">
        <v>214</v>
      </c>
      <c r="B801" t="s">
        <v>28</v>
      </c>
      <c r="C801" s="1">
        <v>45928</v>
      </c>
      <c r="D801" s="1" t="str">
        <f>TEXT(FMData[[#This Row],[Show_Date]],"mmm")</f>
        <v>Sep</v>
      </c>
      <c r="E801" s="1" t="str">
        <f>TEXT(FMData[[#This Row],[Show_Date]],"ddd")</f>
        <v>Sun</v>
      </c>
      <c r="F801" t="s">
        <v>11</v>
      </c>
      <c r="G801" t="s">
        <v>29</v>
      </c>
      <c r="H801">
        <v>3</v>
      </c>
      <c r="I801">
        <v>30</v>
      </c>
      <c r="J801" t="s">
        <v>21</v>
      </c>
      <c r="K801" t="s">
        <v>25</v>
      </c>
      <c r="L801">
        <v>90</v>
      </c>
    </row>
    <row r="802" spans="1:12" x14ac:dyDescent="0.3">
      <c r="A802">
        <v>481</v>
      </c>
      <c r="B802" t="s">
        <v>31</v>
      </c>
      <c r="C802" s="1">
        <v>45886</v>
      </c>
      <c r="D802" s="1" t="str">
        <f>TEXT(FMData[[#This Row],[Show_Date]],"mmm")</f>
        <v>Aug</v>
      </c>
      <c r="E802" s="1" t="str">
        <f>TEXT(FMData[[#This Row],[Show_Date]],"ddd")</f>
        <v>Sun</v>
      </c>
      <c r="F802" t="s">
        <v>11</v>
      </c>
      <c r="G802" t="s">
        <v>17</v>
      </c>
      <c r="H802">
        <v>2</v>
      </c>
      <c r="I802">
        <v>12</v>
      </c>
      <c r="J802" t="s">
        <v>21</v>
      </c>
      <c r="K802" t="s">
        <v>25</v>
      </c>
      <c r="L802">
        <v>24</v>
      </c>
    </row>
    <row r="803" spans="1:12" x14ac:dyDescent="0.3">
      <c r="A803">
        <v>102</v>
      </c>
      <c r="B803" t="s">
        <v>26</v>
      </c>
      <c r="C803" s="1">
        <v>45899</v>
      </c>
      <c r="D803" s="1" t="str">
        <f>TEXT(FMData[[#This Row],[Show_Date]],"mmm")</f>
        <v>Aug</v>
      </c>
      <c r="E803" s="1" t="str">
        <f>TEXT(FMData[[#This Row],[Show_Date]],"ddd")</f>
        <v>Sat</v>
      </c>
      <c r="F803" t="s">
        <v>11</v>
      </c>
      <c r="G803" t="s">
        <v>12</v>
      </c>
      <c r="H803">
        <v>4</v>
      </c>
      <c r="I803">
        <v>25</v>
      </c>
      <c r="J803" t="s">
        <v>23</v>
      </c>
      <c r="K803" t="s">
        <v>27</v>
      </c>
      <c r="L803">
        <v>100</v>
      </c>
    </row>
    <row r="804" spans="1:12" x14ac:dyDescent="0.3">
      <c r="A804">
        <v>598</v>
      </c>
      <c r="B804" t="s">
        <v>28</v>
      </c>
      <c r="C804" s="1">
        <v>45920</v>
      </c>
      <c r="D804" s="1" t="str">
        <f>TEXT(FMData[[#This Row],[Show_Date]],"mmm")</f>
        <v>Sep</v>
      </c>
      <c r="E804" s="1" t="str">
        <f>TEXT(FMData[[#This Row],[Show_Date]],"ddd")</f>
        <v>Sat</v>
      </c>
      <c r="F804" t="s">
        <v>11</v>
      </c>
      <c r="G804" t="s">
        <v>17</v>
      </c>
      <c r="H804">
        <v>3</v>
      </c>
      <c r="I804">
        <v>12</v>
      </c>
      <c r="J804" t="s">
        <v>13</v>
      </c>
      <c r="K804" t="s">
        <v>14</v>
      </c>
      <c r="L804">
        <v>36</v>
      </c>
    </row>
    <row r="805" spans="1:12" x14ac:dyDescent="0.3">
      <c r="A805">
        <v>1574</v>
      </c>
      <c r="B805" t="s">
        <v>10</v>
      </c>
      <c r="C805" s="1">
        <v>45893</v>
      </c>
      <c r="D805" s="1" t="str">
        <f>TEXT(FMData[[#This Row],[Show_Date]],"mmm")</f>
        <v>Aug</v>
      </c>
      <c r="E805" s="1" t="str">
        <f>TEXT(FMData[[#This Row],[Show_Date]],"ddd")</f>
        <v>Sun</v>
      </c>
      <c r="F805" t="s">
        <v>11</v>
      </c>
      <c r="G805" t="s">
        <v>29</v>
      </c>
      <c r="H805">
        <v>4</v>
      </c>
      <c r="I805">
        <v>30</v>
      </c>
      <c r="J805" t="s">
        <v>21</v>
      </c>
      <c r="K805" t="s">
        <v>25</v>
      </c>
      <c r="L805">
        <v>120</v>
      </c>
    </row>
    <row r="806" spans="1:12" x14ac:dyDescent="0.3">
      <c r="A806">
        <v>233</v>
      </c>
      <c r="B806" t="s">
        <v>31</v>
      </c>
      <c r="C806" s="1">
        <v>45885</v>
      </c>
      <c r="D806" s="1" t="str">
        <f>TEXT(FMData[[#This Row],[Show_Date]],"mmm")</f>
        <v>Aug</v>
      </c>
      <c r="E806" s="1" t="str">
        <f>TEXT(FMData[[#This Row],[Show_Date]],"ddd")</f>
        <v>Sat</v>
      </c>
      <c r="F806" t="s">
        <v>11</v>
      </c>
      <c r="G806" t="s">
        <v>29</v>
      </c>
      <c r="H806">
        <v>4</v>
      </c>
      <c r="I806">
        <v>30</v>
      </c>
      <c r="J806" t="s">
        <v>21</v>
      </c>
      <c r="K806" t="s">
        <v>18</v>
      </c>
      <c r="L806">
        <v>120</v>
      </c>
    </row>
    <row r="807" spans="1:12" x14ac:dyDescent="0.3">
      <c r="A807">
        <v>1183</v>
      </c>
      <c r="B807" t="s">
        <v>19</v>
      </c>
      <c r="C807" s="1">
        <v>45882</v>
      </c>
      <c r="D807" s="1" t="str">
        <f>TEXT(FMData[[#This Row],[Show_Date]],"mmm")</f>
        <v>Aug</v>
      </c>
      <c r="E807" s="1" t="str">
        <f>TEXT(FMData[[#This Row],[Show_Date]],"ddd")</f>
        <v>Wed</v>
      </c>
      <c r="F807" t="s">
        <v>11</v>
      </c>
      <c r="G807" t="s">
        <v>17</v>
      </c>
      <c r="H807">
        <v>1</v>
      </c>
      <c r="I807">
        <v>12</v>
      </c>
      <c r="J807" t="s">
        <v>23</v>
      </c>
      <c r="K807" t="s">
        <v>18</v>
      </c>
      <c r="L807">
        <v>12</v>
      </c>
    </row>
    <row r="808" spans="1:12" x14ac:dyDescent="0.3">
      <c r="A808">
        <v>1709</v>
      </c>
      <c r="B808" t="s">
        <v>19</v>
      </c>
      <c r="C808" s="1">
        <v>45874</v>
      </c>
      <c r="D808" s="1" t="str">
        <f>TEXT(FMData[[#This Row],[Show_Date]],"mmm")</f>
        <v>Aug</v>
      </c>
      <c r="E808" s="1" t="str">
        <f>TEXT(FMData[[#This Row],[Show_Date]],"ddd")</f>
        <v>Tue</v>
      </c>
      <c r="F808" t="s">
        <v>11</v>
      </c>
      <c r="G808" t="s">
        <v>17</v>
      </c>
      <c r="H808">
        <v>3</v>
      </c>
      <c r="I808">
        <v>12</v>
      </c>
      <c r="J808" t="s">
        <v>13</v>
      </c>
      <c r="K808" t="s">
        <v>18</v>
      </c>
      <c r="L808">
        <v>36</v>
      </c>
    </row>
    <row r="809" spans="1:12" x14ac:dyDescent="0.3">
      <c r="A809">
        <v>1659</v>
      </c>
      <c r="B809" t="s">
        <v>24</v>
      </c>
      <c r="C809" s="1">
        <v>45857</v>
      </c>
      <c r="D809" s="1" t="str">
        <f>TEXT(FMData[[#This Row],[Show_Date]],"mmm")</f>
        <v>Jul</v>
      </c>
      <c r="E809" s="1" t="str">
        <f>TEXT(FMData[[#This Row],[Show_Date]],"ddd")</f>
        <v>Sat</v>
      </c>
      <c r="F809" t="s">
        <v>11</v>
      </c>
      <c r="G809" t="s">
        <v>12</v>
      </c>
      <c r="H809">
        <v>2</v>
      </c>
      <c r="I809">
        <v>25</v>
      </c>
      <c r="J809" t="s">
        <v>23</v>
      </c>
      <c r="K809" t="s">
        <v>18</v>
      </c>
      <c r="L809">
        <v>50</v>
      </c>
    </row>
    <row r="810" spans="1:12" x14ac:dyDescent="0.3">
      <c r="A810">
        <v>1128</v>
      </c>
      <c r="B810" t="s">
        <v>26</v>
      </c>
      <c r="C810" s="1">
        <v>45892</v>
      </c>
      <c r="D810" s="1" t="str">
        <f>TEXT(FMData[[#This Row],[Show_Date]],"mmm")</f>
        <v>Aug</v>
      </c>
      <c r="E810" s="1" t="str">
        <f>TEXT(FMData[[#This Row],[Show_Date]],"ddd")</f>
        <v>Sat</v>
      </c>
      <c r="F810" t="s">
        <v>11</v>
      </c>
      <c r="G810" t="s">
        <v>17</v>
      </c>
      <c r="H810">
        <v>2</v>
      </c>
      <c r="I810">
        <v>12</v>
      </c>
      <c r="J810" t="s">
        <v>23</v>
      </c>
      <c r="K810" t="s">
        <v>18</v>
      </c>
      <c r="L810">
        <v>24</v>
      </c>
    </row>
    <row r="811" spans="1:12" x14ac:dyDescent="0.3">
      <c r="A811">
        <v>748</v>
      </c>
      <c r="B811" t="s">
        <v>28</v>
      </c>
      <c r="C811" s="1">
        <v>45840</v>
      </c>
      <c r="D811" s="1" t="str">
        <f>TEXT(FMData[[#This Row],[Show_Date]],"mmm")</f>
        <v>Jul</v>
      </c>
      <c r="E811" s="1" t="str">
        <f>TEXT(FMData[[#This Row],[Show_Date]],"ddd")</f>
        <v>Wed</v>
      </c>
      <c r="F811" t="s">
        <v>11</v>
      </c>
      <c r="G811" t="s">
        <v>17</v>
      </c>
      <c r="H811">
        <v>1</v>
      </c>
      <c r="I811">
        <v>12</v>
      </c>
      <c r="J811" t="s">
        <v>23</v>
      </c>
      <c r="K811" t="s">
        <v>18</v>
      </c>
      <c r="L811">
        <v>12</v>
      </c>
    </row>
    <row r="812" spans="1:12" x14ac:dyDescent="0.3">
      <c r="A812">
        <v>1653</v>
      </c>
      <c r="B812" t="s">
        <v>26</v>
      </c>
      <c r="C812" s="1">
        <v>45859</v>
      </c>
      <c r="D812" s="1" t="str">
        <f>TEXT(FMData[[#This Row],[Show_Date]],"mmm")</f>
        <v>Jul</v>
      </c>
      <c r="E812" s="1" t="str">
        <f>TEXT(FMData[[#This Row],[Show_Date]],"ddd")</f>
        <v>Mon</v>
      </c>
      <c r="F812" t="s">
        <v>11</v>
      </c>
      <c r="G812" t="s">
        <v>22</v>
      </c>
      <c r="H812">
        <v>5</v>
      </c>
      <c r="I812">
        <v>20</v>
      </c>
      <c r="J812" t="s">
        <v>13</v>
      </c>
      <c r="K812" t="s">
        <v>18</v>
      </c>
      <c r="L812">
        <v>100</v>
      </c>
    </row>
    <row r="813" spans="1:12" x14ac:dyDescent="0.3">
      <c r="A813">
        <v>1914</v>
      </c>
      <c r="B813" t="s">
        <v>10</v>
      </c>
      <c r="C813" s="1">
        <v>45878</v>
      </c>
      <c r="D813" s="1" t="str">
        <f>TEXT(FMData[[#This Row],[Show_Date]],"mmm")</f>
        <v>Aug</v>
      </c>
      <c r="E813" s="1" t="str">
        <f>TEXT(FMData[[#This Row],[Show_Date]],"ddd")</f>
        <v>Sat</v>
      </c>
      <c r="F813" t="s">
        <v>11</v>
      </c>
      <c r="G813" t="s">
        <v>29</v>
      </c>
      <c r="H813">
        <v>1</v>
      </c>
      <c r="I813">
        <v>30</v>
      </c>
      <c r="J813" t="s">
        <v>21</v>
      </c>
      <c r="K813" t="s">
        <v>18</v>
      </c>
      <c r="L813">
        <v>30</v>
      </c>
    </row>
    <row r="814" spans="1:12" x14ac:dyDescent="0.3">
      <c r="A814">
        <v>907</v>
      </c>
      <c r="B814" t="s">
        <v>26</v>
      </c>
      <c r="C814" s="1">
        <v>45899</v>
      </c>
      <c r="D814" s="1" t="str">
        <f>TEXT(FMData[[#This Row],[Show_Date]],"mmm")</f>
        <v>Aug</v>
      </c>
      <c r="E814" s="1" t="str">
        <f>TEXT(FMData[[#This Row],[Show_Date]],"ddd")</f>
        <v>Sat</v>
      </c>
      <c r="F814" t="s">
        <v>11</v>
      </c>
      <c r="G814" t="s">
        <v>29</v>
      </c>
      <c r="H814">
        <v>5</v>
      </c>
      <c r="I814">
        <v>30</v>
      </c>
      <c r="J814" t="s">
        <v>23</v>
      </c>
      <c r="K814" t="s">
        <v>18</v>
      </c>
      <c r="L814">
        <v>150</v>
      </c>
    </row>
    <row r="815" spans="1:12" x14ac:dyDescent="0.3">
      <c r="A815">
        <v>1638</v>
      </c>
      <c r="B815" t="s">
        <v>15</v>
      </c>
      <c r="C815" s="1">
        <v>45883</v>
      </c>
      <c r="D815" s="1" t="str">
        <f>TEXT(FMData[[#This Row],[Show_Date]],"mmm")</f>
        <v>Aug</v>
      </c>
      <c r="E815" s="1" t="str">
        <f>TEXT(FMData[[#This Row],[Show_Date]],"ddd")</f>
        <v>Thu</v>
      </c>
      <c r="F815" t="s">
        <v>11</v>
      </c>
      <c r="G815" t="s">
        <v>17</v>
      </c>
      <c r="H815">
        <v>2</v>
      </c>
      <c r="I815">
        <v>12</v>
      </c>
      <c r="J815" t="s">
        <v>23</v>
      </c>
      <c r="K815" t="s">
        <v>18</v>
      </c>
      <c r="L815">
        <v>24</v>
      </c>
    </row>
    <row r="816" spans="1:12" x14ac:dyDescent="0.3">
      <c r="A816">
        <v>1366</v>
      </c>
      <c r="B816" t="s">
        <v>10</v>
      </c>
      <c r="C816" s="1">
        <v>45914</v>
      </c>
      <c r="D816" s="1" t="str">
        <f>TEXT(FMData[[#This Row],[Show_Date]],"mmm")</f>
        <v>Sep</v>
      </c>
      <c r="E816" s="1" t="str">
        <f>TEXT(FMData[[#This Row],[Show_Date]],"ddd")</f>
        <v>Sun</v>
      </c>
      <c r="F816" t="s">
        <v>11</v>
      </c>
      <c r="G816" t="s">
        <v>12</v>
      </c>
      <c r="H816">
        <v>2</v>
      </c>
      <c r="I816">
        <v>25</v>
      </c>
      <c r="J816" t="s">
        <v>13</v>
      </c>
      <c r="K816" t="s">
        <v>18</v>
      </c>
      <c r="L816">
        <v>50</v>
      </c>
    </row>
    <row r="817" spans="1:12" x14ac:dyDescent="0.3">
      <c r="A817">
        <v>1665</v>
      </c>
      <c r="B817" t="s">
        <v>32</v>
      </c>
      <c r="C817" s="1">
        <v>45885</v>
      </c>
      <c r="D817" s="1" t="str">
        <f>TEXT(FMData[[#This Row],[Show_Date]],"mmm")</f>
        <v>Aug</v>
      </c>
      <c r="E817" s="1" t="str">
        <f>TEXT(FMData[[#This Row],[Show_Date]],"ddd")</f>
        <v>Sat</v>
      </c>
      <c r="F817" t="s">
        <v>11</v>
      </c>
      <c r="G817" t="s">
        <v>12</v>
      </c>
      <c r="H817">
        <v>5</v>
      </c>
      <c r="I817">
        <v>25</v>
      </c>
      <c r="J817" t="s">
        <v>13</v>
      </c>
      <c r="K817" t="s">
        <v>18</v>
      </c>
      <c r="L817">
        <v>125</v>
      </c>
    </row>
    <row r="818" spans="1:12" x14ac:dyDescent="0.3">
      <c r="A818">
        <v>1419</v>
      </c>
      <c r="B818" t="s">
        <v>15</v>
      </c>
      <c r="C818" s="1">
        <v>45921</v>
      </c>
      <c r="D818" s="1" t="str">
        <f>TEXT(FMData[[#This Row],[Show_Date]],"mmm")</f>
        <v>Sep</v>
      </c>
      <c r="E818" s="1" t="str">
        <f>TEXT(FMData[[#This Row],[Show_Date]],"ddd")</f>
        <v>Sun</v>
      </c>
      <c r="F818" t="s">
        <v>11</v>
      </c>
      <c r="G818" t="s">
        <v>17</v>
      </c>
      <c r="H818">
        <v>4</v>
      </c>
      <c r="I818">
        <v>12</v>
      </c>
      <c r="J818" t="s">
        <v>21</v>
      </c>
      <c r="K818" t="s">
        <v>18</v>
      </c>
      <c r="L818">
        <v>48</v>
      </c>
    </row>
    <row r="819" spans="1:12" x14ac:dyDescent="0.3">
      <c r="A819">
        <v>130</v>
      </c>
      <c r="B819" t="s">
        <v>31</v>
      </c>
      <c r="C819" s="1">
        <v>45871</v>
      </c>
      <c r="D819" s="1" t="str">
        <f>TEXT(FMData[[#This Row],[Show_Date]],"mmm")</f>
        <v>Aug</v>
      </c>
      <c r="E819" s="1" t="str">
        <f>TEXT(FMData[[#This Row],[Show_Date]],"ddd")</f>
        <v>Sat</v>
      </c>
      <c r="F819" t="s">
        <v>11</v>
      </c>
      <c r="G819" t="s">
        <v>17</v>
      </c>
      <c r="H819">
        <v>2</v>
      </c>
      <c r="I819">
        <v>12</v>
      </c>
      <c r="J819" t="s">
        <v>23</v>
      </c>
      <c r="K819" t="s">
        <v>18</v>
      </c>
      <c r="L819">
        <v>24</v>
      </c>
    </row>
    <row r="820" spans="1:12" x14ac:dyDescent="0.3">
      <c r="A820">
        <v>1606</v>
      </c>
      <c r="B820" t="s">
        <v>28</v>
      </c>
      <c r="C820" s="1">
        <v>45856</v>
      </c>
      <c r="D820" s="1" t="str">
        <f>TEXT(FMData[[#This Row],[Show_Date]],"mmm")</f>
        <v>Jul</v>
      </c>
      <c r="E820" s="1" t="str">
        <f>TEXT(FMData[[#This Row],[Show_Date]],"ddd")</f>
        <v>Fri</v>
      </c>
      <c r="F820" t="s">
        <v>11</v>
      </c>
      <c r="G820" t="s">
        <v>17</v>
      </c>
      <c r="H820">
        <v>2</v>
      </c>
      <c r="I820">
        <v>12</v>
      </c>
      <c r="J820" t="s">
        <v>21</v>
      </c>
      <c r="K820" t="s">
        <v>18</v>
      </c>
      <c r="L820">
        <v>24</v>
      </c>
    </row>
    <row r="821" spans="1:12" x14ac:dyDescent="0.3">
      <c r="A821">
        <v>296</v>
      </c>
      <c r="B821" t="s">
        <v>31</v>
      </c>
      <c r="C821" s="1">
        <v>45884</v>
      </c>
      <c r="D821" s="1" t="str">
        <f>TEXT(FMData[[#This Row],[Show_Date]],"mmm")</f>
        <v>Aug</v>
      </c>
      <c r="E821" s="1" t="str">
        <f>TEXT(FMData[[#This Row],[Show_Date]],"ddd")</f>
        <v>Fri</v>
      </c>
      <c r="F821" t="s">
        <v>11</v>
      </c>
      <c r="G821" t="s">
        <v>17</v>
      </c>
      <c r="H821">
        <v>3</v>
      </c>
      <c r="I821">
        <v>12</v>
      </c>
      <c r="J821" t="s">
        <v>21</v>
      </c>
      <c r="K821" t="s">
        <v>18</v>
      </c>
      <c r="L821">
        <v>36</v>
      </c>
    </row>
    <row r="822" spans="1:12" x14ac:dyDescent="0.3">
      <c r="A822">
        <v>1357</v>
      </c>
      <c r="B822" t="s">
        <v>31</v>
      </c>
      <c r="C822" s="1">
        <v>45869</v>
      </c>
      <c r="D822" s="1" t="str">
        <f>TEXT(FMData[[#This Row],[Show_Date]],"mmm")</f>
        <v>Jul</v>
      </c>
      <c r="E822" s="1" t="str">
        <f>TEXT(FMData[[#This Row],[Show_Date]],"ddd")</f>
        <v>Thu</v>
      </c>
      <c r="F822" t="s">
        <v>11</v>
      </c>
      <c r="G822" t="s">
        <v>30</v>
      </c>
      <c r="H822">
        <v>2</v>
      </c>
      <c r="I822">
        <v>8</v>
      </c>
      <c r="J822" t="s">
        <v>23</v>
      </c>
      <c r="K822" t="s">
        <v>18</v>
      </c>
      <c r="L822">
        <v>16</v>
      </c>
    </row>
    <row r="823" spans="1:12" x14ac:dyDescent="0.3">
      <c r="A823">
        <v>1149</v>
      </c>
      <c r="B823" t="s">
        <v>32</v>
      </c>
      <c r="C823" s="1">
        <v>45913</v>
      </c>
      <c r="D823" s="1" t="str">
        <f>TEXT(FMData[[#This Row],[Show_Date]],"mmm")</f>
        <v>Sep</v>
      </c>
      <c r="E823" s="1" t="str">
        <f>TEXT(FMData[[#This Row],[Show_Date]],"ddd")</f>
        <v>Sat</v>
      </c>
      <c r="F823" t="s">
        <v>11</v>
      </c>
      <c r="G823" t="s">
        <v>30</v>
      </c>
      <c r="H823">
        <v>3</v>
      </c>
      <c r="I823">
        <v>8</v>
      </c>
      <c r="J823" t="s">
        <v>13</v>
      </c>
      <c r="K823" t="s">
        <v>18</v>
      </c>
      <c r="L823">
        <v>24</v>
      </c>
    </row>
    <row r="824" spans="1:12" x14ac:dyDescent="0.3">
      <c r="A824">
        <v>1389</v>
      </c>
      <c r="B824" t="s">
        <v>28</v>
      </c>
      <c r="C824" s="1">
        <v>45857</v>
      </c>
      <c r="D824" s="1" t="str">
        <f>TEXT(FMData[[#This Row],[Show_Date]],"mmm")</f>
        <v>Jul</v>
      </c>
      <c r="E824" s="1" t="str">
        <f>TEXT(FMData[[#This Row],[Show_Date]],"ddd")</f>
        <v>Sat</v>
      </c>
      <c r="F824" t="s">
        <v>11</v>
      </c>
      <c r="G824" t="s">
        <v>17</v>
      </c>
      <c r="H824">
        <v>5</v>
      </c>
      <c r="I824">
        <v>12</v>
      </c>
      <c r="J824" t="s">
        <v>23</v>
      </c>
      <c r="K824" t="s">
        <v>18</v>
      </c>
      <c r="L824">
        <v>60</v>
      </c>
    </row>
    <row r="825" spans="1:12" x14ac:dyDescent="0.3">
      <c r="A825">
        <v>1008</v>
      </c>
      <c r="B825" t="s">
        <v>15</v>
      </c>
      <c r="C825" s="1">
        <v>45874</v>
      </c>
      <c r="D825" s="1" t="str">
        <f>TEXT(FMData[[#This Row],[Show_Date]],"mmm")</f>
        <v>Aug</v>
      </c>
      <c r="E825" s="1" t="str">
        <f>TEXT(FMData[[#This Row],[Show_Date]],"ddd")</f>
        <v>Tue</v>
      </c>
      <c r="F825" t="s">
        <v>11</v>
      </c>
      <c r="G825" t="s">
        <v>17</v>
      </c>
      <c r="H825">
        <v>5</v>
      </c>
      <c r="I825">
        <v>12</v>
      </c>
      <c r="J825" t="s">
        <v>13</v>
      </c>
      <c r="K825" t="s">
        <v>18</v>
      </c>
      <c r="L825">
        <v>60</v>
      </c>
    </row>
    <row r="826" spans="1:12" x14ac:dyDescent="0.3">
      <c r="A826">
        <v>551</v>
      </c>
      <c r="B826" t="s">
        <v>24</v>
      </c>
      <c r="C826" s="1">
        <v>45851</v>
      </c>
      <c r="D826" s="1" t="str">
        <f>TEXT(FMData[[#This Row],[Show_Date]],"mmm")</f>
        <v>Jul</v>
      </c>
      <c r="E826" s="1" t="str">
        <f>TEXT(FMData[[#This Row],[Show_Date]],"ddd")</f>
        <v>Sun</v>
      </c>
      <c r="F826" t="s">
        <v>11</v>
      </c>
      <c r="G826" t="s">
        <v>17</v>
      </c>
      <c r="H826">
        <v>2</v>
      </c>
      <c r="I826">
        <v>12</v>
      </c>
      <c r="J826" t="s">
        <v>21</v>
      </c>
      <c r="K826" t="s">
        <v>18</v>
      </c>
      <c r="L826">
        <v>24</v>
      </c>
    </row>
    <row r="827" spans="1:12" x14ac:dyDescent="0.3">
      <c r="A827">
        <v>1241</v>
      </c>
      <c r="B827" t="s">
        <v>15</v>
      </c>
      <c r="C827" s="1">
        <v>45859</v>
      </c>
      <c r="D827" s="1" t="str">
        <f>TEXT(FMData[[#This Row],[Show_Date]],"mmm")</f>
        <v>Jul</v>
      </c>
      <c r="E827" s="1" t="str">
        <f>TEXT(FMData[[#This Row],[Show_Date]],"ddd")</f>
        <v>Mon</v>
      </c>
      <c r="F827" t="s">
        <v>11</v>
      </c>
      <c r="G827" t="s">
        <v>17</v>
      </c>
      <c r="H827">
        <v>4</v>
      </c>
      <c r="I827">
        <v>12</v>
      </c>
      <c r="J827" t="s">
        <v>23</v>
      </c>
      <c r="K827" t="s">
        <v>18</v>
      </c>
      <c r="L827">
        <v>48</v>
      </c>
    </row>
    <row r="828" spans="1:12" x14ac:dyDescent="0.3">
      <c r="A828">
        <v>534</v>
      </c>
      <c r="B828" t="s">
        <v>24</v>
      </c>
      <c r="C828" s="1">
        <v>45880</v>
      </c>
      <c r="D828" s="1" t="str">
        <f>TEXT(FMData[[#This Row],[Show_Date]],"mmm")</f>
        <v>Aug</v>
      </c>
      <c r="E828" s="1" t="str">
        <f>TEXT(FMData[[#This Row],[Show_Date]],"ddd")</f>
        <v>Mon</v>
      </c>
      <c r="F828" t="s">
        <v>11</v>
      </c>
      <c r="G828" t="s">
        <v>17</v>
      </c>
      <c r="H828">
        <v>1</v>
      </c>
      <c r="I828">
        <v>12</v>
      </c>
      <c r="J828" t="s">
        <v>13</v>
      </c>
      <c r="K828" t="s">
        <v>18</v>
      </c>
      <c r="L828">
        <v>12</v>
      </c>
    </row>
    <row r="829" spans="1:12" x14ac:dyDescent="0.3">
      <c r="A829">
        <v>1712</v>
      </c>
      <c r="B829" t="s">
        <v>24</v>
      </c>
      <c r="C829" s="1">
        <v>45907</v>
      </c>
      <c r="D829" s="1" t="str">
        <f>TEXT(FMData[[#This Row],[Show_Date]],"mmm")</f>
        <v>Sep</v>
      </c>
      <c r="E829" s="1" t="str">
        <f>TEXT(FMData[[#This Row],[Show_Date]],"ddd")</f>
        <v>Sun</v>
      </c>
      <c r="F829" t="s">
        <v>11</v>
      </c>
      <c r="G829" t="s">
        <v>30</v>
      </c>
      <c r="H829">
        <v>2</v>
      </c>
      <c r="I829">
        <v>8</v>
      </c>
      <c r="J829" t="s">
        <v>13</v>
      </c>
      <c r="K829" t="s">
        <v>18</v>
      </c>
      <c r="L829">
        <v>16</v>
      </c>
    </row>
    <row r="830" spans="1:12" x14ac:dyDescent="0.3">
      <c r="A830">
        <v>1825</v>
      </c>
      <c r="B830" t="s">
        <v>15</v>
      </c>
      <c r="C830" s="1">
        <v>45903</v>
      </c>
      <c r="D830" s="1" t="str">
        <f>TEXT(FMData[[#This Row],[Show_Date]],"mmm")</f>
        <v>Sep</v>
      </c>
      <c r="E830" s="1" t="str">
        <f>TEXT(FMData[[#This Row],[Show_Date]],"ddd")</f>
        <v>Wed</v>
      </c>
      <c r="F830" t="s">
        <v>11</v>
      </c>
      <c r="G830" t="s">
        <v>17</v>
      </c>
      <c r="H830">
        <v>3</v>
      </c>
      <c r="I830">
        <v>12</v>
      </c>
      <c r="J830" t="s">
        <v>13</v>
      </c>
      <c r="K830" t="s">
        <v>18</v>
      </c>
      <c r="L830">
        <v>36</v>
      </c>
    </row>
    <row r="831" spans="1:12" x14ac:dyDescent="0.3">
      <c r="A831">
        <v>28</v>
      </c>
      <c r="B831" t="s">
        <v>26</v>
      </c>
      <c r="C831" s="1">
        <v>45906</v>
      </c>
      <c r="D831" s="1" t="str">
        <f>TEXT(FMData[[#This Row],[Show_Date]],"mmm")</f>
        <v>Sep</v>
      </c>
      <c r="E831" s="1" t="str">
        <f>TEXT(FMData[[#This Row],[Show_Date]],"ddd")</f>
        <v>Sat</v>
      </c>
      <c r="F831" t="s">
        <v>11</v>
      </c>
      <c r="G831" t="s">
        <v>29</v>
      </c>
      <c r="H831">
        <v>1</v>
      </c>
      <c r="I831">
        <v>30</v>
      </c>
      <c r="J831" t="s">
        <v>23</v>
      </c>
      <c r="K831" t="s">
        <v>18</v>
      </c>
      <c r="L831">
        <v>30</v>
      </c>
    </row>
    <row r="832" spans="1:12" x14ac:dyDescent="0.3">
      <c r="A832">
        <v>306</v>
      </c>
      <c r="B832" t="s">
        <v>15</v>
      </c>
      <c r="C832" s="1">
        <v>45896</v>
      </c>
      <c r="D832" s="1" t="str">
        <f>TEXT(FMData[[#This Row],[Show_Date]],"mmm")</f>
        <v>Aug</v>
      </c>
      <c r="E832" s="1" t="str">
        <f>TEXT(FMData[[#This Row],[Show_Date]],"ddd")</f>
        <v>Wed</v>
      </c>
      <c r="F832" t="s">
        <v>11</v>
      </c>
      <c r="G832" t="s">
        <v>17</v>
      </c>
      <c r="H832">
        <v>4</v>
      </c>
      <c r="I832">
        <v>12</v>
      </c>
      <c r="J832" t="s">
        <v>23</v>
      </c>
      <c r="K832" t="s">
        <v>18</v>
      </c>
      <c r="L832">
        <v>48</v>
      </c>
    </row>
    <row r="833" spans="1:12" x14ac:dyDescent="0.3">
      <c r="A833">
        <v>1226</v>
      </c>
      <c r="B833" t="s">
        <v>10</v>
      </c>
      <c r="C833" s="1">
        <v>45872</v>
      </c>
      <c r="D833" s="1" t="str">
        <f>TEXT(FMData[[#This Row],[Show_Date]],"mmm")</f>
        <v>Aug</v>
      </c>
      <c r="E833" s="1" t="str">
        <f>TEXT(FMData[[#This Row],[Show_Date]],"ddd")</f>
        <v>Sun</v>
      </c>
      <c r="F833" t="s">
        <v>11</v>
      </c>
      <c r="G833" t="s">
        <v>22</v>
      </c>
      <c r="H833">
        <v>2</v>
      </c>
      <c r="I833">
        <v>20</v>
      </c>
      <c r="J833" t="s">
        <v>21</v>
      </c>
      <c r="K833" t="s">
        <v>18</v>
      </c>
      <c r="L833">
        <v>40</v>
      </c>
    </row>
    <row r="834" spans="1:12" x14ac:dyDescent="0.3">
      <c r="A834">
        <v>1076</v>
      </c>
      <c r="B834" t="s">
        <v>15</v>
      </c>
      <c r="C834" s="1">
        <v>45860</v>
      </c>
      <c r="D834" s="1" t="str">
        <f>TEXT(FMData[[#This Row],[Show_Date]],"mmm")</f>
        <v>Jul</v>
      </c>
      <c r="E834" s="1" t="str">
        <f>TEXT(FMData[[#This Row],[Show_Date]],"ddd")</f>
        <v>Tue</v>
      </c>
      <c r="F834" t="s">
        <v>11</v>
      </c>
      <c r="G834" t="s">
        <v>22</v>
      </c>
      <c r="H834">
        <v>4</v>
      </c>
      <c r="I834">
        <v>20</v>
      </c>
      <c r="J834" t="s">
        <v>13</v>
      </c>
      <c r="K834" t="s">
        <v>18</v>
      </c>
      <c r="L834">
        <v>80</v>
      </c>
    </row>
    <row r="835" spans="1:12" x14ac:dyDescent="0.3">
      <c r="A835">
        <v>904</v>
      </c>
      <c r="B835" t="s">
        <v>28</v>
      </c>
      <c r="C835" s="1">
        <v>45886</v>
      </c>
      <c r="D835" s="1" t="str">
        <f>TEXT(FMData[[#This Row],[Show_Date]],"mmm")</f>
        <v>Aug</v>
      </c>
      <c r="E835" s="1" t="str">
        <f>TEXT(FMData[[#This Row],[Show_Date]],"ddd")</f>
        <v>Sun</v>
      </c>
      <c r="F835" t="s">
        <v>11</v>
      </c>
      <c r="G835" t="s">
        <v>17</v>
      </c>
      <c r="H835">
        <v>3</v>
      </c>
      <c r="I835">
        <v>12</v>
      </c>
      <c r="J835" t="s">
        <v>21</v>
      </c>
      <c r="K835" t="s">
        <v>18</v>
      </c>
      <c r="L835">
        <v>36</v>
      </c>
    </row>
    <row r="836" spans="1:12" x14ac:dyDescent="0.3">
      <c r="A836">
        <v>1846</v>
      </c>
      <c r="B836" t="s">
        <v>28</v>
      </c>
      <c r="C836" s="1">
        <v>45892</v>
      </c>
      <c r="D836" s="1" t="str">
        <f>TEXT(FMData[[#This Row],[Show_Date]],"mmm")</f>
        <v>Aug</v>
      </c>
      <c r="E836" s="1" t="str">
        <f>TEXT(FMData[[#This Row],[Show_Date]],"ddd")</f>
        <v>Sat</v>
      </c>
      <c r="F836" t="s">
        <v>11</v>
      </c>
      <c r="G836" t="s">
        <v>30</v>
      </c>
      <c r="H836">
        <v>3</v>
      </c>
      <c r="I836">
        <v>8</v>
      </c>
      <c r="J836" t="s">
        <v>23</v>
      </c>
      <c r="K836" t="s">
        <v>18</v>
      </c>
      <c r="L836">
        <v>24</v>
      </c>
    </row>
    <row r="837" spans="1:12" x14ac:dyDescent="0.3">
      <c r="A837">
        <v>20</v>
      </c>
      <c r="B837" t="s">
        <v>32</v>
      </c>
      <c r="C837" s="1">
        <v>45920</v>
      </c>
      <c r="D837" s="1" t="str">
        <f>TEXT(FMData[[#This Row],[Show_Date]],"mmm")</f>
        <v>Sep</v>
      </c>
      <c r="E837" s="1" t="str">
        <f>TEXT(FMData[[#This Row],[Show_Date]],"ddd")</f>
        <v>Sat</v>
      </c>
      <c r="F837" t="s">
        <v>11</v>
      </c>
      <c r="G837" t="s">
        <v>30</v>
      </c>
      <c r="H837">
        <v>4</v>
      </c>
      <c r="I837">
        <v>8</v>
      </c>
      <c r="J837" t="s">
        <v>21</v>
      </c>
      <c r="K837" t="s">
        <v>18</v>
      </c>
      <c r="L837">
        <v>32</v>
      </c>
    </row>
    <row r="838" spans="1:12" x14ac:dyDescent="0.3">
      <c r="A838">
        <v>961</v>
      </c>
      <c r="B838" t="s">
        <v>24</v>
      </c>
      <c r="C838" s="1">
        <v>45881</v>
      </c>
      <c r="D838" s="1" t="str">
        <f>TEXT(FMData[[#This Row],[Show_Date]],"mmm")</f>
        <v>Aug</v>
      </c>
      <c r="E838" s="1" t="str">
        <f>TEXT(FMData[[#This Row],[Show_Date]],"ddd")</f>
        <v>Tue</v>
      </c>
      <c r="F838" t="s">
        <v>11</v>
      </c>
      <c r="G838" t="s">
        <v>17</v>
      </c>
      <c r="H838">
        <v>4</v>
      </c>
      <c r="I838">
        <v>12</v>
      </c>
      <c r="J838" t="s">
        <v>23</v>
      </c>
      <c r="K838" t="s">
        <v>18</v>
      </c>
      <c r="L838">
        <v>48</v>
      </c>
    </row>
    <row r="839" spans="1:12" x14ac:dyDescent="0.3">
      <c r="A839">
        <v>1429</v>
      </c>
      <c r="B839" t="s">
        <v>10</v>
      </c>
      <c r="C839" s="1">
        <v>45884</v>
      </c>
      <c r="D839" s="1" t="str">
        <f>TEXT(FMData[[#This Row],[Show_Date]],"mmm")</f>
        <v>Aug</v>
      </c>
      <c r="E839" s="1" t="str">
        <f>TEXT(FMData[[#This Row],[Show_Date]],"ddd")</f>
        <v>Fri</v>
      </c>
      <c r="F839" t="s">
        <v>11</v>
      </c>
      <c r="G839" t="s">
        <v>22</v>
      </c>
      <c r="H839">
        <v>4</v>
      </c>
      <c r="I839">
        <v>20</v>
      </c>
      <c r="J839" t="s">
        <v>13</v>
      </c>
      <c r="K839" t="s">
        <v>18</v>
      </c>
      <c r="L839">
        <v>80</v>
      </c>
    </row>
    <row r="840" spans="1:12" x14ac:dyDescent="0.3">
      <c r="A840">
        <v>1150</v>
      </c>
      <c r="B840" t="s">
        <v>24</v>
      </c>
      <c r="C840" s="1">
        <v>45849</v>
      </c>
      <c r="D840" s="1" t="str">
        <f>TEXT(FMData[[#This Row],[Show_Date]],"mmm")</f>
        <v>Jul</v>
      </c>
      <c r="E840" s="1" t="str">
        <f>TEXT(FMData[[#This Row],[Show_Date]],"ddd")</f>
        <v>Fri</v>
      </c>
      <c r="F840" t="s">
        <v>11</v>
      </c>
      <c r="G840" t="s">
        <v>17</v>
      </c>
      <c r="H840">
        <v>4</v>
      </c>
      <c r="I840">
        <v>12</v>
      </c>
      <c r="J840" t="s">
        <v>21</v>
      </c>
      <c r="K840" t="s">
        <v>18</v>
      </c>
      <c r="L840">
        <v>48</v>
      </c>
    </row>
    <row r="841" spans="1:12" x14ac:dyDescent="0.3">
      <c r="A841">
        <v>1445</v>
      </c>
      <c r="B841" t="s">
        <v>32</v>
      </c>
      <c r="C841" s="1">
        <v>45850</v>
      </c>
      <c r="D841" s="1" t="str">
        <f>TEXT(FMData[[#This Row],[Show_Date]],"mmm")</f>
        <v>Jul</v>
      </c>
      <c r="E841" s="1" t="str">
        <f>TEXT(FMData[[#This Row],[Show_Date]],"ddd")</f>
        <v>Sat</v>
      </c>
      <c r="F841" t="s">
        <v>11</v>
      </c>
      <c r="G841" t="s">
        <v>29</v>
      </c>
      <c r="H841">
        <v>4</v>
      </c>
      <c r="I841">
        <v>30</v>
      </c>
      <c r="J841" t="s">
        <v>23</v>
      </c>
      <c r="K841" t="s">
        <v>18</v>
      </c>
      <c r="L841">
        <v>120</v>
      </c>
    </row>
    <row r="842" spans="1:12" x14ac:dyDescent="0.3">
      <c r="A842">
        <v>156</v>
      </c>
      <c r="B842" t="s">
        <v>26</v>
      </c>
      <c r="C842" s="1">
        <v>45857</v>
      </c>
      <c r="D842" s="1" t="str">
        <f>TEXT(FMData[[#This Row],[Show_Date]],"mmm")</f>
        <v>Jul</v>
      </c>
      <c r="E842" s="1" t="str">
        <f>TEXT(FMData[[#This Row],[Show_Date]],"ddd")</f>
        <v>Sat</v>
      </c>
      <c r="F842" t="s">
        <v>11</v>
      </c>
      <c r="G842" t="s">
        <v>17</v>
      </c>
      <c r="H842">
        <v>4</v>
      </c>
      <c r="I842">
        <v>12</v>
      </c>
      <c r="J842" t="s">
        <v>23</v>
      </c>
      <c r="K842" t="s">
        <v>18</v>
      </c>
      <c r="L842">
        <v>48</v>
      </c>
    </row>
    <row r="843" spans="1:12" x14ac:dyDescent="0.3">
      <c r="A843">
        <v>1940</v>
      </c>
      <c r="B843" t="s">
        <v>28</v>
      </c>
      <c r="C843" s="1">
        <v>45911</v>
      </c>
      <c r="D843" s="1" t="str">
        <f>TEXT(FMData[[#This Row],[Show_Date]],"mmm")</f>
        <v>Sep</v>
      </c>
      <c r="E843" s="1" t="str">
        <f>TEXT(FMData[[#This Row],[Show_Date]],"ddd")</f>
        <v>Thu</v>
      </c>
      <c r="F843" t="s">
        <v>11</v>
      </c>
      <c r="G843" t="s">
        <v>17</v>
      </c>
      <c r="H843">
        <v>3</v>
      </c>
      <c r="I843">
        <v>12</v>
      </c>
      <c r="J843" t="s">
        <v>23</v>
      </c>
      <c r="K843" t="s">
        <v>18</v>
      </c>
      <c r="L843">
        <v>36</v>
      </c>
    </row>
    <row r="844" spans="1:12" x14ac:dyDescent="0.3">
      <c r="A844">
        <v>1410</v>
      </c>
      <c r="B844" t="s">
        <v>26</v>
      </c>
      <c r="C844" s="1">
        <v>45857</v>
      </c>
      <c r="D844" s="1" t="str">
        <f>TEXT(FMData[[#This Row],[Show_Date]],"mmm")</f>
        <v>Jul</v>
      </c>
      <c r="E844" s="1" t="str">
        <f>TEXT(FMData[[#This Row],[Show_Date]],"ddd")</f>
        <v>Sat</v>
      </c>
      <c r="F844" t="s">
        <v>11</v>
      </c>
      <c r="G844" t="s">
        <v>17</v>
      </c>
      <c r="H844">
        <v>5</v>
      </c>
      <c r="I844">
        <v>12</v>
      </c>
      <c r="J844" t="s">
        <v>23</v>
      </c>
      <c r="K844" t="s">
        <v>18</v>
      </c>
      <c r="L844">
        <v>60</v>
      </c>
    </row>
    <row r="845" spans="1:12" x14ac:dyDescent="0.3">
      <c r="A845">
        <v>1791</v>
      </c>
      <c r="B845" t="s">
        <v>15</v>
      </c>
      <c r="C845" s="1">
        <v>45892</v>
      </c>
      <c r="D845" s="1" t="str">
        <f>TEXT(FMData[[#This Row],[Show_Date]],"mmm")</f>
        <v>Aug</v>
      </c>
      <c r="E845" s="1" t="str">
        <f>TEXT(FMData[[#This Row],[Show_Date]],"ddd")</f>
        <v>Sat</v>
      </c>
      <c r="F845" t="s">
        <v>11</v>
      </c>
      <c r="G845" t="s">
        <v>17</v>
      </c>
      <c r="H845">
        <v>4</v>
      </c>
      <c r="I845">
        <v>12</v>
      </c>
      <c r="J845" t="s">
        <v>21</v>
      </c>
      <c r="K845" t="s">
        <v>18</v>
      </c>
      <c r="L845">
        <v>48</v>
      </c>
    </row>
    <row r="846" spans="1:12" x14ac:dyDescent="0.3">
      <c r="A846">
        <v>1882</v>
      </c>
      <c r="B846" t="s">
        <v>26</v>
      </c>
      <c r="C846" s="1">
        <v>45846</v>
      </c>
      <c r="D846" s="1" t="str">
        <f>TEXT(FMData[[#This Row],[Show_Date]],"mmm")</f>
        <v>Jul</v>
      </c>
      <c r="E846" s="1" t="str">
        <f>TEXT(FMData[[#This Row],[Show_Date]],"ddd")</f>
        <v>Tue</v>
      </c>
      <c r="F846" t="s">
        <v>11</v>
      </c>
      <c r="G846" t="s">
        <v>30</v>
      </c>
      <c r="H846">
        <v>3</v>
      </c>
      <c r="I846">
        <v>8</v>
      </c>
      <c r="J846" t="s">
        <v>23</v>
      </c>
      <c r="K846" t="s">
        <v>18</v>
      </c>
      <c r="L846">
        <v>24</v>
      </c>
    </row>
    <row r="847" spans="1:12" x14ac:dyDescent="0.3">
      <c r="A847">
        <v>1171</v>
      </c>
      <c r="B847" t="s">
        <v>19</v>
      </c>
      <c r="C847" s="1">
        <v>45852</v>
      </c>
      <c r="D847" s="1" t="str">
        <f>TEXT(FMData[[#This Row],[Show_Date]],"mmm")</f>
        <v>Jul</v>
      </c>
      <c r="E847" s="1" t="str">
        <f>TEXT(FMData[[#This Row],[Show_Date]],"ddd")</f>
        <v>Mon</v>
      </c>
      <c r="F847" t="s">
        <v>11</v>
      </c>
      <c r="G847" t="s">
        <v>30</v>
      </c>
      <c r="H847">
        <v>4</v>
      </c>
      <c r="I847">
        <v>8</v>
      </c>
      <c r="J847" t="s">
        <v>13</v>
      </c>
      <c r="K847" t="s">
        <v>18</v>
      </c>
      <c r="L847">
        <v>32</v>
      </c>
    </row>
    <row r="848" spans="1:12" x14ac:dyDescent="0.3">
      <c r="A848">
        <v>579</v>
      </c>
      <c r="B848" t="s">
        <v>26</v>
      </c>
      <c r="C848" s="1">
        <v>45922</v>
      </c>
      <c r="D848" s="1" t="str">
        <f>TEXT(FMData[[#This Row],[Show_Date]],"mmm")</f>
        <v>Sep</v>
      </c>
      <c r="E848" s="1" t="str">
        <f>TEXT(FMData[[#This Row],[Show_Date]],"ddd")</f>
        <v>Mon</v>
      </c>
      <c r="F848" t="s">
        <v>11</v>
      </c>
      <c r="G848" t="s">
        <v>17</v>
      </c>
      <c r="H848">
        <v>2</v>
      </c>
      <c r="I848">
        <v>12</v>
      </c>
      <c r="J848" t="s">
        <v>21</v>
      </c>
      <c r="K848" t="s">
        <v>18</v>
      </c>
      <c r="L848">
        <v>24</v>
      </c>
    </row>
    <row r="849" spans="1:12" x14ac:dyDescent="0.3">
      <c r="A849">
        <v>322</v>
      </c>
      <c r="B849" t="s">
        <v>15</v>
      </c>
      <c r="C849" s="1">
        <v>45850</v>
      </c>
      <c r="D849" s="1" t="str">
        <f>TEXT(FMData[[#This Row],[Show_Date]],"mmm")</f>
        <v>Jul</v>
      </c>
      <c r="E849" s="1" t="str">
        <f>TEXT(FMData[[#This Row],[Show_Date]],"ddd")</f>
        <v>Sat</v>
      </c>
      <c r="F849" t="s">
        <v>11</v>
      </c>
      <c r="G849" t="s">
        <v>30</v>
      </c>
      <c r="H849">
        <v>1</v>
      </c>
      <c r="I849">
        <v>8</v>
      </c>
      <c r="J849" t="s">
        <v>21</v>
      </c>
      <c r="K849" t="s">
        <v>18</v>
      </c>
      <c r="L849">
        <v>8</v>
      </c>
    </row>
    <row r="850" spans="1:12" x14ac:dyDescent="0.3">
      <c r="A850">
        <v>1010</v>
      </c>
      <c r="B850" t="s">
        <v>19</v>
      </c>
      <c r="C850" s="1">
        <v>45846</v>
      </c>
      <c r="D850" s="1" t="str">
        <f>TEXT(FMData[[#This Row],[Show_Date]],"mmm")</f>
        <v>Jul</v>
      </c>
      <c r="E850" s="1" t="str">
        <f>TEXT(FMData[[#This Row],[Show_Date]],"ddd")</f>
        <v>Tue</v>
      </c>
      <c r="F850" t="s">
        <v>11</v>
      </c>
      <c r="G850" t="s">
        <v>17</v>
      </c>
      <c r="H850">
        <v>4</v>
      </c>
      <c r="I850">
        <v>12</v>
      </c>
      <c r="J850" t="s">
        <v>13</v>
      </c>
      <c r="K850" t="s">
        <v>18</v>
      </c>
      <c r="L850">
        <v>48</v>
      </c>
    </row>
    <row r="851" spans="1:12" x14ac:dyDescent="0.3">
      <c r="A851">
        <v>1717</v>
      </c>
      <c r="B851" t="s">
        <v>19</v>
      </c>
      <c r="C851" s="1">
        <v>45928</v>
      </c>
      <c r="D851" s="1" t="str">
        <f>TEXT(FMData[[#This Row],[Show_Date]],"mmm")</f>
        <v>Sep</v>
      </c>
      <c r="E851" s="1" t="str">
        <f>TEXT(FMData[[#This Row],[Show_Date]],"ddd")</f>
        <v>Sun</v>
      </c>
      <c r="F851" t="s">
        <v>11</v>
      </c>
      <c r="G851" t="s">
        <v>17</v>
      </c>
      <c r="H851">
        <v>1</v>
      </c>
      <c r="I851">
        <v>12</v>
      </c>
      <c r="J851" t="s">
        <v>23</v>
      </c>
      <c r="K851" t="s">
        <v>18</v>
      </c>
      <c r="L851">
        <v>12</v>
      </c>
    </row>
    <row r="852" spans="1:12" x14ac:dyDescent="0.3">
      <c r="A852">
        <v>1555</v>
      </c>
      <c r="B852" t="s">
        <v>31</v>
      </c>
      <c r="C852" s="1">
        <v>45877</v>
      </c>
      <c r="D852" s="1" t="str">
        <f>TEXT(FMData[[#This Row],[Show_Date]],"mmm")</f>
        <v>Aug</v>
      </c>
      <c r="E852" s="1" t="str">
        <f>TEXT(FMData[[#This Row],[Show_Date]],"ddd")</f>
        <v>Fri</v>
      </c>
      <c r="F852" t="s">
        <v>11</v>
      </c>
      <c r="G852" t="s">
        <v>17</v>
      </c>
      <c r="H852">
        <v>1</v>
      </c>
      <c r="I852">
        <v>12</v>
      </c>
      <c r="J852" t="s">
        <v>21</v>
      </c>
      <c r="K852" t="s">
        <v>18</v>
      </c>
      <c r="L852">
        <v>12</v>
      </c>
    </row>
    <row r="853" spans="1:12" x14ac:dyDescent="0.3">
      <c r="A853">
        <v>975</v>
      </c>
      <c r="B853" t="s">
        <v>31</v>
      </c>
      <c r="C853" s="1">
        <v>45885</v>
      </c>
      <c r="D853" s="1" t="str">
        <f>TEXT(FMData[[#This Row],[Show_Date]],"mmm")</f>
        <v>Aug</v>
      </c>
      <c r="E853" s="1" t="str">
        <f>TEXT(FMData[[#This Row],[Show_Date]],"ddd")</f>
        <v>Sat</v>
      </c>
      <c r="F853" t="s">
        <v>11</v>
      </c>
      <c r="G853" t="s">
        <v>17</v>
      </c>
      <c r="H853">
        <v>3</v>
      </c>
      <c r="I853">
        <v>12</v>
      </c>
      <c r="J853" t="s">
        <v>23</v>
      </c>
      <c r="K853" t="s">
        <v>18</v>
      </c>
      <c r="L853">
        <v>36</v>
      </c>
    </row>
    <row r="854" spans="1:12" x14ac:dyDescent="0.3">
      <c r="A854">
        <v>1084</v>
      </c>
      <c r="B854" t="s">
        <v>31</v>
      </c>
      <c r="C854" s="1">
        <v>45864</v>
      </c>
      <c r="D854" s="1" t="str">
        <f>TEXT(FMData[[#This Row],[Show_Date]],"mmm")</f>
        <v>Jul</v>
      </c>
      <c r="E854" s="1" t="str">
        <f>TEXT(FMData[[#This Row],[Show_Date]],"ddd")</f>
        <v>Sat</v>
      </c>
      <c r="F854" t="s">
        <v>11</v>
      </c>
      <c r="G854" t="s">
        <v>12</v>
      </c>
      <c r="H854">
        <v>3</v>
      </c>
      <c r="I854">
        <v>25</v>
      </c>
      <c r="J854" t="s">
        <v>13</v>
      </c>
      <c r="K854" t="s">
        <v>18</v>
      </c>
      <c r="L854">
        <v>75</v>
      </c>
    </row>
    <row r="855" spans="1:12" x14ac:dyDescent="0.3">
      <c r="A855">
        <v>1990</v>
      </c>
      <c r="B855" t="s">
        <v>15</v>
      </c>
      <c r="C855" s="1">
        <v>45900</v>
      </c>
      <c r="D855" s="1" t="str">
        <f>TEXT(FMData[[#This Row],[Show_Date]],"mmm")</f>
        <v>Aug</v>
      </c>
      <c r="E855" s="1" t="str">
        <f>TEXT(FMData[[#This Row],[Show_Date]],"ddd")</f>
        <v>Sun</v>
      </c>
      <c r="F855" t="s">
        <v>11</v>
      </c>
      <c r="G855" t="s">
        <v>22</v>
      </c>
      <c r="H855">
        <v>2</v>
      </c>
      <c r="I855">
        <v>20</v>
      </c>
      <c r="J855" t="s">
        <v>21</v>
      </c>
      <c r="K855" t="s">
        <v>18</v>
      </c>
      <c r="L855">
        <v>40</v>
      </c>
    </row>
    <row r="856" spans="1:12" x14ac:dyDescent="0.3">
      <c r="A856">
        <v>1396</v>
      </c>
      <c r="B856" t="s">
        <v>10</v>
      </c>
      <c r="C856" s="1">
        <v>45925</v>
      </c>
      <c r="D856" s="1" t="str">
        <f>TEXT(FMData[[#This Row],[Show_Date]],"mmm")</f>
        <v>Sep</v>
      </c>
      <c r="E856" s="1" t="str">
        <f>TEXT(FMData[[#This Row],[Show_Date]],"ddd")</f>
        <v>Thu</v>
      </c>
      <c r="F856" t="s">
        <v>11</v>
      </c>
      <c r="G856" t="s">
        <v>29</v>
      </c>
      <c r="H856">
        <v>3</v>
      </c>
      <c r="I856">
        <v>30</v>
      </c>
      <c r="J856" t="s">
        <v>23</v>
      </c>
      <c r="K856" t="s">
        <v>18</v>
      </c>
      <c r="L856">
        <v>90</v>
      </c>
    </row>
    <row r="857" spans="1:12" x14ac:dyDescent="0.3">
      <c r="A857">
        <v>46</v>
      </c>
      <c r="B857" t="s">
        <v>31</v>
      </c>
      <c r="C857" s="1">
        <v>45891</v>
      </c>
      <c r="D857" s="1" t="str">
        <f>TEXT(FMData[[#This Row],[Show_Date]],"mmm")</f>
        <v>Aug</v>
      </c>
      <c r="E857" s="1" t="str">
        <f>TEXT(FMData[[#This Row],[Show_Date]],"ddd")</f>
        <v>Fri</v>
      </c>
      <c r="F857" t="s">
        <v>11</v>
      </c>
      <c r="G857" t="s">
        <v>30</v>
      </c>
      <c r="H857">
        <v>2</v>
      </c>
      <c r="I857">
        <v>8</v>
      </c>
      <c r="J857" t="s">
        <v>13</v>
      </c>
      <c r="K857" t="s">
        <v>18</v>
      </c>
      <c r="L857">
        <v>16</v>
      </c>
    </row>
    <row r="858" spans="1:12" x14ac:dyDescent="0.3">
      <c r="A858">
        <v>210</v>
      </c>
      <c r="B858" t="s">
        <v>15</v>
      </c>
      <c r="C858" s="1">
        <v>45892</v>
      </c>
      <c r="D858" s="1" t="str">
        <f>TEXT(FMData[[#This Row],[Show_Date]],"mmm")</f>
        <v>Aug</v>
      </c>
      <c r="E858" s="1" t="str">
        <f>TEXT(FMData[[#This Row],[Show_Date]],"ddd")</f>
        <v>Sat</v>
      </c>
      <c r="F858" t="s">
        <v>11</v>
      </c>
      <c r="G858" t="s">
        <v>29</v>
      </c>
      <c r="H858">
        <v>1</v>
      </c>
      <c r="I858">
        <v>30</v>
      </c>
      <c r="J858" t="s">
        <v>23</v>
      </c>
      <c r="K858" t="s">
        <v>18</v>
      </c>
      <c r="L858">
        <v>30</v>
      </c>
    </row>
    <row r="859" spans="1:12" x14ac:dyDescent="0.3">
      <c r="A859">
        <v>535</v>
      </c>
      <c r="B859" t="s">
        <v>32</v>
      </c>
      <c r="C859" s="1">
        <v>45904</v>
      </c>
      <c r="D859" s="1" t="str">
        <f>TEXT(FMData[[#This Row],[Show_Date]],"mmm")</f>
        <v>Sep</v>
      </c>
      <c r="E859" s="1" t="str">
        <f>TEXT(FMData[[#This Row],[Show_Date]],"ddd")</f>
        <v>Thu</v>
      </c>
      <c r="F859" t="s">
        <v>11</v>
      </c>
      <c r="G859" t="s">
        <v>30</v>
      </c>
      <c r="H859">
        <v>2</v>
      </c>
      <c r="I859">
        <v>8</v>
      </c>
      <c r="J859" t="s">
        <v>21</v>
      </c>
      <c r="K859" t="s">
        <v>18</v>
      </c>
      <c r="L859">
        <v>16</v>
      </c>
    </row>
    <row r="860" spans="1:12" x14ac:dyDescent="0.3">
      <c r="A860">
        <v>87</v>
      </c>
      <c r="B860" t="s">
        <v>10</v>
      </c>
      <c r="C860" s="1">
        <v>45925</v>
      </c>
      <c r="D860" s="1" t="str">
        <f>TEXT(FMData[[#This Row],[Show_Date]],"mmm")</f>
        <v>Sep</v>
      </c>
      <c r="E860" s="1" t="str">
        <f>TEXT(FMData[[#This Row],[Show_Date]],"ddd")</f>
        <v>Thu</v>
      </c>
      <c r="F860" t="s">
        <v>11</v>
      </c>
      <c r="G860" t="s">
        <v>17</v>
      </c>
      <c r="H860">
        <v>3</v>
      </c>
      <c r="I860">
        <v>12</v>
      </c>
      <c r="J860" t="s">
        <v>23</v>
      </c>
      <c r="K860" t="s">
        <v>18</v>
      </c>
      <c r="L860">
        <v>36</v>
      </c>
    </row>
    <row r="861" spans="1:12" x14ac:dyDescent="0.3">
      <c r="A861">
        <v>1692</v>
      </c>
      <c r="B861" t="s">
        <v>10</v>
      </c>
      <c r="C861" s="1">
        <v>45865</v>
      </c>
      <c r="D861" s="1" t="str">
        <f>TEXT(FMData[[#This Row],[Show_Date]],"mmm")</f>
        <v>Jul</v>
      </c>
      <c r="E861" s="1" t="str">
        <f>TEXT(FMData[[#This Row],[Show_Date]],"ddd")</f>
        <v>Sun</v>
      </c>
      <c r="F861" t="s">
        <v>11</v>
      </c>
      <c r="G861" t="s">
        <v>12</v>
      </c>
      <c r="H861">
        <v>3</v>
      </c>
      <c r="I861">
        <v>25</v>
      </c>
      <c r="J861" t="s">
        <v>23</v>
      </c>
      <c r="K861" t="s">
        <v>18</v>
      </c>
      <c r="L861">
        <v>75</v>
      </c>
    </row>
    <row r="862" spans="1:12" x14ac:dyDescent="0.3">
      <c r="A862">
        <v>1652</v>
      </c>
      <c r="B862" t="s">
        <v>10</v>
      </c>
      <c r="C862" s="1">
        <v>45841</v>
      </c>
      <c r="D862" s="1" t="str">
        <f>TEXT(FMData[[#This Row],[Show_Date]],"mmm")</f>
        <v>Jul</v>
      </c>
      <c r="E862" s="1" t="str">
        <f>TEXT(FMData[[#This Row],[Show_Date]],"ddd")</f>
        <v>Thu</v>
      </c>
      <c r="F862" t="s">
        <v>11</v>
      </c>
      <c r="G862" t="s">
        <v>17</v>
      </c>
      <c r="H862">
        <v>1</v>
      </c>
      <c r="I862">
        <v>12</v>
      </c>
      <c r="J862" t="s">
        <v>23</v>
      </c>
      <c r="K862" t="s">
        <v>18</v>
      </c>
      <c r="L862">
        <v>12</v>
      </c>
    </row>
    <row r="863" spans="1:12" x14ac:dyDescent="0.3">
      <c r="A863">
        <v>1594</v>
      </c>
      <c r="B863" t="s">
        <v>31</v>
      </c>
      <c r="C863" s="1">
        <v>45881</v>
      </c>
      <c r="D863" s="1" t="str">
        <f>TEXT(FMData[[#This Row],[Show_Date]],"mmm")</f>
        <v>Aug</v>
      </c>
      <c r="E863" s="1" t="str">
        <f>TEXT(FMData[[#This Row],[Show_Date]],"ddd")</f>
        <v>Tue</v>
      </c>
      <c r="F863" t="s">
        <v>11</v>
      </c>
      <c r="G863" t="s">
        <v>12</v>
      </c>
      <c r="H863">
        <v>5</v>
      </c>
      <c r="I863">
        <v>25</v>
      </c>
      <c r="J863" t="s">
        <v>13</v>
      </c>
      <c r="K863" t="s">
        <v>18</v>
      </c>
      <c r="L863">
        <v>125</v>
      </c>
    </row>
    <row r="864" spans="1:12" x14ac:dyDescent="0.3">
      <c r="A864">
        <v>522</v>
      </c>
      <c r="B864" t="s">
        <v>28</v>
      </c>
      <c r="C864" s="1">
        <v>45850</v>
      </c>
      <c r="D864" s="1" t="str">
        <f>TEXT(FMData[[#This Row],[Show_Date]],"mmm")</f>
        <v>Jul</v>
      </c>
      <c r="E864" s="1" t="str">
        <f>TEXT(FMData[[#This Row],[Show_Date]],"ddd")</f>
        <v>Sat</v>
      </c>
      <c r="F864" t="s">
        <v>11</v>
      </c>
      <c r="G864" t="s">
        <v>17</v>
      </c>
      <c r="H864">
        <v>2</v>
      </c>
      <c r="I864">
        <v>12</v>
      </c>
      <c r="J864" t="s">
        <v>21</v>
      </c>
      <c r="K864" t="s">
        <v>18</v>
      </c>
      <c r="L864">
        <v>24</v>
      </c>
    </row>
    <row r="865" spans="1:12" x14ac:dyDescent="0.3">
      <c r="A865">
        <v>264</v>
      </c>
      <c r="B865" t="s">
        <v>24</v>
      </c>
      <c r="C865" s="1">
        <v>45886</v>
      </c>
      <c r="D865" s="1" t="str">
        <f>TEXT(FMData[[#This Row],[Show_Date]],"mmm")</f>
        <v>Aug</v>
      </c>
      <c r="E865" s="1" t="str">
        <f>TEXT(FMData[[#This Row],[Show_Date]],"ddd")</f>
        <v>Sun</v>
      </c>
      <c r="F865" t="s">
        <v>11</v>
      </c>
      <c r="G865" t="s">
        <v>17</v>
      </c>
      <c r="H865">
        <v>3</v>
      </c>
      <c r="I865">
        <v>12</v>
      </c>
      <c r="J865" t="s">
        <v>23</v>
      </c>
      <c r="K865" t="s">
        <v>18</v>
      </c>
      <c r="L865">
        <v>36</v>
      </c>
    </row>
    <row r="866" spans="1:12" x14ac:dyDescent="0.3">
      <c r="A866">
        <v>1404</v>
      </c>
      <c r="B866" t="s">
        <v>10</v>
      </c>
      <c r="C866" s="1">
        <v>45920</v>
      </c>
      <c r="D866" s="1" t="str">
        <f>TEXT(FMData[[#This Row],[Show_Date]],"mmm")</f>
        <v>Sep</v>
      </c>
      <c r="E866" s="1" t="str">
        <f>TEXT(FMData[[#This Row],[Show_Date]],"ddd")</f>
        <v>Sat</v>
      </c>
      <c r="F866" t="s">
        <v>11</v>
      </c>
      <c r="G866" t="s">
        <v>17</v>
      </c>
      <c r="H866">
        <v>2</v>
      </c>
      <c r="I866">
        <v>12</v>
      </c>
      <c r="J866" t="s">
        <v>13</v>
      </c>
      <c r="K866" t="s">
        <v>18</v>
      </c>
      <c r="L866">
        <v>24</v>
      </c>
    </row>
    <row r="867" spans="1:12" x14ac:dyDescent="0.3">
      <c r="A867">
        <v>1106</v>
      </c>
      <c r="B867" t="s">
        <v>31</v>
      </c>
      <c r="C867" s="1">
        <v>45845</v>
      </c>
      <c r="D867" s="1" t="str">
        <f>TEXT(FMData[[#This Row],[Show_Date]],"mmm")</f>
        <v>Jul</v>
      </c>
      <c r="E867" s="1" t="str">
        <f>TEXT(FMData[[#This Row],[Show_Date]],"ddd")</f>
        <v>Mon</v>
      </c>
      <c r="F867" t="s">
        <v>11</v>
      </c>
      <c r="G867" t="s">
        <v>17</v>
      </c>
      <c r="H867">
        <v>5</v>
      </c>
      <c r="I867">
        <v>12</v>
      </c>
      <c r="J867" t="s">
        <v>23</v>
      </c>
      <c r="K867" t="s">
        <v>18</v>
      </c>
      <c r="L867">
        <v>60</v>
      </c>
    </row>
    <row r="868" spans="1:12" x14ac:dyDescent="0.3">
      <c r="A868">
        <v>927</v>
      </c>
      <c r="B868" t="s">
        <v>15</v>
      </c>
      <c r="C868" s="1">
        <v>45850</v>
      </c>
      <c r="D868" s="1" t="str">
        <f>TEXT(FMData[[#This Row],[Show_Date]],"mmm")</f>
        <v>Jul</v>
      </c>
      <c r="E868" s="1" t="str">
        <f>TEXT(FMData[[#This Row],[Show_Date]],"ddd")</f>
        <v>Sat</v>
      </c>
      <c r="F868" t="s">
        <v>11</v>
      </c>
      <c r="G868" t="s">
        <v>22</v>
      </c>
      <c r="H868">
        <v>2</v>
      </c>
      <c r="I868">
        <v>20</v>
      </c>
      <c r="J868" t="s">
        <v>21</v>
      </c>
      <c r="K868" t="s">
        <v>18</v>
      </c>
      <c r="L868">
        <v>40</v>
      </c>
    </row>
    <row r="869" spans="1:12" x14ac:dyDescent="0.3">
      <c r="A869">
        <v>467</v>
      </c>
      <c r="B869" t="s">
        <v>19</v>
      </c>
      <c r="C869" s="1">
        <v>45864</v>
      </c>
      <c r="D869" s="1" t="str">
        <f>TEXT(FMData[[#This Row],[Show_Date]],"mmm")</f>
        <v>Jul</v>
      </c>
      <c r="E869" s="1" t="str">
        <f>TEXT(FMData[[#This Row],[Show_Date]],"ddd")</f>
        <v>Sat</v>
      </c>
      <c r="F869" t="s">
        <v>11</v>
      </c>
      <c r="G869" t="s">
        <v>17</v>
      </c>
      <c r="H869">
        <v>2</v>
      </c>
      <c r="I869">
        <v>12</v>
      </c>
      <c r="J869" t="s">
        <v>21</v>
      </c>
      <c r="K869" t="s">
        <v>18</v>
      </c>
      <c r="L869">
        <v>24</v>
      </c>
    </row>
    <row r="870" spans="1:12" x14ac:dyDescent="0.3">
      <c r="A870">
        <v>35</v>
      </c>
      <c r="B870" t="s">
        <v>10</v>
      </c>
      <c r="C870" s="1">
        <v>45885</v>
      </c>
      <c r="D870" s="1" t="str">
        <f>TEXT(FMData[[#This Row],[Show_Date]],"mmm")</f>
        <v>Aug</v>
      </c>
      <c r="E870" s="1" t="str">
        <f>TEXT(FMData[[#This Row],[Show_Date]],"ddd")</f>
        <v>Sat</v>
      </c>
      <c r="F870" t="s">
        <v>11</v>
      </c>
      <c r="G870" t="s">
        <v>12</v>
      </c>
      <c r="H870">
        <v>4</v>
      </c>
      <c r="I870">
        <v>25</v>
      </c>
      <c r="J870" t="s">
        <v>21</v>
      </c>
      <c r="K870" t="s">
        <v>18</v>
      </c>
      <c r="L870">
        <v>100</v>
      </c>
    </row>
    <row r="871" spans="1:12" x14ac:dyDescent="0.3">
      <c r="A871">
        <v>706</v>
      </c>
      <c r="B871" t="s">
        <v>15</v>
      </c>
      <c r="C871" s="1">
        <v>45854</v>
      </c>
      <c r="D871" s="1" t="str">
        <f>TEXT(FMData[[#This Row],[Show_Date]],"mmm")</f>
        <v>Jul</v>
      </c>
      <c r="E871" s="1" t="str">
        <f>TEXT(FMData[[#This Row],[Show_Date]],"ddd")</f>
        <v>Wed</v>
      </c>
      <c r="F871" t="s">
        <v>11</v>
      </c>
      <c r="G871" t="s">
        <v>22</v>
      </c>
      <c r="H871">
        <v>4</v>
      </c>
      <c r="I871">
        <v>20</v>
      </c>
      <c r="J871" t="s">
        <v>23</v>
      </c>
      <c r="K871" t="s">
        <v>18</v>
      </c>
      <c r="L871">
        <v>80</v>
      </c>
    </row>
    <row r="872" spans="1:12" x14ac:dyDescent="0.3">
      <c r="A872">
        <v>109</v>
      </c>
      <c r="B872" t="s">
        <v>10</v>
      </c>
      <c r="C872" s="1">
        <v>45900</v>
      </c>
      <c r="D872" s="1" t="str">
        <f>TEXT(FMData[[#This Row],[Show_Date]],"mmm")</f>
        <v>Aug</v>
      </c>
      <c r="E872" s="1" t="str">
        <f>TEXT(FMData[[#This Row],[Show_Date]],"ddd")</f>
        <v>Sun</v>
      </c>
      <c r="F872" t="s">
        <v>11</v>
      </c>
      <c r="G872" t="s">
        <v>17</v>
      </c>
      <c r="H872">
        <v>1</v>
      </c>
      <c r="I872">
        <v>12</v>
      </c>
      <c r="J872" t="s">
        <v>21</v>
      </c>
      <c r="K872" t="s">
        <v>18</v>
      </c>
      <c r="L872">
        <v>12</v>
      </c>
    </row>
    <row r="873" spans="1:12" x14ac:dyDescent="0.3">
      <c r="A873">
        <v>778</v>
      </c>
      <c r="B873" t="s">
        <v>19</v>
      </c>
      <c r="C873" s="1">
        <v>45878</v>
      </c>
      <c r="D873" s="1" t="str">
        <f>TEXT(FMData[[#This Row],[Show_Date]],"mmm")</f>
        <v>Aug</v>
      </c>
      <c r="E873" s="1" t="str">
        <f>TEXT(FMData[[#This Row],[Show_Date]],"ddd")</f>
        <v>Sat</v>
      </c>
      <c r="F873" t="s">
        <v>11</v>
      </c>
      <c r="G873" t="s">
        <v>17</v>
      </c>
      <c r="H873">
        <v>4</v>
      </c>
      <c r="I873">
        <v>12</v>
      </c>
      <c r="J873" t="s">
        <v>13</v>
      </c>
      <c r="K873" t="s">
        <v>18</v>
      </c>
      <c r="L873">
        <v>48</v>
      </c>
    </row>
    <row r="874" spans="1:12" x14ac:dyDescent="0.3">
      <c r="A874">
        <v>1163</v>
      </c>
      <c r="B874" t="s">
        <v>26</v>
      </c>
      <c r="C874" s="1">
        <v>45928</v>
      </c>
      <c r="D874" s="1" t="str">
        <f>TEXT(FMData[[#This Row],[Show_Date]],"mmm")</f>
        <v>Sep</v>
      </c>
      <c r="E874" s="1" t="str">
        <f>TEXT(FMData[[#This Row],[Show_Date]],"ddd")</f>
        <v>Sun</v>
      </c>
      <c r="F874" t="s">
        <v>11</v>
      </c>
      <c r="G874" t="s">
        <v>17</v>
      </c>
      <c r="H874">
        <v>3</v>
      </c>
      <c r="I874">
        <v>12</v>
      </c>
      <c r="J874" t="s">
        <v>21</v>
      </c>
      <c r="K874" t="s">
        <v>18</v>
      </c>
      <c r="L874">
        <v>36</v>
      </c>
    </row>
    <row r="875" spans="1:12" x14ac:dyDescent="0.3">
      <c r="A875">
        <v>474</v>
      </c>
      <c r="B875" t="s">
        <v>31</v>
      </c>
      <c r="C875" s="1">
        <v>45848</v>
      </c>
      <c r="D875" s="1" t="str">
        <f>TEXT(FMData[[#This Row],[Show_Date]],"mmm")</f>
        <v>Jul</v>
      </c>
      <c r="E875" s="1" t="str">
        <f>TEXT(FMData[[#This Row],[Show_Date]],"ddd")</f>
        <v>Thu</v>
      </c>
      <c r="F875" t="s">
        <v>11</v>
      </c>
      <c r="G875" t="s">
        <v>30</v>
      </c>
      <c r="H875">
        <v>5</v>
      </c>
      <c r="I875">
        <v>8</v>
      </c>
      <c r="J875" t="s">
        <v>21</v>
      </c>
      <c r="K875" t="s">
        <v>18</v>
      </c>
      <c r="L875">
        <v>40</v>
      </c>
    </row>
    <row r="876" spans="1:12" x14ac:dyDescent="0.3">
      <c r="A876">
        <v>448</v>
      </c>
      <c r="B876" t="s">
        <v>10</v>
      </c>
      <c r="C876" s="1">
        <v>45840</v>
      </c>
      <c r="D876" s="1" t="str">
        <f>TEXT(FMData[[#This Row],[Show_Date]],"mmm")</f>
        <v>Jul</v>
      </c>
      <c r="E876" s="1" t="str">
        <f>TEXT(FMData[[#This Row],[Show_Date]],"ddd")</f>
        <v>Wed</v>
      </c>
      <c r="F876" t="s">
        <v>11</v>
      </c>
      <c r="G876" t="s">
        <v>17</v>
      </c>
      <c r="H876">
        <v>2</v>
      </c>
      <c r="I876">
        <v>12</v>
      </c>
      <c r="J876" t="s">
        <v>21</v>
      </c>
      <c r="K876" t="s">
        <v>18</v>
      </c>
      <c r="L876">
        <v>24</v>
      </c>
    </row>
    <row r="877" spans="1:12" x14ac:dyDescent="0.3">
      <c r="A877">
        <v>1587</v>
      </c>
      <c r="B877" t="s">
        <v>24</v>
      </c>
      <c r="C877" s="1">
        <v>45849</v>
      </c>
      <c r="D877" s="1" t="str">
        <f>TEXT(FMData[[#This Row],[Show_Date]],"mmm")</f>
        <v>Jul</v>
      </c>
      <c r="E877" s="1" t="str">
        <f>TEXT(FMData[[#This Row],[Show_Date]],"ddd")</f>
        <v>Fri</v>
      </c>
      <c r="F877" t="s">
        <v>11</v>
      </c>
      <c r="G877" t="s">
        <v>17</v>
      </c>
      <c r="H877">
        <v>4</v>
      </c>
      <c r="I877">
        <v>12</v>
      </c>
      <c r="J877" t="s">
        <v>23</v>
      </c>
      <c r="K877" t="s">
        <v>18</v>
      </c>
      <c r="L877">
        <v>48</v>
      </c>
    </row>
    <row r="878" spans="1:12" x14ac:dyDescent="0.3">
      <c r="A878">
        <v>944</v>
      </c>
      <c r="B878" t="s">
        <v>15</v>
      </c>
      <c r="C878" s="1">
        <v>45843</v>
      </c>
      <c r="D878" s="1" t="str">
        <f>TEXT(FMData[[#This Row],[Show_Date]],"mmm")</f>
        <v>Jul</v>
      </c>
      <c r="E878" s="1" t="str">
        <f>TEXT(FMData[[#This Row],[Show_Date]],"ddd")</f>
        <v>Sat</v>
      </c>
      <c r="F878" t="s">
        <v>11</v>
      </c>
      <c r="G878" t="s">
        <v>30</v>
      </c>
      <c r="H878">
        <v>2</v>
      </c>
      <c r="I878">
        <v>8</v>
      </c>
      <c r="J878" t="s">
        <v>21</v>
      </c>
      <c r="K878" t="s">
        <v>18</v>
      </c>
      <c r="L878">
        <v>16</v>
      </c>
    </row>
    <row r="879" spans="1:12" x14ac:dyDescent="0.3">
      <c r="A879">
        <v>1182</v>
      </c>
      <c r="B879" t="s">
        <v>19</v>
      </c>
      <c r="C879" s="1">
        <v>45865</v>
      </c>
      <c r="D879" s="1" t="str">
        <f>TEXT(FMData[[#This Row],[Show_Date]],"mmm")</f>
        <v>Jul</v>
      </c>
      <c r="E879" s="1" t="str">
        <f>TEXT(FMData[[#This Row],[Show_Date]],"ddd")</f>
        <v>Sun</v>
      </c>
      <c r="F879" t="s">
        <v>11</v>
      </c>
      <c r="G879" t="s">
        <v>17</v>
      </c>
      <c r="H879">
        <v>5</v>
      </c>
      <c r="I879">
        <v>12</v>
      </c>
      <c r="J879" t="s">
        <v>13</v>
      </c>
      <c r="K879" t="s">
        <v>18</v>
      </c>
      <c r="L879">
        <v>60</v>
      </c>
    </row>
    <row r="880" spans="1:12" x14ac:dyDescent="0.3">
      <c r="A880">
        <v>1776</v>
      </c>
      <c r="B880" t="s">
        <v>19</v>
      </c>
      <c r="C880" s="1">
        <v>45847</v>
      </c>
      <c r="D880" s="1" t="str">
        <f>TEXT(FMData[[#This Row],[Show_Date]],"mmm")</f>
        <v>Jul</v>
      </c>
      <c r="E880" s="1" t="str">
        <f>TEXT(FMData[[#This Row],[Show_Date]],"ddd")</f>
        <v>Wed</v>
      </c>
      <c r="F880" t="s">
        <v>11</v>
      </c>
      <c r="G880" t="s">
        <v>29</v>
      </c>
      <c r="H880">
        <v>1</v>
      </c>
      <c r="I880">
        <v>30</v>
      </c>
      <c r="J880" t="s">
        <v>23</v>
      </c>
      <c r="K880" t="s">
        <v>18</v>
      </c>
      <c r="L880">
        <v>30</v>
      </c>
    </row>
    <row r="881" spans="1:12" x14ac:dyDescent="0.3">
      <c r="A881">
        <v>226</v>
      </c>
      <c r="B881" t="s">
        <v>26</v>
      </c>
      <c r="C881" s="1">
        <v>45907</v>
      </c>
      <c r="D881" s="1" t="str">
        <f>TEXT(FMData[[#This Row],[Show_Date]],"mmm")</f>
        <v>Sep</v>
      </c>
      <c r="E881" s="1" t="str">
        <f>TEXT(FMData[[#This Row],[Show_Date]],"ddd")</f>
        <v>Sun</v>
      </c>
      <c r="F881" t="s">
        <v>11</v>
      </c>
      <c r="G881" t="s">
        <v>17</v>
      </c>
      <c r="H881">
        <v>2</v>
      </c>
      <c r="I881">
        <v>12</v>
      </c>
      <c r="J881" t="s">
        <v>13</v>
      </c>
      <c r="K881" t="s">
        <v>18</v>
      </c>
      <c r="L881">
        <v>24</v>
      </c>
    </row>
    <row r="882" spans="1:12" x14ac:dyDescent="0.3">
      <c r="A882">
        <v>78</v>
      </c>
      <c r="B882" t="s">
        <v>31</v>
      </c>
      <c r="C882" s="1">
        <v>45852</v>
      </c>
      <c r="D882" s="1" t="str">
        <f>TEXT(FMData[[#This Row],[Show_Date]],"mmm")</f>
        <v>Jul</v>
      </c>
      <c r="E882" s="1" t="str">
        <f>TEXT(FMData[[#This Row],[Show_Date]],"ddd")</f>
        <v>Mon</v>
      </c>
      <c r="F882" t="s">
        <v>11</v>
      </c>
      <c r="G882" t="s">
        <v>17</v>
      </c>
      <c r="H882">
        <v>4</v>
      </c>
      <c r="I882">
        <v>12</v>
      </c>
      <c r="J882" t="s">
        <v>23</v>
      </c>
      <c r="K882" t="s">
        <v>18</v>
      </c>
      <c r="L882">
        <v>48</v>
      </c>
    </row>
    <row r="883" spans="1:12" x14ac:dyDescent="0.3">
      <c r="A883">
        <v>1512</v>
      </c>
      <c r="B883" t="s">
        <v>28</v>
      </c>
      <c r="C883" s="1">
        <v>45902</v>
      </c>
      <c r="D883" s="1" t="str">
        <f>TEXT(FMData[[#This Row],[Show_Date]],"mmm")</f>
        <v>Sep</v>
      </c>
      <c r="E883" s="1" t="str">
        <f>TEXT(FMData[[#This Row],[Show_Date]],"ddd")</f>
        <v>Tue</v>
      </c>
      <c r="F883" t="s">
        <v>11</v>
      </c>
      <c r="G883" t="s">
        <v>17</v>
      </c>
      <c r="H883">
        <v>1</v>
      </c>
      <c r="I883">
        <v>12</v>
      </c>
      <c r="J883" t="s">
        <v>23</v>
      </c>
      <c r="K883" t="s">
        <v>18</v>
      </c>
      <c r="L883">
        <v>12</v>
      </c>
    </row>
    <row r="884" spans="1:12" x14ac:dyDescent="0.3">
      <c r="A884">
        <v>1026</v>
      </c>
      <c r="B884" t="s">
        <v>10</v>
      </c>
      <c r="C884" s="1">
        <v>45881</v>
      </c>
      <c r="D884" s="1" t="str">
        <f>TEXT(FMData[[#This Row],[Show_Date]],"mmm")</f>
        <v>Aug</v>
      </c>
      <c r="E884" s="1" t="str">
        <f>TEXT(FMData[[#This Row],[Show_Date]],"ddd")</f>
        <v>Tue</v>
      </c>
      <c r="F884" t="s">
        <v>11</v>
      </c>
      <c r="G884" t="s">
        <v>17</v>
      </c>
      <c r="H884">
        <v>2</v>
      </c>
      <c r="I884">
        <v>12</v>
      </c>
      <c r="J884" t="s">
        <v>23</v>
      </c>
      <c r="K884" t="s">
        <v>18</v>
      </c>
      <c r="L884">
        <v>24</v>
      </c>
    </row>
    <row r="885" spans="1:12" x14ac:dyDescent="0.3">
      <c r="A885">
        <v>1871</v>
      </c>
      <c r="B885" t="s">
        <v>28</v>
      </c>
      <c r="C885" s="1">
        <v>45858</v>
      </c>
      <c r="D885" s="1" t="str">
        <f>TEXT(FMData[[#This Row],[Show_Date]],"mmm")</f>
        <v>Jul</v>
      </c>
      <c r="E885" s="1" t="str">
        <f>TEXT(FMData[[#This Row],[Show_Date]],"ddd")</f>
        <v>Sun</v>
      </c>
      <c r="F885" t="s">
        <v>11</v>
      </c>
      <c r="G885" t="s">
        <v>17</v>
      </c>
      <c r="H885">
        <v>5</v>
      </c>
      <c r="I885">
        <v>12</v>
      </c>
      <c r="J885" t="s">
        <v>21</v>
      </c>
      <c r="K885" t="s">
        <v>18</v>
      </c>
      <c r="L885">
        <v>60</v>
      </c>
    </row>
    <row r="886" spans="1:12" x14ac:dyDescent="0.3">
      <c r="A886">
        <v>1207</v>
      </c>
      <c r="B886" t="s">
        <v>15</v>
      </c>
      <c r="C886" s="1">
        <v>45865</v>
      </c>
      <c r="D886" s="1" t="str">
        <f>TEXT(FMData[[#This Row],[Show_Date]],"mmm")</f>
        <v>Jul</v>
      </c>
      <c r="E886" s="1" t="str">
        <f>TEXT(FMData[[#This Row],[Show_Date]],"ddd")</f>
        <v>Sun</v>
      </c>
      <c r="F886" t="s">
        <v>11</v>
      </c>
      <c r="G886" t="s">
        <v>22</v>
      </c>
      <c r="H886">
        <v>4</v>
      </c>
      <c r="I886">
        <v>20</v>
      </c>
      <c r="J886" t="s">
        <v>13</v>
      </c>
      <c r="K886" t="s">
        <v>18</v>
      </c>
      <c r="L886">
        <v>80</v>
      </c>
    </row>
    <row r="887" spans="1:12" x14ac:dyDescent="0.3">
      <c r="A887">
        <v>44</v>
      </c>
      <c r="B887" t="s">
        <v>19</v>
      </c>
      <c r="C887" s="1">
        <v>45892</v>
      </c>
      <c r="D887" s="1" t="str">
        <f>TEXT(FMData[[#This Row],[Show_Date]],"mmm")</f>
        <v>Aug</v>
      </c>
      <c r="E887" s="1" t="str">
        <f>TEXT(FMData[[#This Row],[Show_Date]],"ddd")</f>
        <v>Sat</v>
      </c>
      <c r="F887" t="s">
        <v>11</v>
      </c>
      <c r="G887" t="s">
        <v>17</v>
      </c>
      <c r="H887">
        <v>2</v>
      </c>
      <c r="I887">
        <v>12</v>
      </c>
      <c r="J887" t="s">
        <v>23</v>
      </c>
      <c r="K887" t="s">
        <v>18</v>
      </c>
      <c r="L887">
        <v>24</v>
      </c>
    </row>
    <row r="888" spans="1:12" x14ac:dyDescent="0.3">
      <c r="A888">
        <v>1436</v>
      </c>
      <c r="B888" t="s">
        <v>26</v>
      </c>
      <c r="C888" s="1">
        <v>45873</v>
      </c>
      <c r="D888" s="1" t="str">
        <f>TEXT(FMData[[#This Row],[Show_Date]],"mmm")</f>
        <v>Aug</v>
      </c>
      <c r="E888" s="1" t="str">
        <f>TEXT(FMData[[#This Row],[Show_Date]],"ddd")</f>
        <v>Mon</v>
      </c>
      <c r="F888" t="s">
        <v>11</v>
      </c>
      <c r="G888" t="s">
        <v>17</v>
      </c>
      <c r="H888">
        <v>2</v>
      </c>
      <c r="I888">
        <v>12</v>
      </c>
      <c r="J888" t="s">
        <v>13</v>
      </c>
      <c r="K888" t="s">
        <v>18</v>
      </c>
      <c r="L888">
        <v>24</v>
      </c>
    </row>
    <row r="889" spans="1:12" x14ac:dyDescent="0.3">
      <c r="A889">
        <v>1028</v>
      </c>
      <c r="B889" t="s">
        <v>32</v>
      </c>
      <c r="C889" s="1">
        <v>45866</v>
      </c>
      <c r="D889" s="1" t="str">
        <f>TEXT(FMData[[#This Row],[Show_Date]],"mmm")</f>
        <v>Jul</v>
      </c>
      <c r="E889" s="1" t="str">
        <f>TEXT(FMData[[#This Row],[Show_Date]],"ddd")</f>
        <v>Mon</v>
      </c>
      <c r="F889" t="s">
        <v>11</v>
      </c>
      <c r="G889" t="s">
        <v>12</v>
      </c>
      <c r="H889">
        <v>5</v>
      </c>
      <c r="I889">
        <v>25</v>
      </c>
      <c r="J889" t="s">
        <v>21</v>
      </c>
      <c r="K889" t="s">
        <v>18</v>
      </c>
      <c r="L889">
        <v>125</v>
      </c>
    </row>
    <row r="890" spans="1:12" x14ac:dyDescent="0.3">
      <c r="A890">
        <v>951</v>
      </c>
      <c r="B890" t="s">
        <v>32</v>
      </c>
      <c r="C890" s="1">
        <v>45897</v>
      </c>
      <c r="D890" s="1" t="str">
        <f>TEXT(FMData[[#This Row],[Show_Date]],"mmm")</f>
        <v>Aug</v>
      </c>
      <c r="E890" s="1" t="str">
        <f>TEXT(FMData[[#This Row],[Show_Date]],"ddd")</f>
        <v>Thu</v>
      </c>
      <c r="F890" t="s">
        <v>11</v>
      </c>
      <c r="G890" t="s">
        <v>22</v>
      </c>
      <c r="H890">
        <v>4</v>
      </c>
      <c r="I890">
        <v>20</v>
      </c>
      <c r="J890" t="s">
        <v>23</v>
      </c>
      <c r="K890" t="s">
        <v>18</v>
      </c>
      <c r="L890">
        <v>80</v>
      </c>
    </row>
    <row r="891" spans="1:12" x14ac:dyDescent="0.3">
      <c r="A891">
        <v>250</v>
      </c>
      <c r="B891" t="s">
        <v>32</v>
      </c>
      <c r="C891" s="1">
        <v>45848</v>
      </c>
      <c r="D891" s="1" t="str">
        <f>TEXT(FMData[[#This Row],[Show_Date]],"mmm")</f>
        <v>Jul</v>
      </c>
      <c r="E891" s="1" t="str">
        <f>TEXT(FMData[[#This Row],[Show_Date]],"ddd")</f>
        <v>Thu</v>
      </c>
      <c r="F891" t="s">
        <v>11</v>
      </c>
      <c r="G891" t="s">
        <v>17</v>
      </c>
      <c r="H891">
        <v>5</v>
      </c>
      <c r="I891">
        <v>12</v>
      </c>
      <c r="J891" t="s">
        <v>21</v>
      </c>
      <c r="K891" t="s">
        <v>18</v>
      </c>
      <c r="L891">
        <v>60</v>
      </c>
    </row>
    <row r="892" spans="1:12" x14ac:dyDescent="0.3">
      <c r="A892">
        <v>934</v>
      </c>
      <c r="B892" t="s">
        <v>24</v>
      </c>
      <c r="C892" s="1">
        <v>45859</v>
      </c>
      <c r="D892" s="1" t="str">
        <f>TEXT(FMData[[#This Row],[Show_Date]],"mmm")</f>
        <v>Jul</v>
      </c>
      <c r="E892" s="1" t="str">
        <f>TEXT(FMData[[#This Row],[Show_Date]],"ddd")</f>
        <v>Mon</v>
      </c>
      <c r="F892" t="s">
        <v>11</v>
      </c>
      <c r="G892" t="s">
        <v>12</v>
      </c>
      <c r="H892">
        <v>1</v>
      </c>
      <c r="I892">
        <v>25</v>
      </c>
      <c r="J892" t="s">
        <v>23</v>
      </c>
      <c r="K892" t="s">
        <v>18</v>
      </c>
      <c r="L892">
        <v>25</v>
      </c>
    </row>
    <row r="893" spans="1:12" x14ac:dyDescent="0.3">
      <c r="A893">
        <v>1726</v>
      </c>
      <c r="B893" t="s">
        <v>10</v>
      </c>
      <c r="C893" s="1">
        <v>45901</v>
      </c>
      <c r="D893" s="1" t="str">
        <f>TEXT(FMData[[#This Row],[Show_Date]],"mmm")</f>
        <v>Sep</v>
      </c>
      <c r="E893" s="1" t="str">
        <f>TEXT(FMData[[#This Row],[Show_Date]],"ddd")</f>
        <v>Mon</v>
      </c>
      <c r="F893" t="s">
        <v>11</v>
      </c>
      <c r="G893" t="s">
        <v>29</v>
      </c>
      <c r="H893">
        <v>5</v>
      </c>
      <c r="I893">
        <v>30</v>
      </c>
      <c r="J893" t="s">
        <v>21</v>
      </c>
      <c r="K893" t="s">
        <v>18</v>
      </c>
      <c r="L893">
        <v>150</v>
      </c>
    </row>
    <row r="894" spans="1:12" x14ac:dyDescent="0.3">
      <c r="A894">
        <v>1893</v>
      </c>
      <c r="B894" t="s">
        <v>15</v>
      </c>
      <c r="C894" s="1">
        <v>45840</v>
      </c>
      <c r="D894" s="1" t="str">
        <f>TEXT(FMData[[#This Row],[Show_Date]],"mmm")</f>
        <v>Jul</v>
      </c>
      <c r="E894" s="1" t="str">
        <f>TEXT(FMData[[#This Row],[Show_Date]],"ddd")</f>
        <v>Wed</v>
      </c>
      <c r="F894" t="s">
        <v>11</v>
      </c>
      <c r="G894" t="s">
        <v>30</v>
      </c>
      <c r="H894">
        <v>1</v>
      </c>
      <c r="I894">
        <v>8</v>
      </c>
      <c r="J894" t="s">
        <v>13</v>
      </c>
      <c r="K894" t="s">
        <v>18</v>
      </c>
      <c r="L894">
        <v>8</v>
      </c>
    </row>
    <row r="895" spans="1:12" x14ac:dyDescent="0.3">
      <c r="A895">
        <v>1319</v>
      </c>
      <c r="B895" t="s">
        <v>26</v>
      </c>
      <c r="C895" s="1">
        <v>45907</v>
      </c>
      <c r="D895" s="1" t="str">
        <f>TEXT(FMData[[#This Row],[Show_Date]],"mmm")</f>
        <v>Sep</v>
      </c>
      <c r="E895" s="1" t="str">
        <f>TEXT(FMData[[#This Row],[Show_Date]],"ddd")</f>
        <v>Sun</v>
      </c>
      <c r="F895" t="s">
        <v>11</v>
      </c>
      <c r="G895" t="s">
        <v>22</v>
      </c>
      <c r="H895">
        <v>4</v>
      </c>
      <c r="I895">
        <v>20</v>
      </c>
      <c r="J895" t="s">
        <v>13</v>
      </c>
      <c r="K895" t="s">
        <v>18</v>
      </c>
      <c r="L895">
        <v>80</v>
      </c>
    </row>
    <row r="896" spans="1:12" x14ac:dyDescent="0.3">
      <c r="A896">
        <v>1074</v>
      </c>
      <c r="B896" t="s">
        <v>32</v>
      </c>
      <c r="C896" s="1">
        <v>45878</v>
      </c>
      <c r="D896" s="1" t="str">
        <f>TEXT(FMData[[#This Row],[Show_Date]],"mmm")</f>
        <v>Aug</v>
      </c>
      <c r="E896" s="1" t="str">
        <f>TEXT(FMData[[#This Row],[Show_Date]],"ddd")</f>
        <v>Sat</v>
      </c>
      <c r="F896" t="s">
        <v>11</v>
      </c>
      <c r="G896" t="s">
        <v>17</v>
      </c>
      <c r="H896">
        <v>2</v>
      </c>
      <c r="I896">
        <v>12</v>
      </c>
      <c r="J896" t="s">
        <v>21</v>
      </c>
      <c r="K896" t="s">
        <v>18</v>
      </c>
      <c r="L896">
        <v>24</v>
      </c>
    </row>
    <row r="897" spans="1:12" x14ac:dyDescent="0.3">
      <c r="A897">
        <v>120</v>
      </c>
      <c r="B897" t="s">
        <v>15</v>
      </c>
      <c r="C897" s="1">
        <v>45885</v>
      </c>
      <c r="D897" s="1" t="str">
        <f>TEXT(FMData[[#This Row],[Show_Date]],"mmm")</f>
        <v>Aug</v>
      </c>
      <c r="E897" s="1" t="str">
        <f>TEXT(FMData[[#This Row],[Show_Date]],"ddd")</f>
        <v>Sat</v>
      </c>
      <c r="F897" t="s">
        <v>11</v>
      </c>
      <c r="G897" t="s">
        <v>22</v>
      </c>
      <c r="H897">
        <v>1</v>
      </c>
      <c r="I897">
        <v>20</v>
      </c>
      <c r="J897" t="s">
        <v>21</v>
      </c>
      <c r="K897" t="s">
        <v>18</v>
      </c>
      <c r="L897">
        <v>20</v>
      </c>
    </row>
    <row r="898" spans="1:12" x14ac:dyDescent="0.3">
      <c r="A898">
        <v>98</v>
      </c>
      <c r="B898" t="s">
        <v>31</v>
      </c>
      <c r="C898" s="1">
        <v>45886</v>
      </c>
      <c r="D898" s="1" t="str">
        <f>TEXT(FMData[[#This Row],[Show_Date]],"mmm")</f>
        <v>Aug</v>
      </c>
      <c r="E898" s="1" t="str">
        <f>TEXT(FMData[[#This Row],[Show_Date]],"ddd")</f>
        <v>Sun</v>
      </c>
      <c r="F898" t="s">
        <v>11</v>
      </c>
      <c r="G898" t="s">
        <v>12</v>
      </c>
      <c r="H898">
        <v>2</v>
      </c>
      <c r="I898">
        <v>25</v>
      </c>
      <c r="J898" t="s">
        <v>13</v>
      </c>
      <c r="K898" t="s">
        <v>18</v>
      </c>
      <c r="L898">
        <v>50</v>
      </c>
    </row>
    <row r="899" spans="1:12" x14ac:dyDescent="0.3">
      <c r="A899">
        <v>939</v>
      </c>
      <c r="B899" t="s">
        <v>10</v>
      </c>
      <c r="C899" s="1">
        <v>45919</v>
      </c>
      <c r="D899" s="1" t="str">
        <f>TEXT(FMData[[#This Row],[Show_Date]],"mmm")</f>
        <v>Sep</v>
      </c>
      <c r="E899" s="1" t="str">
        <f>TEXT(FMData[[#This Row],[Show_Date]],"ddd")</f>
        <v>Fri</v>
      </c>
      <c r="F899" t="s">
        <v>11</v>
      </c>
      <c r="G899" t="s">
        <v>29</v>
      </c>
      <c r="H899">
        <v>1</v>
      </c>
      <c r="I899">
        <v>30</v>
      </c>
      <c r="J899" t="s">
        <v>13</v>
      </c>
      <c r="K899" t="s">
        <v>18</v>
      </c>
      <c r="L899">
        <v>30</v>
      </c>
    </row>
    <row r="900" spans="1:12" x14ac:dyDescent="0.3">
      <c r="A900">
        <v>457</v>
      </c>
      <c r="B900" t="s">
        <v>10</v>
      </c>
      <c r="C900" s="1">
        <v>45864</v>
      </c>
      <c r="D900" s="1" t="str">
        <f>TEXT(FMData[[#This Row],[Show_Date]],"mmm")</f>
        <v>Jul</v>
      </c>
      <c r="E900" s="1" t="str">
        <f>TEXT(FMData[[#This Row],[Show_Date]],"ddd")</f>
        <v>Sat</v>
      </c>
      <c r="F900" t="s">
        <v>11</v>
      </c>
      <c r="G900" t="s">
        <v>17</v>
      </c>
      <c r="H900">
        <v>1</v>
      </c>
      <c r="I900">
        <v>12</v>
      </c>
      <c r="J900" t="s">
        <v>21</v>
      </c>
      <c r="K900" t="s">
        <v>18</v>
      </c>
      <c r="L900">
        <v>12</v>
      </c>
    </row>
    <row r="901" spans="1:12" x14ac:dyDescent="0.3">
      <c r="A901">
        <v>13</v>
      </c>
      <c r="B901" t="s">
        <v>32</v>
      </c>
      <c r="C901" s="1">
        <v>45856</v>
      </c>
      <c r="D901" s="1" t="str">
        <f>TEXT(FMData[[#This Row],[Show_Date]],"mmm")</f>
        <v>Jul</v>
      </c>
      <c r="E901" s="1" t="str">
        <f>TEXT(FMData[[#This Row],[Show_Date]],"ddd")</f>
        <v>Fri</v>
      </c>
      <c r="F901" t="s">
        <v>11</v>
      </c>
      <c r="G901" t="s">
        <v>29</v>
      </c>
      <c r="H901">
        <v>4</v>
      </c>
      <c r="I901">
        <v>30</v>
      </c>
      <c r="J901" t="s">
        <v>23</v>
      </c>
      <c r="K901" t="s">
        <v>18</v>
      </c>
      <c r="L901">
        <v>120</v>
      </c>
    </row>
    <row r="902" spans="1:12" x14ac:dyDescent="0.3">
      <c r="A902">
        <v>1575</v>
      </c>
      <c r="B902" t="s">
        <v>19</v>
      </c>
      <c r="C902" s="1">
        <v>45877</v>
      </c>
      <c r="D902" s="1" t="str">
        <f>TEXT(FMData[[#This Row],[Show_Date]],"mmm")</f>
        <v>Aug</v>
      </c>
      <c r="E902" s="1" t="str">
        <f>TEXT(FMData[[#This Row],[Show_Date]],"ddd")</f>
        <v>Fri</v>
      </c>
      <c r="F902" t="s">
        <v>11</v>
      </c>
      <c r="G902" t="s">
        <v>22</v>
      </c>
      <c r="H902">
        <v>4</v>
      </c>
      <c r="I902">
        <v>20</v>
      </c>
      <c r="J902" t="s">
        <v>13</v>
      </c>
      <c r="K902" t="s">
        <v>18</v>
      </c>
      <c r="L902">
        <v>80</v>
      </c>
    </row>
    <row r="903" spans="1:12" x14ac:dyDescent="0.3">
      <c r="A903">
        <v>101</v>
      </c>
      <c r="B903" t="s">
        <v>28</v>
      </c>
      <c r="C903" s="1">
        <v>45857</v>
      </c>
      <c r="D903" s="1" t="str">
        <f>TEXT(FMData[[#This Row],[Show_Date]],"mmm")</f>
        <v>Jul</v>
      </c>
      <c r="E903" s="1" t="str">
        <f>TEXT(FMData[[#This Row],[Show_Date]],"ddd")</f>
        <v>Sat</v>
      </c>
      <c r="F903" t="s">
        <v>11</v>
      </c>
      <c r="G903" t="s">
        <v>29</v>
      </c>
      <c r="H903">
        <v>4</v>
      </c>
      <c r="I903">
        <v>30</v>
      </c>
      <c r="J903" t="s">
        <v>21</v>
      </c>
      <c r="K903" t="s">
        <v>18</v>
      </c>
      <c r="L903">
        <v>120</v>
      </c>
    </row>
    <row r="904" spans="1:12" x14ac:dyDescent="0.3">
      <c r="A904">
        <v>224</v>
      </c>
      <c r="B904" t="s">
        <v>31</v>
      </c>
      <c r="C904" s="1">
        <v>45871</v>
      </c>
      <c r="D904" s="1" t="str">
        <f>TEXT(FMData[[#This Row],[Show_Date]],"mmm")</f>
        <v>Aug</v>
      </c>
      <c r="E904" s="1" t="str">
        <f>TEXT(FMData[[#This Row],[Show_Date]],"ddd")</f>
        <v>Sat</v>
      </c>
      <c r="F904" t="s">
        <v>11</v>
      </c>
      <c r="G904" t="s">
        <v>17</v>
      </c>
      <c r="H904">
        <v>1</v>
      </c>
      <c r="I904">
        <v>12</v>
      </c>
      <c r="J904" t="s">
        <v>23</v>
      </c>
      <c r="K904" t="s">
        <v>18</v>
      </c>
      <c r="L904">
        <v>12</v>
      </c>
    </row>
    <row r="905" spans="1:12" x14ac:dyDescent="0.3">
      <c r="A905">
        <v>333</v>
      </c>
      <c r="B905" t="s">
        <v>31</v>
      </c>
      <c r="C905" s="1">
        <v>45893</v>
      </c>
      <c r="D905" s="1" t="str">
        <f>TEXT(FMData[[#This Row],[Show_Date]],"mmm")</f>
        <v>Aug</v>
      </c>
      <c r="E905" s="1" t="str">
        <f>TEXT(FMData[[#This Row],[Show_Date]],"ddd")</f>
        <v>Sun</v>
      </c>
      <c r="F905" t="s">
        <v>11</v>
      </c>
      <c r="G905" t="s">
        <v>12</v>
      </c>
      <c r="H905">
        <v>2</v>
      </c>
      <c r="I905">
        <v>25</v>
      </c>
      <c r="J905" t="s">
        <v>21</v>
      </c>
      <c r="K905" t="s">
        <v>18</v>
      </c>
      <c r="L905">
        <v>50</v>
      </c>
    </row>
    <row r="906" spans="1:12" x14ac:dyDescent="0.3">
      <c r="A906">
        <v>1506</v>
      </c>
      <c r="B906" t="s">
        <v>32</v>
      </c>
      <c r="C906" s="1">
        <v>45875</v>
      </c>
      <c r="D906" s="1" t="str">
        <f>TEXT(FMData[[#This Row],[Show_Date]],"mmm")</f>
        <v>Aug</v>
      </c>
      <c r="E906" s="1" t="str">
        <f>TEXT(FMData[[#This Row],[Show_Date]],"ddd")</f>
        <v>Wed</v>
      </c>
      <c r="F906" t="s">
        <v>11</v>
      </c>
      <c r="G906" t="s">
        <v>12</v>
      </c>
      <c r="H906">
        <v>1</v>
      </c>
      <c r="I906">
        <v>25</v>
      </c>
      <c r="J906" t="s">
        <v>21</v>
      </c>
      <c r="K906" t="s">
        <v>18</v>
      </c>
      <c r="L906">
        <v>25</v>
      </c>
    </row>
    <row r="907" spans="1:12" x14ac:dyDescent="0.3">
      <c r="A907">
        <v>1271</v>
      </c>
      <c r="B907" t="s">
        <v>26</v>
      </c>
      <c r="C907" s="1">
        <v>45880</v>
      </c>
      <c r="D907" s="1" t="str">
        <f>TEXT(FMData[[#This Row],[Show_Date]],"mmm")</f>
        <v>Aug</v>
      </c>
      <c r="E907" s="1" t="str">
        <f>TEXT(FMData[[#This Row],[Show_Date]],"ddd")</f>
        <v>Mon</v>
      </c>
      <c r="F907" t="s">
        <v>11</v>
      </c>
      <c r="G907" t="s">
        <v>17</v>
      </c>
      <c r="H907">
        <v>3</v>
      </c>
      <c r="I907">
        <v>12</v>
      </c>
      <c r="J907" t="s">
        <v>13</v>
      </c>
      <c r="K907" t="s">
        <v>18</v>
      </c>
      <c r="L907">
        <v>36</v>
      </c>
    </row>
    <row r="908" spans="1:12" x14ac:dyDescent="0.3">
      <c r="A908">
        <v>90</v>
      </c>
      <c r="B908" t="s">
        <v>26</v>
      </c>
      <c r="C908" s="1">
        <v>45874</v>
      </c>
      <c r="D908" s="1" t="str">
        <f>TEXT(FMData[[#This Row],[Show_Date]],"mmm")</f>
        <v>Aug</v>
      </c>
      <c r="E908" s="1" t="str">
        <f>TEXT(FMData[[#This Row],[Show_Date]],"ddd")</f>
        <v>Tue</v>
      </c>
      <c r="F908" t="s">
        <v>11</v>
      </c>
      <c r="G908" t="s">
        <v>17</v>
      </c>
      <c r="H908">
        <v>3</v>
      </c>
      <c r="I908">
        <v>12</v>
      </c>
      <c r="J908" t="s">
        <v>13</v>
      </c>
      <c r="K908" t="s">
        <v>18</v>
      </c>
      <c r="L908">
        <v>36</v>
      </c>
    </row>
    <row r="909" spans="1:12" x14ac:dyDescent="0.3">
      <c r="A909">
        <v>1300</v>
      </c>
      <c r="B909" t="s">
        <v>26</v>
      </c>
      <c r="C909" s="1">
        <v>45919</v>
      </c>
      <c r="D909" s="1" t="str">
        <f>TEXT(FMData[[#This Row],[Show_Date]],"mmm")</f>
        <v>Sep</v>
      </c>
      <c r="E909" s="1" t="str">
        <f>TEXT(FMData[[#This Row],[Show_Date]],"ddd")</f>
        <v>Fri</v>
      </c>
      <c r="F909" t="s">
        <v>11</v>
      </c>
      <c r="G909" t="s">
        <v>22</v>
      </c>
      <c r="H909">
        <v>2</v>
      </c>
      <c r="I909">
        <v>20</v>
      </c>
      <c r="J909" t="s">
        <v>21</v>
      </c>
      <c r="K909" t="s">
        <v>18</v>
      </c>
      <c r="L909">
        <v>40</v>
      </c>
    </row>
    <row r="910" spans="1:12" x14ac:dyDescent="0.3">
      <c r="A910">
        <v>395</v>
      </c>
      <c r="B910" t="s">
        <v>32</v>
      </c>
      <c r="C910" s="1">
        <v>45843</v>
      </c>
      <c r="D910" s="1" t="str">
        <f>TEXT(FMData[[#This Row],[Show_Date]],"mmm")</f>
        <v>Jul</v>
      </c>
      <c r="E910" s="1" t="str">
        <f>TEXT(FMData[[#This Row],[Show_Date]],"ddd")</f>
        <v>Sat</v>
      </c>
      <c r="F910" t="s">
        <v>11</v>
      </c>
      <c r="G910" t="s">
        <v>22</v>
      </c>
      <c r="H910">
        <v>2</v>
      </c>
      <c r="I910">
        <v>20</v>
      </c>
      <c r="J910" t="s">
        <v>13</v>
      </c>
      <c r="K910" t="s">
        <v>18</v>
      </c>
      <c r="L910">
        <v>40</v>
      </c>
    </row>
    <row r="911" spans="1:12" x14ac:dyDescent="0.3">
      <c r="A911">
        <v>1078</v>
      </c>
      <c r="B911" t="s">
        <v>24</v>
      </c>
      <c r="C911" s="1">
        <v>45858</v>
      </c>
      <c r="D911" s="1" t="str">
        <f>TEXT(FMData[[#This Row],[Show_Date]],"mmm")</f>
        <v>Jul</v>
      </c>
      <c r="E911" s="1" t="str">
        <f>TEXT(FMData[[#This Row],[Show_Date]],"ddd")</f>
        <v>Sun</v>
      </c>
      <c r="F911" t="s">
        <v>11</v>
      </c>
      <c r="G911" t="s">
        <v>17</v>
      </c>
      <c r="H911">
        <v>4</v>
      </c>
      <c r="I911">
        <v>12</v>
      </c>
      <c r="J911" t="s">
        <v>13</v>
      </c>
      <c r="K911" t="s">
        <v>18</v>
      </c>
      <c r="L911">
        <v>48</v>
      </c>
    </row>
    <row r="912" spans="1:12" x14ac:dyDescent="0.3">
      <c r="A912">
        <v>1349</v>
      </c>
      <c r="B912" t="s">
        <v>19</v>
      </c>
      <c r="C912" s="1">
        <v>45910</v>
      </c>
      <c r="D912" s="1" t="str">
        <f>TEXT(FMData[[#This Row],[Show_Date]],"mmm")</f>
        <v>Sep</v>
      </c>
      <c r="E912" s="1" t="str">
        <f>TEXT(FMData[[#This Row],[Show_Date]],"ddd")</f>
        <v>Wed</v>
      </c>
      <c r="F912" t="s">
        <v>11</v>
      </c>
      <c r="G912" t="s">
        <v>17</v>
      </c>
      <c r="H912">
        <v>4</v>
      </c>
      <c r="I912">
        <v>12</v>
      </c>
      <c r="J912" t="s">
        <v>13</v>
      </c>
      <c r="K912" t="s">
        <v>18</v>
      </c>
      <c r="L912">
        <v>48</v>
      </c>
    </row>
    <row r="913" spans="1:12" x14ac:dyDescent="0.3">
      <c r="A913">
        <v>394</v>
      </c>
      <c r="B913" t="s">
        <v>19</v>
      </c>
      <c r="C913" s="1">
        <v>45882</v>
      </c>
      <c r="D913" s="1" t="str">
        <f>TEXT(FMData[[#This Row],[Show_Date]],"mmm")</f>
        <v>Aug</v>
      </c>
      <c r="E913" s="1" t="str">
        <f>TEXT(FMData[[#This Row],[Show_Date]],"ddd")</f>
        <v>Wed</v>
      </c>
      <c r="F913" t="s">
        <v>11</v>
      </c>
      <c r="G913" t="s">
        <v>17</v>
      </c>
      <c r="H913">
        <v>4</v>
      </c>
      <c r="I913">
        <v>12</v>
      </c>
      <c r="J913" t="s">
        <v>21</v>
      </c>
      <c r="K913" t="s">
        <v>18</v>
      </c>
      <c r="L913">
        <v>48</v>
      </c>
    </row>
    <row r="914" spans="1:12" x14ac:dyDescent="0.3">
      <c r="A914">
        <v>851</v>
      </c>
      <c r="B914" t="s">
        <v>28</v>
      </c>
      <c r="C914" s="1">
        <v>45875</v>
      </c>
      <c r="D914" s="1" t="str">
        <f>TEXT(FMData[[#This Row],[Show_Date]],"mmm")</f>
        <v>Aug</v>
      </c>
      <c r="E914" s="1" t="str">
        <f>TEXT(FMData[[#This Row],[Show_Date]],"ddd")</f>
        <v>Wed</v>
      </c>
      <c r="F914" t="s">
        <v>11</v>
      </c>
      <c r="G914" t="s">
        <v>30</v>
      </c>
      <c r="H914">
        <v>5</v>
      </c>
      <c r="I914">
        <v>8</v>
      </c>
      <c r="J914" t="s">
        <v>23</v>
      </c>
      <c r="K914" t="s">
        <v>18</v>
      </c>
      <c r="L914">
        <v>40</v>
      </c>
    </row>
    <row r="915" spans="1:12" x14ac:dyDescent="0.3">
      <c r="A915">
        <v>1359</v>
      </c>
      <c r="B915" t="s">
        <v>31</v>
      </c>
      <c r="C915" s="1">
        <v>45885</v>
      </c>
      <c r="D915" s="1" t="str">
        <f>TEXT(FMData[[#This Row],[Show_Date]],"mmm")</f>
        <v>Aug</v>
      </c>
      <c r="E915" s="1" t="str">
        <f>TEXT(FMData[[#This Row],[Show_Date]],"ddd")</f>
        <v>Sat</v>
      </c>
      <c r="F915" t="s">
        <v>11</v>
      </c>
      <c r="G915" t="s">
        <v>22</v>
      </c>
      <c r="H915">
        <v>3</v>
      </c>
      <c r="I915">
        <v>20</v>
      </c>
      <c r="J915" t="s">
        <v>13</v>
      </c>
      <c r="K915" t="s">
        <v>18</v>
      </c>
      <c r="L915">
        <v>60</v>
      </c>
    </row>
    <row r="916" spans="1:12" x14ac:dyDescent="0.3">
      <c r="A916">
        <v>1730</v>
      </c>
      <c r="B916" t="s">
        <v>10</v>
      </c>
      <c r="C916" s="1">
        <v>45858</v>
      </c>
      <c r="D916" s="1" t="str">
        <f>TEXT(FMData[[#This Row],[Show_Date]],"mmm")</f>
        <v>Jul</v>
      </c>
      <c r="E916" s="1" t="str">
        <f>TEXT(FMData[[#This Row],[Show_Date]],"ddd")</f>
        <v>Sun</v>
      </c>
      <c r="F916" t="s">
        <v>11</v>
      </c>
      <c r="G916" t="s">
        <v>12</v>
      </c>
      <c r="H916">
        <v>5</v>
      </c>
      <c r="I916">
        <v>25</v>
      </c>
      <c r="J916" t="s">
        <v>13</v>
      </c>
      <c r="K916" t="s">
        <v>18</v>
      </c>
      <c r="L916">
        <v>125</v>
      </c>
    </row>
    <row r="917" spans="1:12" x14ac:dyDescent="0.3">
      <c r="A917">
        <v>1320</v>
      </c>
      <c r="B917" t="s">
        <v>32</v>
      </c>
      <c r="C917" s="1">
        <v>45907</v>
      </c>
      <c r="D917" s="1" t="str">
        <f>TEXT(FMData[[#This Row],[Show_Date]],"mmm")</f>
        <v>Sep</v>
      </c>
      <c r="E917" s="1" t="str">
        <f>TEXT(FMData[[#This Row],[Show_Date]],"ddd")</f>
        <v>Sun</v>
      </c>
      <c r="F917" t="s">
        <v>11</v>
      </c>
      <c r="G917" t="s">
        <v>30</v>
      </c>
      <c r="H917">
        <v>5</v>
      </c>
      <c r="I917">
        <v>8</v>
      </c>
      <c r="J917" t="s">
        <v>21</v>
      </c>
      <c r="K917" t="s">
        <v>18</v>
      </c>
      <c r="L917">
        <v>40</v>
      </c>
    </row>
    <row r="918" spans="1:12" x14ac:dyDescent="0.3">
      <c r="A918">
        <v>1428</v>
      </c>
      <c r="B918" t="s">
        <v>32</v>
      </c>
      <c r="C918" s="1">
        <v>45906</v>
      </c>
      <c r="D918" s="1" t="str">
        <f>TEXT(FMData[[#This Row],[Show_Date]],"mmm")</f>
        <v>Sep</v>
      </c>
      <c r="E918" s="1" t="str">
        <f>TEXT(FMData[[#This Row],[Show_Date]],"ddd")</f>
        <v>Sat</v>
      </c>
      <c r="F918" t="s">
        <v>11</v>
      </c>
      <c r="G918" t="s">
        <v>12</v>
      </c>
      <c r="H918">
        <v>2</v>
      </c>
      <c r="I918">
        <v>25</v>
      </c>
      <c r="J918" t="s">
        <v>13</v>
      </c>
      <c r="K918" t="s">
        <v>18</v>
      </c>
      <c r="L918">
        <v>50</v>
      </c>
    </row>
    <row r="919" spans="1:12" x14ac:dyDescent="0.3">
      <c r="A919">
        <v>237</v>
      </c>
      <c r="B919" t="s">
        <v>10</v>
      </c>
      <c r="C919" s="1">
        <v>45928</v>
      </c>
      <c r="D919" s="1" t="str">
        <f>TEXT(FMData[[#This Row],[Show_Date]],"mmm")</f>
        <v>Sep</v>
      </c>
      <c r="E919" s="1" t="str">
        <f>TEXT(FMData[[#This Row],[Show_Date]],"ddd")</f>
        <v>Sun</v>
      </c>
      <c r="F919" t="s">
        <v>11</v>
      </c>
      <c r="G919" t="s">
        <v>22</v>
      </c>
      <c r="H919">
        <v>4</v>
      </c>
      <c r="I919">
        <v>20</v>
      </c>
      <c r="J919" t="s">
        <v>23</v>
      </c>
      <c r="K919" t="s">
        <v>18</v>
      </c>
      <c r="L919">
        <v>80</v>
      </c>
    </row>
    <row r="920" spans="1:12" x14ac:dyDescent="0.3">
      <c r="A920">
        <v>1795</v>
      </c>
      <c r="B920" t="s">
        <v>19</v>
      </c>
      <c r="C920" s="1">
        <v>45862</v>
      </c>
      <c r="D920" s="1" t="str">
        <f>TEXT(FMData[[#This Row],[Show_Date]],"mmm")</f>
        <v>Jul</v>
      </c>
      <c r="E920" s="1" t="str">
        <f>TEXT(FMData[[#This Row],[Show_Date]],"ddd")</f>
        <v>Thu</v>
      </c>
      <c r="F920" t="s">
        <v>11</v>
      </c>
      <c r="G920" t="s">
        <v>17</v>
      </c>
      <c r="H920">
        <v>3</v>
      </c>
      <c r="I920">
        <v>12</v>
      </c>
      <c r="J920" t="s">
        <v>21</v>
      </c>
      <c r="K920" t="s">
        <v>18</v>
      </c>
      <c r="L920">
        <v>36</v>
      </c>
    </row>
    <row r="921" spans="1:12" x14ac:dyDescent="0.3">
      <c r="A921">
        <v>678</v>
      </c>
      <c r="B921" t="s">
        <v>19</v>
      </c>
      <c r="C921" s="1">
        <v>45844</v>
      </c>
      <c r="D921" s="1" t="str">
        <f>TEXT(FMData[[#This Row],[Show_Date]],"mmm")</f>
        <v>Jul</v>
      </c>
      <c r="E921" s="1" t="str">
        <f>TEXT(FMData[[#This Row],[Show_Date]],"ddd")</f>
        <v>Sun</v>
      </c>
      <c r="F921" t="s">
        <v>11</v>
      </c>
      <c r="G921" t="s">
        <v>17</v>
      </c>
      <c r="H921">
        <v>1</v>
      </c>
      <c r="I921">
        <v>12</v>
      </c>
      <c r="J921" t="s">
        <v>13</v>
      </c>
      <c r="K921" t="s">
        <v>18</v>
      </c>
      <c r="L921">
        <v>12</v>
      </c>
    </row>
    <row r="922" spans="1:12" x14ac:dyDescent="0.3">
      <c r="A922">
        <v>1313</v>
      </c>
      <c r="B922" t="s">
        <v>24</v>
      </c>
      <c r="C922" s="1">
        <v>45921</v>
      </c>
      <c r="D922" s="1" t="str">
        <f>TEXT(FMData[[#This Row],[Show_Date]],"mmm")</f>
        <v>Sep</v>
      </c>
      <c r="E922" s="1" t="str">
        <f>TEXT(FMData[[#This Row],[Show_Date]],"ddd")</f>
        <v>Sun</v>
      </c>
      <c r="F922" t="s">
        <v>11</v>
      </c>
      <c r="G922" t="s">
        <v>30</v>
      </c>
      <c r="H922">
        <v>2</v>
      </c>
      <c r="I922">
        <v>8</v>
      </c>
      <c r="J922" t="s">
        <v>13</v>
      </c>
      <c r="K922" t="s">
        <v>18</v>
      </c>
      <c r="L922">
        <v>16</v>
      </c>
    </row>
    <row r="923" spans="1:12" x14ac:dyDescent="0.3">
      <c r="A923">
        <v>1121</v>
      </c>
      <c r="B923" t="s">
        <v>26</v>
      </c>
      <c r="C923" s="1">
        <v>45883</v>
      </c>
      <c r="D923" s="1" t="str">
        <f>TEXT(FMData[[#This Row],[Show_Date]],"mmm")</f>
        <v>Aug</v>
      </c>
      <c r="E923" s="1" t="str">
        <f>TEXT(FMData[[#This Row],[Show_Date]],"ddd")</f>
        <v>Thu</v>
      </c>
      <c r="F923" t="s">
        <v>11</v>
      </c>
      <c r="G923" t="s">
        <v>17</v>
      </c>
      <c r="H923">
        <v>2</v>
      </c>
      <c r="I923">
        <v>12</v>
      </c>
      <c r="J923" t="s">
        <v>23</v>
      </c>
      <c r="K923" t="s">
        <v>18</v>
      </c>
      <c r="L923">
        <v>24</v>
      </c>
    </row>
    <row r="924" spans="1:12" x14ac:dyDescent="0.3">
      <c r="A924">
        <v>1637</v>
      </c>
      <c r="B924" t="s">
        <v>24</v>
      </c>
      <c r="C924" s="1">
        <v>45874</v>
      </c>
      <c r="D924" s="1" t="str">
        <f>TEXT(FMData[[#This Row],[Show_Date]],"mmm")</f>
        <v>Aug</v>
      </c>
      <c r="E924" s="1" t="str">
        <f>TEXT(FMData[[#This Row],[Show_Date]],"ddd")</f>
        <v>Tue</v>
      </c>
      <c r="F924" t="s">
        <v>11</v>
      </c>
      <c r="G924" t="s">
        <v>29</v>
      </c>
      <c r="H924">
        <v>4</v>
      </c>
      <c r="I924">
        <v>30</v>
      </c>
      <c r="J924" t="s">
        <v>21</v>
      </c>
      <c r="K924" t="s">
        <v>18</v>
      </c>
      <c r="L924">
        <v>120</v>
      </c>
    </row>
    <row r="925" spans="1:12" x14ac:dyDescent="0.3">
      <c r="A925">
        <v>1079</v>
      </c>
      <c r="B925" t="s">
        <v>10</v>
      </c>
      <c r="C925" s="1">
        <v>45885</v>
      </c>
      <c r="D925" s="1" t="str">
        <f>TEXT(FMData[[#This Row],[Show_Date]],"mmm")</f>
        <v>Aug</v>
      </c>
      <c r="E925" s="1" t="str">
        <f>TEXT(FMData[[#This Row],[Show_Date]],"ddd")</f>
        <v>Sat</v>
      </c>
      <c r="F925" t="s">
        <v>11</v>
      </c>
      <c r="G925" t="s">
        <v>17</v>
      </c>
      <c r="H925">
        <v>1</v>
      </c>
      <c r="I925">
        <v>12</v>
      </c>
      <c r="J925" t="s">
        <v>21</v>
      </c>
      <c r="K925" t="s">
        <v>18</v>
      </c>
      <c r="L925">
        <v>12</v>
      </c>
    </row>
    <row r="926" spans="1:12" x14ac:dyDescent="0.3">
      <c r="A926">
        <v>111</v>
      </c>
      <c r="B926" t="s">
        <v>19</v>
      </c>
      <c r="C926" s="1">
        <v>45851</v>
      </c>
      <c r="D926" s="1" t="str">
        <f>TEXT(FMData[[#This Row],[Show_Date]],"mmm")</f>
        <v>Jul</v>
      </c>
      <c r="E926" s="1" t="str">
        <f>TEXT(FMData[[#This Row],[Show_Date]],"ddd")</f>
        <v>Sun</v>
      </c>
      <c r="F926" t="s">
        <v>11</v>
      </c>
      <c r="G926" t="s">
        <v>17</v>
      </c>
      <c r="H926">
        <v>1</v>
      </c>
      <c r="I926">
        <v>12</v>
      </c>
      <c r="J926" t="s">
        <v>21</v>
      </c>
      <c r="K926" t="s">
        <v>18</v>
      </c>
      <c r="L926">
        <v>12</v>
      </c>
    </row>
    <row r="927" spans="1:12" x14ac:dyDescent="0.3">
      <c r="A927">
        <v>1108</v>
      </c>
      <c r="B927" t="s">
        <v>10</v>
      </c>
      <c r="C927" s="1">
        <v>45879</v>
      </c>
      <c r="D927" s="1" t="str">
        <f>TEXT(FMData[[#This Row],[Show_Date]],"mmm")</f>
        <v>Aug</v>
      </c>
      <c r="E927" s="1" t="str">
        <f>TEXT(FMData[[#This Row],[Show_Date]],"ddd")</f>
        <v>Sun</v>
      </c>
      <c r="F927" t="s">
        <v>11</v>
      </c>
      <c r="G927" t="s">
        <v>17</v>
      </c>
      <c r="H927">
        <v>5</v>
      </c>
      <c r="I927">
        <v>12</v>
      </c>
      <c r="J927" t="s">
        <v>21</v>
      </c>
      <c r="K927" t="s">
        <v>18</v>
      </c>
      <c r="L927">
        <v>60</v>
      </c>
    </row>
    <row r="928" spans="1:12" x14ac:dyDescent="0.3">
      <c r="A928">
        <v>275</v>
      </c>
      <c r="B928" t="s">
        <v>24</v>
      </c>
      <c r="C928" s="1">
        <v>45871</v>
      </c>
      <c r="D928" s="1" t="str">
        <f>TEXT(FMData[[#This Row],[Show_Date]],"mmm")</f>
        <v>Aug</v>
      </c>
      <c r="E928" s="1" t="str">
        <f>TEXT(FMData[[#This Row],[Show_Date]],"ddd")</f>
        <v>Sat</v>
      </c>
      <c r="F928" t="s">
        <v>11</v>
      </c>
      <c r="G928" t="s">
        <v>29</v>
      </c>
      <c r="H928">
        <v>3</v>
      </c>
      <c r="I928">
        <v>30</v>
      </c>
      <c r="J928" t="s">
        <v>21</v>
      </c>
      <c r="K928" t="s">
        <v>18</v>
      </c>
      <c r="L928">
        <v>90</v>
      </c>
    </row>
    <row r="929" spans="1:12" x14ac:dyDescent="0.3">
      <c r="A929">
        <v>1155</v>
      </c>
      <c r="B929" t="s">
        <v>19</v>
      </c>
      <c r="C929" s="1">
        <v>45894</v>
      </c>
      <c r="D929" s="1" t="str">
        <f>TEXT(FMData[[#This Row],[Show_Date]],"mmm")</f>
        <v>Aug</v>
      </c>
      <c r="E929" s="1" t="str">
        <f>TEXT(FMData[[#This Row],[Show_Date]],"ddd")</f>
        <v>Mon</v>
      </c>
      <c r="F929" t="s">
        <v>11</v>
      </c>
      <c r="G929" t="s">
        <v>17</v>
      </c>
      <c r="H929">
        <v>2</v>
      </c>
      <c r="I929">
        <v>12</v>
      </c>
      <c r="J929" t="s">
        <v>23</v>
      </c>
      <c r="K929" t="s">
        <v>18</v>
      </c>
      <c r="L929">
        <v>24</v>
      </c>
    </row>
    <row r="930" spans="1:12" x14ac:dyDescent="0.3">
      <c r="A930">
        <v>922</v>
      </c>
      <c r="B930" t="s">
        <v>28</v>
      </c>
      <c r="C930" s="1">
        <v>45902</v>
      </c>
      <c r="D930" s="1" t="str">
        <f>TEXT(FMData[[#This Row],[Show_Date]],"mmm")</f>
        <v>Sep</v>
      </c>
      <c r="E930" s="1" t="str">
        <f>TEXT(FMData[[#This Row],[Show_Date]],"ddd")</f>
        <v>Tue</v>
      </c>
      <c r="F930" t="s">
        <v>11</v>
      </c>
      <c r="G930" t="s">
        <v>30</v>
      </c>
      <c r="H930">
        <v>4</v>
      </c>
      <c r="I930">
        <v>8</v>
      </c>
      <c r="J930" t="s">
        <v>21</v>
      </c>
      <c r="K930" t="s">
        <v>18</v>
      </c>
      <c r="L930">
        <v>32</v>
      </c>
    </row>
    <row r="931" spans="1:12" x14ac:dyDescent="0.3">
      <c r="A931">
        <v>1212</v>
      </c>
      <c r="B931" t="s">
        <v>31</v>
      </c>
      <c r="C931" s="1">
        <v>45877</v>
      </c>
      <c r="D931" s="1" t="str">
        <f>TEXT(FMData[[#This Row],[Show_Date]],"mmm")</f>
        <v>Aug</v>
      </c>
      <c r="E931" s="1" t="str">
        <f>TEXT(FMData[[#This Row],[Show_Date]],"ddd")</f>
        <v>Fri</v>
      </c>
      <c r="F931" t="s">
        <v>11</v>
      </c>
      <c r="G931" t="s">
        <v>30</v>
      </c>
      <c r="H931">
        <v>1</v>
      </c>
      <c r="I931">
        <v>8</v>
      </c>
      <c r="J931" t="s">
        <v>23</v>
      </c>
      <c r="K931" t="s">
        <v>18</v>
      </c>
      <c r="L931">
        <v>8</v>
      </c>
    </row>
    <row r="932" spans="1:12" x14ac:dyDescent="0.3">
      <c r="A932">
        <v>89</v>
      </c>
      <c r="B932" t="s">
        <v>31</v>
      </c>
      <c r="C932" s="1">
        <v>45861</v>
      </c>
      <c r="D932" s="1" t="str">
        <f>TEXT(FMData[[#This Row],[Show_Date]],"mmm")</f>
        <v>Jul</v>
      </c>
      <c r="E932" s="1" t="str">
        <f>TEXT(FMData[[#This Row],[Show_Date]],"ddd")</f>
        <v>Wed</v>
      </c>
      <c r="F932" t="s">
        <v>11</v>
      </c>
      <c r="G932" t="s">
        <v>22</v>
      </c>
      <c r="H932">
        <v>3</v>
      </c>
      <c r="I932">
        <v>20</v>
      </c>
      <c r="J932" t="s">
        <v>23</v>
      </c>
      <c r="K932" t="s">
        <v>27</v>
      </c>
      <c r="L932">
        <v>60</v>
      </c>
    </row>
    <row r="933" spans="1:12" x14ac:dyDescent="0.3">
      <c r="A933">
        <v>96</v>
      </c>
      <c r="B933" t="s">
        <v>10</v>
      </c>
      <c r="C933" s="1">
        <v>45870</v>
      </c>
      <c r="D933" s="1" t="str">
        <f>TEXT(FMData[[#This Row],[Show_Date]],"mmm")</f>
        <v>Aug</v>
      </c>
      <c r="E933" s="1" t="str">
        <f>TEXT(FMData[[#This Row],[Show_Date]],"ddd")</f>
        <v>Fri</v>
      </c>
      <c r="F933" t="s">
        <v>11</v>
      </c>
      <c r="G933" t="s">
        <v>30</v>
      </c>
      <c r="H933">
        <v>3</v>
      </c>
      <c r="I933">
        <v>8</v>
      </c>
      <c r="J933" t="s">
        <v>21</v>
      </c>
      <c r="K933" t="s">
        <v>25</v>
      </c>
      <c r="L933">
        <v>24</v>
      </c>
    </row>
    <row r="934" spans="1:12" x14ac:dyDescent="0.3">
      <c r="A934">
        <v>1067</v>
      </c>
      <c r="B934" t="s">
        <v>15</v>
      </c>
      <c r="C934" s="1">
        <v>45886</v>
      </c>
      <c r="D934" s="1" t="str">
        <f>TEXT(FMData[[#This Row],[Show_Date]],"mmm")</f>
        <v>Aug</v>
      </c>
      <c r="E934" s="1" t="str">
        <f>TEXT(FMData[[#This Row],[Show_Date]],"ddd")</f>
        <v>Sun</v>
      </c>
      <c r="F934" t="s">
        <v>11</v>
      </c>
      <c r="G934" t="s">
        <v>17</v>
      </c>
      <c r="H934">
        <v>2</v>
      </c>
      <c r="I934">
        <v>12</v>
      </c>
      <c r="J934" t="s">
        <v>13</v>
      </c>
      <c r="K934" t="s">
        <v>27</v>
      </c>
      <c r="L934">
        <v>24</v>
      </c>
    </row>
    <row r="935" spans="1:12" x14ac:dyDescent="0.3">
      <c r="A935">
        <v>572</v>
      </c>
      <c r="B935" t="s">
        <v>32</v>
      </c>
      <c r="C935" s="1">
        <v>45904</v>
      </c>
      <c r="D935" s="1" t="str">
        <f>TEXT(FMData[[#This Row],[Show_Date]],"mmm")</f>
        <v>Sep</v>
      </c>
      <c r="E935" s="1" t="str">
        <f>TEXT(FMData[[#This Row],[Show_Date]],"ddd")</f>
        <v>Thu</v>
      </c>
      <c r="F935" t="s">
        <v>11</v>
      </c>
      <c r="G935" t="s">
        <v>29</v>
      </c>
      <c r="H935">
        <v>3</v>
      </c>
      <c r="I935">
        <v>30</v>
      </c>
      <c r="J935" t="s">
        <v>23</v>
      </c>
      <c r="K935" t="s">
        <v>14</v>
      </c>
      <c r="L935">
        <v>90</v>
      </c>
    </row>
    <row r="936" spans="1:12" x14ac:dyDescent="0.3">
      <c r="A936">
        <v>564</v>
      </c>
      <c r="B936" t="s">
        <v>28</v>
      </c>
      <c r="C936" s="1">
        <v>45888</v>
      </c>
      <c r="D936" s="1" t="str">
        <f>TEXT(FMData[[#This Row],[Show_Date]],"mmm")</f>
        <v>Aug</v>
      </c>
      <c r="E936" s="1" t="str">
        <f>TEXT(FMData[[#This Row],[Show_Date]],"ddd")</f>
        <v>Tue</v>
      </c>
      <c r="F936" t="s">
        <v>11</v>
      </c>
      <c r="G936" t="s">
        <v>17</v>
      </c>
      <c r="H936">
        <v>3</v>
      </c>
      <c r="I936">
        <v>12</v>
      </c>
      <c r="J936" t="s">
        <v>23</v>
      </c>
      <c r="K936" t="s">
        <v>14</v>
      </c>
      <c r="L936">
        <v>36</v>
      </c>
    </row>
    <row r="937" spans="1:12" x14ac:dyDescent="0.3">
      <c r="A937">
        <v>658</v>
      </c>
      <c r="B937" t="s">
        <v>32</v>
      </c>
      <c r="C937" s="1">
        <v>45845</v>
      </c>
      <c r="D937" s="1" t="str">
        <f>TEXT(FMData[[#This Row],[Show_Date]],"mmm")</f>
        <v>Jul</v>
      </c>
      <c r="E937" s="1" t="str">
        <f>TEXT(FMData[[#This Row],[Show_Date]],"ddd")</f>
        <v>Mon</v>
      </c>
      <c r="F937" t="s">
        <v>11</v>
      </c>
      <c r="G937" t="s">
        <v>22</v>
      </c>
      <c r="H937">
        <v>1</v>
      </c>
      <c r="I937">
        <v>20</v>
      </c>
      <c r="J937" t="s">
        <v>23</v>
      </c>
      <c r="K937" t="s">
        <v>25</v>
      </c>
      <c r="L937">
        <v>20</v>
      </c>
    </row>
    <row r="938" spans="1:12" x14ac:dyDescent="0.3">
      <c r="A938">
        <v>883</v>
      </c>
      <c r="B938" t="s">
        <v>32</v>
      </c>
      <c r="C938" s="1">
        <v>45869</v>
      </c>
      <c r="D938" s="1" t="str">
        <f>TEXT(FMData[[#This Row],[Show_Date]],"mmm")</f>
        <v>Jul</v>
      </c>
      <c r="E938" s="1" t="str">
        <f>TEXT(FMData[[#This Row],[Show_Date]],"ddd")</f>
        <v>Thu</v>
      </c>
      <c r="F938" t="s">
        <v>11</v>
      </c>
      <c r="G938" t="s">
        <v>17</v>
      </c>
      <c r="H938">
        <v>3</v>
      </c>
      <c r="I938">
        <v>12</v>
      </c>
      <c r="J938" t="s">
        <v>23</v>
      </c>
      <c r="K938" t="s">
        <v>18</v>
      </c>
      <c r="L938">
        <v>36</v>
      </c>
    </row>
    <row r="939" spans="1:12" x14ac:dyDescent="0.3">
      <c r="A939">
        <v>1666</v>
      </c>
      <c r="B939" t="s">
        <v>10</v>
      </c>
      <c r="C939" s="1">
        <v>45916</v>
      </c>
      <c r="D939" s="1" t="str">
        <f>TEXT(FMData[[#This Row],[Show_Date]],"mmm")</f>
        <v>Sep</v>
      </c>
      <c r="E939" s="1" t="str">
        <f>TEXT(FMData[[#This Row],[Show_Date]],"ddd")</f>
        <v>Tue</v>
      </c>
      <c r="F939" t="s">
        <v>11</v>
      </c>
      <c r="G939" t="s">
        <v>17</v>
      </c>
      <c r="H939">
        <v>5</v>
      </c>
      <c r="I939">
        <v>12</v>
      </c>
      <c r="J939" t="s">
        <v>13</v>
      </c>
      <c r="K939" t="s">
        <v>27</v>
      </c>
      <c r="L939">
        <v>60</v>
      </c>
    </row>
    <row r="940" spans="1:12" x14ac:dyDescent="0.3">
      <c r="A940">
        <v>441</v>
      </c>
      <c r="B940" t="s">
        <v>24</v>
      </c>
      <c r="C940" s="1">
        <v>45920</v>
      </c>
      <c r="D940" s="1" t="str">
        <f>TEXT(FMData[[#This Row],[Show_Date]],"mmm")</f>
        <v>Sep</v>
      </c>
      <c r="E940" s="1" t="str">
        <f>TEXT(FMData[[#This Row],[Show_Date]],"ddd")</f>
        <v>Sat</v>
      </c>
      <c r="F940" t="s">
        <v>11</v>
      </c>
      <c r="G940" t="s">
        <v>12</v>
      </c>
      <c r="H940">
        <v>2</v>
      </c>
      <c r="I940">
        <v>25</v>
      </c>
      <c r="J940" t="s">
        <v>13</v>
      </c>
      <c r="K940" t="s">
        <v>14</v>
      </c>
      <c r="L940">
        <v>50</v>
      </c>
    </row>
    <row r="941" spans="1:12" x14ac:dyDescent="0.3">
      <c r="A941">
        <v>220</v>
      </c>
      <c r="B941" t="s">
        <v>28</v>
      </c>
      <c r="C941" s="1">
        <v>45893</v>
      </c>
      <c r="D941" s="1" t="str">
        <f>TEXT(FMData[[#This Row],[Show_Date]],"mmm")</f>
        <v>Aug</v>
      </c>
      <c r="E941" s="1" t="str">
        <f>TEXT(FMData[[#This Row],[Show_Date]],"ddd")</f>
        <v>Sun</v>
      </c>
      <c r="F941" t="s">
        <v>11</v>
      </c>
      <c r="G941" t="s">
        <v>17</v>
      </c>
      <c r="H941">
        <v>3</v>
      </c>
      <c r="I941">
        <v>12</v>
      </c>
      <c r="J941" t="s">
        <v>13</v>
      </c>
      <c r="K941" t="s">
        <v>14</v>
      </c>
      <c r="L941">
        <v>36</v>
      </c>
    </row>
    <row r="942" spans="1:12" x14ac:dyDescent="0.3">
      <c r="A942">
        <v>107</v>
      </c>
      <c r="B942" t="s">
        <v>10</v>
      </c>
      <c r="C942" s="1">
        <v>45885</v>
      </c>
      <c r="D942" s="1" t="str">
        <f>TEXT(FMData[[#This Row],[Show_Date]],"mmm")</f>
        <v>Aug</v>
      </c>
      <c r="E942" s="1" t="str">
        <f>TEXT(FMData[[#This Row],[Show_Date]],"ddd")</f>
        <v>Sat</v>
      </c>
      <c r="F942" t="s">
        <v>11</v>
      </c>
      <c r="G942" t="s">
        <v>22</v>
      </c>
      <c r="H942">
        <v>4</v>
      </c>
      <c r="I942">
        <v>20</v>
      </c>
      <c r="J942" t="s">
        <v>13</v>
      </c>
      <c r="K942" t="s">
        <v>18</v>
      </c>
      <c r="L942">
        <v>80</v>
      </c>
    </row>
    <row r="943" spans="1:12" x14ac:dyDescent="0.3">
      <c r="A943">
        <v>60</v>
      </c>
      <c r="B943" t="s">
        <v>15</v>
      </c>
      <c r="C943" s="1">
        <v>45840</v>
      </c>
      <c r="D943" s="1" t="str">
        <f>TEXT(FMData[[#This Row],[Show_Date]],"mmm")</f>
        <v>Jul</v>
      </c>
      <c r="E943" s="1" t="str">
        <f>TEXT(FMData[[#This Row],[Show_Date]],"ddd")</f>
        <v>Wed</v>
      </c>
      <c r="F943" t="s">
        <v>11</v>
      </c>
      <c r="G943" t="s">
        <v>12</v>
      </c>
      <c r="H943">
        <v>2</v>
      </c>
      <c r="I943">
        <v>25</v>
      </c>
      <c r="J943" t="s">
        <v>13</v>
      </c>
      <c r="K943" t="s">
        <v>14</v>
      </c>
      <c r="L943">
        <v>50</v>
      </c>
    </row>
    <row r="944" spans="1:12" x14ac:dyDescent="0.3">
      <c r="A944">
        <v>385</v>
      </c>
      <c r="B944" t="s">
        <v>15</v>
      </c>
      <c r="C944" s="1">
        <v>45914</v>
      </c>
      <c r="D944" s="1" t="str">
        <f>TEXT(FMData[[#This Row],[Show_Date]],"mmm")</f>
        <v>Sep</v>
      </c>
      <c r="E944" s="1" t="str">
        <f>TEXT(FMData[[#This Row],[Show_Date]],"ddd")</f>
        <v>Sun</v>
      </c>
      <c r="F944" t="s">
        <v>11</v>
      </c>
      <c r="G944" t="s">
        <v>17</v>
      </c>
      <c r="H944">
        <v>5</v>
      </c>
      <c r="I944">
        <v>12</v>
      </c>
      <c r="J944" t="s">
        <v>21</v>
      </c>
      <c r="K944" t="s">
        <v>25</v>
      </c>
      <c r="L944">
        <v>60</v>
      </c>
    </row>
    <row r="945" spans="1:12" x14ac:dyDescent="0.3">
      <c r="A945">
        <v>1599</v>
      </c>
      <c r="B945" t="s">
        <v>19</v>
      </c>
      <c r="C945" s="1">
        <v>45878</v>
      </c>
      <c r="D945" s="1" t="str">
        <f>TEXT(FMData[[#This Row],[Show_Date]],"mmm")</f>
        <v>Aug</v>
      </c>
      <c r="E945" s="1" t="str">
        <f>TEXT(FMData[[#This Row],[Show_Date]],"ddd")</f>
        <v>Sat</v>
      </c>
      <c r="F945" t="s">
        <v>11</v>
      </c>
      <c r="G945" t="s">
        <v>17</v>
      </c>
      <c r="H945">
        <v>5</v>
      </c>
      <c r="I945">
        <v>12</v>
      </c>
      <c r="J945" t="s">
        <v>13</v>
      </c>
      <c r="K945" t="s">
        <v>25</v>
      </c>
      <c r="L945">
        <v>60</v>
      </c>
    </row>
    <row r="946" spans="1:12" x14ac:dyDescent="0.3">
      <c r="A946">
        <v>501</v>
      </c>
      <c r="B946" t="s">
        <v>28</v>
      </c>
      <c r="C946" s="1">
        <v>45853</v>
      </c>
      <c r="D946" s="1" t="str">
        <f>TEXT(FMData[[#This Row],[Show_Date]],"mmm")</f>
        <v>Jul</v>
      </c>
      <c r="E946" s="1" t="str">
        <f>TEXT(FMData[[#This Row],[Show_Date]],"ddd")</f>
        <v>Tue</v>
      </c>
      <c r="F946" t="s">
        <v>11</v>
      </c>
      <c r="G946" t="s">
        <v>22</v>
      </c>
      <c r="H946">
        <v>2</v>
      </c>
      <c r="I946">
        <v>20</v>
      </c>
      <c r="J946" t="s">
        <v>13</v>
      </c>
      <c r="K946" t="s">
        <v>25</v>
      </c>
      <c r="L946">
        <v>40</v>
      </c>
    </row>
    <row r="947" spans="1:12" x14ac:dyDescent="0.3">
      <c r="A947">
        <v>686</v>
      </c>
      <c r="B947" t="s">
        <v>10</v>
      </c>
      <c r="C947" s="1">
        <v>45917</v>
      </c>
      <c r="D947" s="1" t="str">
        <f>TEXT(FMData[[#This Row],[Show_Date]],"mmm")</f>
        <v>Sep</v>
      </c>
      <c r="E947" s="1" t="str">
        <f>TEXT(FMData[[#This Row],[Show_Date]],"ddd")</f>
        <v>Wed</v>
      </c>
      <c r="F947" t="s">
        <v>11</v>
      </c>
      <c r="G947" t="s">
        <v>17</v>
      </c>
      <c r="H947">
        <v>2</v>
      </c>
      <c r="I947">
        <v>12</v>
      </c>
      <c r="J947" t="s">
        <v>21</v>
      </c>
      <c r="K947" t="s">
        <v>18</v>
      </c>
      <c r="L947">
        <v>24</v>
      </c>
    </row>
    <row r="948" spans="1:12" x14ac:dyDescent="0.3">
      <c r="A948">
        <v>1572</v>
      </c>
      <c r="B948" t="s">
        <v>19</v>
      </c>
      <c r="C948" s="1">
        <v>45891</v>
      </c>
      <c r="D948" s="1" t="str">
        <f>TEXT(FMData[[#This Row],[Show_Date]],"mmm")</f>
        <v>Aug</v>
      </c>
      <c r="E948" s="1" t="str">
        <f>TEXT(FMData[[#This Row],[Show_Date]],"ddd")</f>
        <v>Fri</v>
      </c>
      <c r="F948" t="s">
        <v>11</v>
      </c>
      <c r="G948" t="s">
        <v>12</v>
      </c>
      <c r="H948">
        <v>2</v>
      </c>
      <c r="I948">
        <v>25</v>
      </c>
      <c r="J948" t="s">
        <v>13</v>
      </c>
      <c r="K948" t="s">
        <v>14</v>
      </c>
      <c r="L948">
        <v>50</v>
      </c>
    </row>
    <row r="949" spans="1:12" x14ac:dyDescent="0.3">
      <c r="A949">
        <v>1779</v>
      </c>
      <c r="B949" t="s">
        <v>19</v>
      </c>
      <c r="C949" s="1">
        <v>45885</v>
      </c>
      <c r="D949" s="1" t="str">
        <f>TEXT(FMData[[#This Row],[Show_Date]],"mmm")</f>
        <v>Aug</v>
      </c>
      <c r="E949" s="1" t="str">
        <f>TEXT(FMData[[#This Row],[Show_Date]],"ddd")</f>
        <v>Sat</v>
      </c>
      <c r="F949" t="s">
        <v>11</v>
      </c>
      <c r="G949" t="s">
        <v>30</v>
      </c>
      <c r="H949">
        <v>5</v>
      </c>
      <c r="I949">
        <v>8</v>
      </c>
      <c r="J949" t="s">
        <v>23</v>
      </c>
      <c r="K949" t="s">
        <v>14</v>
      </c>
      <c r="L949">
        <v>40</v>
      </c>
    </row>
    <row r="950" spans="1:12" x14ac:dyDescent="0.3">
      <c r="A950">
        <v>1047</v>
      </c>
      <c r="B950" t="s">
        <v>32</v>
      </c>
      <c r="C950" s="1">
        <v>45880</v>
      </c>
      <c r="D950" s="1" t="str">
        <f>TEXT(FMData[[#This Row],[Show_Date]],"mmm")</f>
        <v>Aug</v>
      </c>
      <c r="E950" s="1" t="str">
        <f>TEXT(FMData[[#This Row],[Show_Date]],"ddd")</f>
        <v>Mon</v>
      </c>
      <c r="F950" t="s">
        <v>11</v>
      </c>
      <c r="G950" t="s">
        <v>17</v>
      </c>
      <c r="H950">
        <v>4</v>
      </c>
      <c r="I950">
        <v>12</v>
      </c>
      <c r="J950" t="s">
        <v>23</v>
      </c>
      <c r="K950" t="s">
        <v>18</v>
      </c>
      <c r="L950">
        <v>48</v>
      </c>
    </row>
    <row r="951" spans="1:12" x14ac:dyDescent="0.3">
      <c r="A951">
        <v>1670</v>
      </c>
      <c r="B951" t="s">
        <v>31</v>
      </c>
      <c r="C951" s="1">
        <v>45876</v>
      </c>
      <c r="D951" s="1" t="str">
        <f>TEXT(FMData[[#This Row],[Show_Date]],"mmm")</f>
        <v>Aug</v>
      </c>
      <c r="E951" s="1" t="str">
        <f>TEXT(FMData[[#This Row],[Show_Date]],"ddd")</f>
        <v>Thu</v>
      </c>
      <c r="F951" t="s">
        <v>11</v>
      </c>
      <c r="G951" t="s">
        <v>17</v>
      </c>
      <c r="H951">
        <v>5</v>
      </c>
      <c r="I951">
        <v>12</v>
      </c>
      <c r="J951" t="s">
        <v>21</v>
      </c>
      <c r="K951" t="s">
        <v>27</v>
      </c>
      <c r="L951">
        <v>60</v>
      </c>
    </row>
    <row r="952" spans="1:12" x14ac:dyDescent="0.3">
      <c r="A952">
        <v>1253</v>
      </c>
      <c r="B952" t="s">
        <v>19</v>
      </c>
      <c r="C952" s="1">
        <v>45924</v>
      </c>
      <c r="D952" s="1" t="str">
        <f>TEXT(FMData[[#This Row],[Show_Date]],"mmm")</f>
        <v>Sep</v>
      </c>
      <c r="E952" s="1" t="str">
        <f>TEXT(FMData[[#This Row],[Show_Date]],"ddd")</f>
        <v>Wed</v>
      </c>
      <c r="F952" t="s">
        <v>11</v>
      </c>
      <c r="G952" t="s">
        <v>12</v>
      </c>
      <c r="H952">
        <v>5</v>
      </c>
      <c r="I952">
        <v>25</v>
      </c>
      <c r="J952" t="s">
        <v>21</v>
      </c>
      <c r="K952" t="s">
        <v>14</v>
      </c>
      <c r="L952">
        <v>125</v>
      </c>
    </row>
    <row r="953" spans="1:12" x14ac:dyDescent="0.3">
      <c r="A953">
        <v>1989</v>
      </c>
      <c r="B953" t="s">
        <v>32</v>
      </c>
      <c r="C953" s="1">
        <v>45908</v>
      </c>
      <c r="D953" s="1" t="str">
        <f>TEXT(FMData[[#This Row],[Show_Date]],"mmm")</f>
        <v>Sep</v>
      </c>
      <c r="E953" s="1" t="str">
        <f>TEXT(FMData[[#This Row],[Show_Date]],"ddd")</f>
        <v>Mon</v>
      </c>
      <c r="F953" t="s">
        <v>11</v>
      </c>
      <c r="G953" t="s">
        <v>17</v>
      </c>
      <c r="H953">
        <v>5</v>
      </c>
      <c r="I953">
        <v>12</v>
      </c>
      <c r="J953" t="s">
        <v>21</v>
      </c>
      <c r="K953" t="s">
        <v>14</v>
      </c>
      <c r="L953">
        <v>60</v>
      </c>
    </row>
    <row r="954" spans="1:12" x14ac:dyDescent="0.3">
      <c r="A954">
        <v>1308</v>
      </c>
      <c r="B954" t="s">
        <v>19</v>
      </c>
      <c r="C954" s="1">
        <v>45896</v>
      </c>
      <c r="D954" s="1" t="str">
        <f>TEXT(FMData[[#This Row],[Show_Date]],"mmm")</f>
        <v>Aug</v>
      </c>
      <c r="E954" s="1" t="str">
        <f>TEXT(FMData[[#This Row],[Show_Date]],"ddd")</f>
        <v>Wed</v>
      </c>
      <c r="F954" t="s">
        <v>11</v>
      </c>
      <c r="G954" t="s">
        <v>17</v>
      </c>
      <c r="H954">
        <v>2</v>
      </c>
      <c r="I954">
        <v>12</v>
      </c>
      <c r="J954" t="s">
        <v>13</v>
      </c>
      <c r="K954" t="s">
        <v>14</v>
      </c>
      <c r="L954">
        <v>24</v>
      </c>
    </row>
    <row r="955" spans="1:12" x14ac:dyDescent="0.3">
      <c r="A955">
        <v>462</v>
      </c>
      <c r="B955" t="s">
        <v>15</v>
      </c>
      <c r="C955" s="1">
        <v>45840</v>
      </c>
      <c r="D955" s="1" t="str">
        <f>TEXT(FMData[[#This Row],[Show_Date]],"mmm")</f>
        <v>Jul</v>
      </c>
      <c r="E955" s="1" t="str">
        <f>TEXT(FMData[[#This Row],[Show_Date]],"ddd")</f>
        <v>Wed</v>
      </c>
      <c r="F955" t="s">
        <v>11</v>
      </c>
      <c r="G955" t="s">
        <v>22</v>
      </c>
      <c r="H955">
        <v>2</v>
      </c>
      <c r="I955">
        <v>20</v>
      </c>
      <c r="J955" t="s">
        <v>21</v>
      </c>
      <c r="K955" t="s">
        <v>14</v>
      </c>
      <c r="L955">
        <v>40</v>
      </c>
    </row>
    <row r="956" spans="1:12" x14ac:dyDescent="0.3">
      <c r="A956">
        <v>147</v>
      </c>
      <c r="B956" t="s">
        <v>32</v>
      </c>
      <c r="C956" s="1">
        <v>45851</v>
      </c>
      <c r="D956" s="1" t="str">
        <f>TEXT(FMData[[#This Row],[Show_Date]],"mmm")</f>
        <v>Jul</v>
      </c>
      <c r="E956" s="1" t="str">
        <f>TEXT(FMData[[#This Row],[Show_Date]],"ddd")</f>
        <v>Sun</v>
      </c>
      <c r="F956" t="s">
        <v>11</v>
      </c>
      <c r="G956" t="s">
        <v>17</v>
      </c>
      <c r="H956">
        <v>4</v>
      </c>
      <c r="I956">
        <v>12</v>
      </c>
      <c r="J956" t="s">
        <v>13</v>
      </c>
      <c r="K956" t="s">
        <v>14</v>
      </c>
      <c r="L956">
        <v>48</v>
      </c>
    </row>
    <row r="957" spans="1:12" x14ac:dyDescent="0.3">
      <c r="A957">
        <v>314</v>
      </c>
      <c r="B957" t="s">
        <v>28</v>
      </c>
      <c r="C957" s="1">
        <v>45862</v>
      </c>
      <c r="D957" s="1" t="str">
        <f>TEXT(FMData[[#This Row],[Show_Date]],"mmm")</f>
        <v>Jul</v>
      </c>
      <c r="E957" s="1" t="str">
        <f>TEXT(FMData[[#This Row],[Show_Date]],"ddd")</f>
        <v>Thu</v>
      </c>
      <c r="F957" t="s">
        <v>11</v>
      </c>
      <c r="G957" t="s">
        <v>30</v>
      </c>
      <c r="H957">
        <v>2</v>
      </c>
      <c r="I957">
        <v>8</v>
      </c>
      <c r="J957" t="s">
        <v>23</v>
      </c>
      <c r="K957" t="s">
        <v>14</v>
      </c>
      <c r="L957">
        <v>16</v>
      </c>
    </row>
    <row r="958" spans="1:12" x14ac:dyDescent="0.3">
      <c r="A958">
        <v>770</v>
      </c>
      <c r="B958" t="s">
        <v>24</v>
      </c>
      <c r="C958" s="1">
        <v>45906</v>
      </c>
      <c r="D958" s="1" t="str">
        <f>TEXT(FMData[[#This Row],[Show_Date]],"mmm")</f>
        <v>Sep</v>
      </c>
      <c r="E958" s="1" t="str">
        <f>TEXT(FMData[[#This Row],[Show_Date]],"ddd")</f>
        <v>Sat</v>
      </c>
      <c r="F958" t="s">
        <v>11</v>
      </c>
      <c r="G958" t="s">
        <v>30</v>
      </c>
      <c r="H958">
        <v>3</v>
      </c>
      <c r="I958">
        <v>8</v>
      </c>
      <c r="J958" t="s">
        <v>13</v>
      </c>
      <c r="K958" t="s">
        <v>14</v>
      </c>
      <c r="L958">
        <v>24</v>
      </c>
    </row>
    <row r="959" spans="1:12" x14ac:dyDescent="0.3">
      <c r="A959">
        <v>1832</v>
      </c>
      <c r="B959" t="s">
        <v>15</v>
      </c>
      <c r="C959" s="1">
        <v>45856</v>
      </c>
      <c r="D959" s="1" t="str">
        <f>TEXT(FMData[[#This Row],[Show_Date]],"mmm")</f>
        <v>Jul</v>
      </c>
      <c r="E959" s="1" t="str">
        <f>TEXT(FMData[[#This Row],[Show_Date]],"ddd")</f>
        <v>Fri</v>
      </c>
      <c r="F959" t="s">
        <v>11</v>
      </c>
      <c r="G959" t="s">
        <v>22</v>
      </c>
      <c r="H959">
        <v>3</v>
      </c>
      <c r="I959">
        <v>20</v>
      </c>
      <c r="J959" t="s">
        <v>23</v>
      </c>
      <c r="K959" t="s">
        <v>14</v>
      </c>
      <c r="L959">
        <v>60</v>
      </c>
    </row>
    <row r="960" spans="1:12" x14ac:dyDescent="0.3">
      <c r="A960">
        <v>1193</v>
      </c>
      <c r="B960" t="s">
        <v>15</v>
      </c>
      <c r="C960" s="1">
        <v>45899</v>
      </c>
      <c r="D960" s="1" t="str">
        <f>TEXT(FMData[[#This Row],[Show_Date]],"mmm")</f>
        <v>Aug</v>
      </c>
      <c r="E960" s="1" t="str">
        <f>TEXT(FMData[[#This Row],[Show_Date]],"ddd")</f>
        <v>Sat</v>
      </c>
      <c r="F960" t="s">
        <v>11</v>
      </c>
      <c r="G960" t="s">
        <v>29</v>
      </c>
      <c r="H960">
        <v>2</v>
      </c>
      <c r="I960">
        <v>30</v>
      </c>
      <c r="J960" t="s">
        <v>23</v>
      </c>
      <c r="K960" t="s">
        <v>14</v>
      </c>
      <c r="L960">
        <v>60</v>
      </c>
    </row>
    <row r="961" spans="1:12" x14ac:dyDescent="0.3">
      <c r="A961">
        <v>1305</v>
      </c>
      <c r="B961" t="s">
        <v>26</v>
      </c>
      <c r="C961" s="1">
        <v>45907</v>
      </c>
      <c r="D961" s="1" t="str">
        <f>TEXT(FMData[[#This Row],[Show_Date]],"mmm")</f>
        <v>Sep</v>
      </c>
      <c r="E961" s="1" t="str">
        <f>TEXT(FMData[[#This Row],[Show_Date]],"ddd")</f>
        <v>Sun</v>
      </c>
      <c r="F961" t="s">
        <v>11</v>
      </c>
      <c r="G961" t="s">
        <v>17</v>
      </c>
      <c r="H961">
        <v>4</v>
      </c>
      <c r="I961">
        <v>12</v>
      </c>
      <c r="J961" t="s">
        <v>21</v>
      </c>
      <c r="K961" t="s">
        <v>27</v>
      </c>
      <c r="L961">
        <v>48</v>
      </c>
    </row>
    <row r="962" spans="1:12" x14ac:dyDescent="0.3">
      <c r="A962">
        <v>599</v>
      </c>
      <c r="B962" t="s">
        <v>31</v>
      </c>
      <c r="C962" s="1">
        <v>45887</v>
      </c>
      <c r="D962" s="1" t="str">
        <f>TEXT(FMData[[#This Row],[Show_Date]],"mmm")</f>
        <v>Aug</v>
      </c>
      <c r="E962" s="1" t="str">
        <f>TEXT(FMData[[#This Row],[Show_Date]],"ddd")</f>
        <v>Mon</v>
      </c>
      <c r="F962" t="s">
        <v>11</v>
      </c>
      <c r="G962" t="s">
        <v>17</v>
      </c>
      <c r="H962">
        <v>5</v>
      </c>
      <c r="I962">
        <v>12</v>
      </c>
      <c r="J962" t="s">
        <v>13</v>
      </c>
      <c r="K962" t="s">
        <v>25</v>
      </c>
      <c r="L962">
        <v>60</v>
      </c>
    </row>
    <row r="963" spans="1:12" x14ac:dyDescent="0.3">
      <c r="A963">
        <v>47</v>
      </c>
      <c r="B963" t="s">
        <v>19</v>
      </c>
      <c r="C963" s="1">
        <v>45880</v>
      </c>
      <c r="D963" s="1" t="str">
        <f>TEXT(FMData[[#This Row],[Show_Date]],"mmm")</f>
        <v>Aug</v>
      </c>
      <c r="E963" s="1" t="str">
        <f>TEXT(FMData[[#This Row],[Show_Date]],"ddd")</f>
        <v>Mon</v>
      </c>
      <c r="F963" t="s">
        <v>11</v>
      </c>
      <c r="G963" t="s">
        <v>17</v>
      </c>
      <c r="H963">
        <v>4</v>
      </c>
      <c r="I963">
        <v>12</v>
      </c>
      <c r="J963" t="s">
        <v>21</v>
      </c>
      <c r="K963" t="s">
        <v>27</v>
      </c>
      <c r="L963">
        <v>48</v>
      </c>
    </row>
    <row r="964" spans="1:12" x14ac:dyDescent="0.3">
      <c r="A964">
        <v>1179</v>
      </c>
      <c r="B964" t="s">
        <v>28</v>
      </c>
      <c r="C964" s="1">
        <v>45858</v>
      </c>
      <c r="D964" s="1" t="str">
        <f>TEXT(FMData[[#This Row],[Show_Date]],"mmm")</f>
        <v>Jul</v>
      </c>
      <c r="E964" s="1" t="str">
        <f>TEXT(FMData[[#This Row],[Show_Date]],"ddd")</f>
        <v>Sun</v>
      </c>
      <c r="F964" t="s">
        <v>11</v>
      </c>
      <c r="G964" t="s">
        <v>22</v>
      </c>
      <c r="H964">
        <v>4</v>
      </c>
      <c r="I964">
        <v>20</v>
      </c>
      <c r="J964" t="s">
        <v>13</v>
      </c>
      <c r="K964" t="s">
        <v>27</v>
      </c>
      <c r="L964">
        <v>80</v>
      </c>
    </row>
    <row r="965" spans="1:12" x14ac:dyDescent="0.3">
      <c r="A965">
        <v>660</v>
      </c>
      <c r="B965" t="s">
        <v>26</v>
      </c>
      <c r="C965" s="1">
        <v>45914</v>
      </c>
      <c r="D965" s="1" t="str">
        <f>TEXT(FMData[[#This Row],[Show_Date]],"mmm")</f>
        <v>Sep</v>
      </c>
      <c r="E965" s="1" t="str">
        <f>TEXT(FMData[[#This Row],[Show_Date]],"ddd")</f>
        <v>Sun</v>
      </c>
      <c r="F965" t="s">
        <v>11</v>
      </c>
      <c r="G965" t="s">
        <v>30</v>
      </c>
      <c r="H965">
        <v>3</v>
      </c>
      <c r="I965">
        <v>8</v>
      </c>
      <c r="J965" t="s">
        <v>23</v>
      </c>
      <c r="K965" t="s">
        <v>27</v>
      </c>
      <c r="L965">
        <v>24</v>
      </c>
    </row>
    <row r="966" spans="1:12" x14ac:dyDescent="0.3">
      <c r="A966">
        <v>1394</v>
      </c>
      <c r="B966" t="s">
        <v>10</v>
      </c>
      <c r="C966" s="1">
        <v>45860</v>
      </c>
      <c r="D966" s="1" t="str">
        <f>TEXT(FMData[[#This Row],[Show_Date]],"mmm")</f>
        <v>Jul</v>
      </c>
      <c r="E966" s="1" t="str">
        <f>TEXT(FMData[[#This Row],[Show_Date]],"ddd")</f>
        <v>Tue</v>
      </c>
      <c r="F966" t="s">
        <v>11</v>
      </c>
      <c r="G966" t="s">
        <v>17</v>
      </c>
      <c r="H966">
        <v>2</v>
      </c>
      <c r="I966">
        <v>12</v>
      </c>
      <c r="J966" t="s">
        <v>23</v>
      </c>
      <c r="K966" t="s">
        <v>14</v>
      </c>
      <c r="L966">
        <v>24</v>
      </c>
    </row>
    <row r="967" spans="1:12" x14ac:dyDescent="0.3">
      <c r="A967">
        <v>696</v>
      </c>
      <c r="B967" t="s">
        <v>31</v>
      </c>
      <c r="C967" s="1">
        <v>45846</v>
      </c>
      <c r="D967" s="1" t="str">
        <f>TEXT(FMData[[#This Row],[Show_Date]],"mmm")</f>
        <v>Jul</v>
      </c>
      <c r="E967" s="1" t="str">
        <f>TEXT(FMData[[#This Row],[Show_Date]],"ddd")</f>
        <v>Tue</v>
      </c>
      <c r="F967" t="s">
        <v>11</v>
      </c>
      <c r="G967" t="s">
        <v>12</v>
      </c>
      <c r="H967">
        <v>5</v>
      </c>
      <c r="I967">
        <v>25</v>
      </c>
      <c r="J967" t="s">
        <v>21</v>
      </c>
      <c r="K967" t="s">
        <v>18</v>
      </c>
      <c r="L967">
        <v>125</v>
      </c>
    </row>
    <row r="968" spans="1:12" x14ac:dyDescent="0.3">
      <c r="A968">
        <v>1007</v>
      </c>
      <c r="B968" t="s">
        <v>31</v>
      </c>
      <c r="C968" s="1">
        <v>45848</v>
      </c>
      <c r="D968" s="1" t="str">
        <f>TEXT(FMData[[#This Row],[Show_Date]],"mmm")</f>
        <v>Jul</v>
      </c>
      <c r="E968" s="1" t="str">
        <f>TEXT(FMData[[#This Row],[Show_Date]],"ddd")</f>
        <v>Thu</v>
      </c>
      <c r="F968" t="s">
        <v>11</v>
      </c>
      <c r="G968" t="s">
        <v>29</v>
      </c>
      <c r="H968">
        <v>3</v>
      </c>
      <c r="I968">
        <v>30</v>
      </c>
      <c r="J968" t="s">
        <v>13</v>
      </c>
      <c r="K968" t="s">
        <v>14</v>
      </c>
      <c r="L968">
        <v>90</v>
      </c>
    </row>
    <row r="969" spans="1:12" x14ac:dyDescent="0.3">
      <c r="A969">
        <v>1502</v>
      </c>
      <c r="B969" t="s">
        <v>10</v>
      </c>
      <c r="C969" s="1">
        <v>45860</v>
      </c>
      <c r="D969" s="1" t="str">
        <f>TEXT(FMData[[#This Row],[Show_Date]],"mmm")</f>
        <v>Jul</v>
      </c>
      <c r="E969" s="1" t="str">
        <f>TEXT(FMData[[#This Row],[Show_Date]],"ddd")</f>
        <v>Tue</v>
      </c>
      <c r="F969" t="s">
        <v>11</v>
      </c>
      <c r="G969" t="s">
        <v>22</v>
      </c>
      <c r="H969">
        <v>4</v>
      </c>
      <c r="I969">
        <v>20</v>
      </c>
      <c r="J969" t="s">
        <v>21</v>
      </c>
      <c r="K969" t="s">
        <v>27</v>
      </c>
      <c r="L969">
        <v>80</v>
      </c>
    </row>
    <row r="970" spans="1:12" x14ac:dyDescent="0.3">
      <c r="A970">
        <v>1997</v>
      </c>
      <c r="B970" t="s">
        <v>26</v>
      </c>
      <c r="C970" s="1">
        <v>45842</v>
      </c>
      <c r="D970" s="1" t="str">
        <f>TEXT(FMData[[#This Row],[Show_Date]],"mmm")</f>
        <v>Jul</v>
      </c>
      <c r="E970" s="1" t="str">
        <f>TEXT(FMData[[#This Row],[Show_Date]],"ddd")</f>
        <v>Fri</v>
      </c>
      <c r="F970" t="s">
        <v>11</v>
      </c>
      <c r="G970" t="s">
        <v>17</v>
      </c>
      <c r="H970">
        <v>2</v>
      </c>
      <c r="I970">
        <v>12</v>
      </c>
      <c r="J970" t="s">
        <v>13</v>
      </c>
      <c r="K970" t="s">
        <v>25</v>
      </c>
      <c r="L970">
        <v>24</v>
      </c>
    </row>
    <row r="971" spans="1:12" x14ac:dyDescent="0.3">
      <c r="A971">
        <v>918</v>
      </c>
      <c r="B971" t="s">
        <v>31</v>
      </c>
      <c r="C971" s="1">
        <v>45924</v>
      </c>
      <c r="D971" s="1" t="str">
        <f>TEXT(FMData[[#This Row],[Show_Date]],"mmm")</f>
        <v>Sep</v>
      </c>
      <c r="E971" s="1" t="str">
        <f>TEXT(FMData[[#This Row],[Show_Date]],"ddd")</f>
        <v>Wed</v>
      </c>
      <c r="F971" t="s">
        <v>11</v>
      </c>
      <c r="G971" t="s">
        <v>22</v>
      </c>
      <c r="H971">
        <v>3</v>
      </c>
      <c r="I971">
        <v>20</v>
      </c>
      <c r="J971" t="s">
        <v>13</v>
      </c>
      <c r="K971" t="s">
        <v>14</v>
      </c>
      <c r="L971">
        <v>60</v>
      </c>
    </row>
    <row r="972" spans="1:12" x14ac:dyDescent="0.3">
      <c r="A972">
        <v>1848</v>
      </c>
      <c r="B972" t="s">
        <v>19</v>
      </c>
      <c r="C972" s="1">
        <v>45902</v>
      </c>
      <c r="D972" s="1" t="str">
        <f>TEXT(FMData[[#This Row],[Show_Date]],"mmm")</f>
        <v>Sep</v>
      </c>
      <c r="E972" s="1" t="str">
        <f>TEXT(FMData[[#This Row],[Show_Date]],"ddd")</f>
        <v>Tue</v>
      </c>
      <c r="F972" t="s">
        <v>11</v>
      </c>
      <c r="G972" t="s">
        <v>12</v>
      </c>
      <c r="H972">
        <v>1</v>
      </c>
      <c r="I972">
        <v>25</v>
      </c>
      <c r="J972" t="s">
        <v>13</v>
      </c>
      <c r="K972" t="s">
        <v>14</v>
      </c>
      <c r="L972">
        <v>25</v>
      </c>
    </row>
    <row r="973" spans="1:12" x14ac:dyDescent="0.3">
      <c r="A973">
        <v>1493</v>
      </c>
      <c r="B973" t="s">
        <v>28</v>
      </c>
      <c r="C973" s="1">
        <v>45927</v>
      </c>
      <c r="D973" s="1" t="str">
        <f>TEXT(FMData[[#This Row],[Show_Date]],"mmm")</f>
        <v>Sep</v>
      </c>
      <c r="E973" s="1" t="str">
        <f>TEXT(FMData[[#This Row],[Show_Date]],"ddd")</f>
        <v>Sat</v>
      </c>
      <c r="F973" t="s">
        <v>11</v>
      </c>
      <c r="G973" t="s">
        <v>22</v>
      </c>
      <c r="H973">
        <v>3</v>
      </c>
      <c r="I973">
        <v>20</v>
      </c>
      <c r="J973" t="s">
        <v>23</v>
      </c>
      <c r="K973" t="s">
        <v>25</v>
      </c>
      <c r="L973">
        <v>60</v>
      </c>
    </row>
    <row r="974" spans="1:12" x14ac:dyDescent="0.3">
      <c r="A974">
        <v>1219</v>
      </c>
      <c r="B974" t="s">
        <v>15</v>
      </c>
      <c r="C974" s="1">
        <v>45925</v>
      </c>
      <c r="D974" s="1" t="str">
        <f>TEXT(FMData[[#This Row],[Show_Date]],"mmm")</f>
        <v>Sep</v>
      </c>
      <c r="E974" s="1" t="str">
        <f>TEXT(FMData[[#This Row],[Show_Date]],"ddd")</f>
        <v>Thu</v>
      </c>
      <c r="F974" t="s">
        <v>11</v>
      </c>
      <c r="G974" t="s">
        <v>30</v>
      </c>
      <c r="H974">
        <v>4</v>
      </c>
      <c r="I974">
        <v>8</v>
      </c>
      <c r="J974" t="s">
        <v>23</v>
      </c>
      <c r="K974" t="s">
        <v>18</v>
      </c>
      <c r="L974">
        <v>32</v>
      </c>
    </row>
    <row r="975" spans="1:12" x14ac:dyDescent="0.3">
      <c r="A975">
        <v>328</v>
      </c>
      <c r="B975" t="s">
        <v>28</v>
      </c>
      <c r="C975" s="1">
        <v>45904</v>
      </c>
      <c r="D975" s="1" t="str">
        <f>TEXT(FMData[[#This Row],[Show_Date]],"mmm")</f>
        <v>Sep</v>
      </c>
      <c r="E975" s="1" t="str">
        <f>TEXT(FMData[[#This Row],[Show_Date]],"ddd")</f>
        <v>Thu</v>
      </c>
      <c r="F975" t="s">
        <v>11</v>
      </c>
      <c r="G975" t="s">
        <v>17</v>
      </c>
      <c r="H975">
        <v>4</v>
      </c>
      <c r="I975">
        <v>12</v>
      </c>
      <c r="J975" t="s">
        <v>23</v>
      </c>
      <c r="K975" t="s">
        <v>18</v>
      </c>
      <c r="L975">
        <v>48</v>
      </c>
    </row>
    <row r="976" spans="1:12" x14ac:dyDescent="0.3">
      <c r="A976">
        <v>1491</v>
      </c>
      <c r="B976" t="s">
        <v>24</v>
      </c>
      <c r="C976" s="1">
        <v>45892</v>
      </c>
      <c r="D976" s="1" t="str">
        <f>TEXT(FMData[[#This Row],[Show_Date]],"mmm")</f>
        <v>Aug</v>
      </c>
      <c r="E976" s="1" t="str">
        <f>TEXT(FMData[[#This Row],[Show_Date]],"ddd")</f>
        <v>Sat</v>
      </c>
      <c r="F976" t="s">
        <v>11</v>
      </c>
      <c r="G976" t="s">
        <v>17</v>
      </c>
      <c r="H976">
        <v>1</v>
      </c>
      <c r="I976">
        <v>12</v>
      </c>
      <c r="J976" t="s">
        <v>23</v>
      </c>
      <c r="K976" t="s">
        <v>18</v>
      </c>
      <c r="L976">
        <v>12</v>
      </c>
    </row>
    <row r="977" spans="1:12" x14ac:dyDescent="0.3">
      <c r="A977">
        <v>30</v>
      </c>
      <c r="B977" t="s">
        <v>31</v>
      </c>
      <c r="C977" s="1">
        <v>45864</v>
      </c>
      <c r="D977" s="1" t="str">
        <f>TEXT(FMData[[#This Row],[Show_Date]],"mmm")</f>
        <v>Jul</v>
      </c>
      <c r="E977" s="1" t="str">
        <f>TEXT(FMData[[#This Row],[Show_Date]],"ddd")</f>
        <v>Sat</v>
      </c>
      <c r="F977" t="s">
        <v>16</v>
      </c>
      <c r="G977" t="s">
        <v>30</v>
      </c>
      <c r="H977">
        <v>1</v>
      </c>
      <c r="I977">
        <v>8</v>
      </c>
      <c r="J977" t="s">
        <v>13</v>
      </c>
      <c r="K977" t="s">
        <v>18</v>
      </c>
      <c r="L977">
        <v>8</v>
      </c>
    </row>
    <row r="978" spans="1:12" x14ac:dyDescent="0.3">
      <c r="A978">
        <v>1784</v>
      </c>
      <c r="B978" t="s">
        <v>10</v>
      </c>
      <c r="C978" s="1">
        <v>45865</v>
      </c>
      <c r="D978" s="1" t="str">
        <f>TEXT(FMData[[#This Row],[Show_Date]],"mmm")</f>
        <v>Jul</v>
      </c>
      <c r="E978" s="1" t="str">
        <f>TEXT(FMData[[#This Row],[Show_Date]],"ddd")</f>
        <v>Sun</v>
      </c>
      <c r="F978" t="s">
        <v>16</v>
      </c>
      <c r="G978" t="s">
        <v>22</v>
      </c>
      <c r="H978">
        <v>4</v>
      </c>
      <c r="I978">
        <v>20</v>
      </c>
      <c r="J978" t="s">
        <v>23</v>
      </c>
      <c r="K978" t="s">
        <v>18</v>
      </c>
      <c r="L978">
        <v>80</v>
      </c>
    </row>
    <row r="979" spans="1:12" x14ac:dyDescent="0.3">
      <c r="A979">
        <v>981</v>
      </c>
      <c r="B979" t="s">
        <v>31</v>
      </c>
      <c r="C979" s="1">
        <v>45850</v>
      </c>
      <c r="D979" s="1" t="str">
        <f>TEXT(FMData[[#This Row],[Show_Date]],"mmm")</f>
        <v>Jul</v>
      </c>
      <c r="E979" s="1" t="str">
        <f>TEXT(FMData[[#This Row],[Show_Date]],"ddd")</f>
        <v>Sat</v>
      </c>
      <c r="F979" t="s">
        <v>33</v>
      </c>
      <c r="G979" t="s">
        <v>17</v>
      </c>
      <c r="H979">
        <v>2</v>
      </c>
      <c r="I979">
        <v>12</v>
      </c>
      <c r="J979" t="s">
        <v>13</v>
      </c>
      <c r="K979" t="s">
        <v>18</v>
      </c>
      <c r="L979">
        <v>24</v>
      </c>
    </row>
    <row r="980" spans="1:12" x14ac:dyDescent="0.3">
      <c r="A980">
        <v>1800</v>
      </c>
      <c r="B980" t="s">
        <v>24</v>
      </c>
      <c r="C980" s="1">
        <v>45851</v>
      </c>
      <c r="D980" s="1" t="str">
        <f>TEXT(FMData[[#This Row],[Show_Date]],"mmm")</f>
        <v>Jul</v>
      </c>
      <c r="E980" s="1" t="str">
        <f>TEXT(FMData[[#This Row],[Show_Date]],"ddd")</f>
        <v>Sun</v>
      </c>
      <c r="F980" t="s">
        <v>33</v>
      </c>
      <c r="G980" t="s">
        <v>12</v>
      </c>
      <c r="H980">
        <v>3</v>
      </c>
      <c r="I980">
        <v>25</v>
      </c>
      <c r="J980" t="s">
        <v>21</v>
      </c>
      <c r="K980" t="s">
        <v>18</v>
      </c>
      <c r="L980">
        <v>75</v>
      </c>
    </row>
    <row r="981" spans="1:12" x14ac:dyDescent="0.3">
      <c r="A981">
        <v>693</v>
      </c>
      <c r="B981" t="s">
        <v>15</v>
      </c>
      <c r="C981" s="1">
        <v>45907</v>
      </c>
      <c r="D981" s="1" t="str">
        <f>TEXT(FMData[[#This Row],[Show_Date]],"mmm")</f>
        <v>Sep</v>
      </c>
      <c r="E981" s="1" t="str">
        <f>TEXT(FMData[[#This Row],[Show_Date]],"ddd")</f>
        <v>Sun</v>
      </c>
      <c r="F981" t="s">
        <v>16</v>
      </c>
      <c r="G981" t="s">
        <v>17</v>
      </c>
      <c r="H981">
        <v>1</v>
      </c>
      <c r="I981">
        <v>12</v>
      </c>
      <c r="J981" t="s">
        <v>13</v>
      </c>
      <c r="K981" t="s">
        <v>18</v>
      </c>
      <c r="L981">
        <v>12</v>
      </c>
    </row>
    <row r="982" spans="1:12" x14ac:dyDescent="0.3">
      <c r="A982">
        <v>1700</v>
      </c>
      <c r="B982" t="s">
        <v>19</v>
      </c>
      <c r="C982" s="1">
        <v>45864</v>
      </c>
      <c r="D982" s="1" t="str">
        <f>TEXT(FMData[[#This Row],[Show_Date]],"mmm")</f>
        <v>Jul</v>
      </c>
      <c r="E982" s="1" t="str">
        <f>TEXT(FMData[[#This Row],[Show_Date]],"ddd")</f>
        <v>Sat</v>
      </c>
      <c r="F982" t="s">
        <v>33</v>
      </c>
      <c r="G982" t="s">
        <v>17</v>
      </c>
      <c r="H982">
        <v>5</v>
      </c>
      <c r="I982">
        <v>12</v>
      </c>
      <c r="J982" t="s">
        <v>21</v>
      </c>
      <c r="K982" t="s">
        <v>18</v>
      </c>
      <c r="L982">
        <v>60</v>
      </c>
    </row>
    <row r="983" spans="1:12" x14ac:dyDescent="0.3">
      <c r="A983">
        <v>495</v>
      </c>
      <c r="B983" t="s">
        <v>15</v>
      </c>
      <c r="C983" s="1">
        <v>45866</v>
      </c>
      <c r="D983" s="1" t="str">
        <f>TEXT(FMData[[#This Row],[Show_Date]],"mmm")</f>
        <v>Jul</v>
      </c>
      <c r="E983" s="1" t="str">
        <f>TEXT(FMData[[#This Row],[Show_Date]],"ddd")</f>
        <v>Mon</v>
      </c>
      <c r="F983" t="s">
        <v>33</v>
      </c>
      <c r="G983" t="s">
        <v>12</v>
      </c>
      <c r="H983">
        <v>2</v>
      </c>
      <c r="I983">
        <v>25</v>
      </c>
      <c r="J983" t="s">
        <v>23</v>
      </c>
      <c r="K983" t="s">
        <v>18</v>
      </c>
      <c r="L983">
        <v>50</v>
      </c>
    </row>
    <row r="984" spans="1:12" x14ac:dyDescent="0.3">
      <c r="A984">
        <v>1187</v>
      </c>
      <c r="B984" t="s">
        <v>19</v>
      </c>
      <c r="C984" s="1">
        <v>45916</v>
      </c>
      <c r="D984" s="1" t="str">
        <f>TEXT(FMData[[#This Row],[Show_Date]],"mmm")</f>
        <v>Sep</v>
      </c>
      <c r="E984" s="1" t="str">
        <f>TEXT(FMData[[#This Row],[Show_Date]],"ddd")</f>
        <v>Tue</v>
      </c>
      <c r="F984" t="s">
        <v>11</v>
      </c>
      <c r="G984" t="s">
        <v>17</v>
      </c>
      <c r="H984">
        <v>2</v>
      </c>
      <c r="I984">
        <v>12</v>
      </c>
      <c r="J984" t="s">
        <v>13</v>
      </c>
      <c r="K984" t="s">
        <v>18</v>
      </c>
      <c r="L984">
        <v>24</v>
      </c>
    </row>
    <row r="985" spans="1:12" x14ac:dyDescent="0.3">
      <c r="A985">
        <v>65</v>
      </c>
      <c r="B985" t="s">
        <v>28</v>
      </c>
      <c r="C985" s="1">
        <v>45928</v>
      </c>
      <c r="D985" s="1" t="str">
        <f>TEXT(FMData[[#This Row],[Show_Date]],"mmm")</f>
        <v>Sep</v>
      </c>
      <c r="E985" s="1" t="str">
        <f>TEXT(FMData[[#This Row],[Show_Date]],"ddd")</f>
        <v>Sun</v>
      </c>
      <c r="F985" t="s">
        <v>11</v>
      </c>
      <c r="G985" t="s">
        <v>17</v>
      </c>
      <c r="H985">
        <v>3</v>
      </c>
      <c r="I985">
        <v>12</v>
      </c>
      <c r="J985" t="s">
        <v>21</v>
      </c>
      <c r="K985" t="s">
        <v>18</v>
      </c>
      <c r="L985">
        <v>36</v>
      </c>
    </row>
    <row r="986" spans="1:12" x14ac:dyDescent="0.3">
      <c r="A986">
        <v>374</v>
      </c>
      <c r="B986" t="s">
        <v>19</v>
      </c>
      <c r="C986" s="1">
        <v>45886</v>
      </c>
      <c r="D986" s="1" t="str">
        <f>TEXT(FMData[[#This Row],[Show_Date]],"mmm")</f>
        <v>Aug</v>
      </c>
      <c r="E986" s="1" t="str">
        <f>TEXT(FMData[[#This Row],[Show_Date]],"ddd")</f>
        <v>Sun</v>
      </c>
      <c r="F986" t="s">
        <v>16</v>
      </c>
      <c r="G986" t="s">
        <v>17</v>
      </c>
      <c r="H986">
        <v>3</v>
      </c>
      <c r="I986">
        <v>12</v>
      </c>
      <c r="J986" t="s">
        <v>21</v>
      </c>
      <c r="K986" t="s">
        <v>18</v>
      </c>
      <c r="L986">
        <v>36</v>
      </c>
    </row>
    <row r="987" spans="1:12" x14ac:dyDescent="0.3">
      <c r="A987">
        <v>1484</v>
      </c>
      <c r="B987" t="s">
        <v>24</v>
      </c>
      <c r="C987" s="1">
        <v>45888</v>
      </c>
      <c r="D987" s="1" t="str">
        <f>TEXT(FMData[[#This Row],[Show_Date]],"mmm")</f>
        <v>Aug</v>
      </c>
      <c r="E987" s="1" t="str">
        <f>TEXT(FMData[[#This Row],[Show_Date]],"ddd")</f>
        <v>Tue</v>
      </c>
      <c r="F987" t="s">
        <v>33</v>
      </c>
      <c r="G987" t="s">
        <v>29</v>
      </c>
      <c r="H987">
        <v>5</v>
      </c>
      <c r="I987">
        <v>30</v>
      </c>
      <c r="J987" t="s">
        <v>21</v>
      </c>
      <c r="K987" t="s">
        <v>18</v>
      </c>
      <c r="L987">
        <v>150</v>
      </c>
    </row>
    <row r="988" spans="1:12" x14ac:dyDescent="0.3">
      <c r="A988">
        <v>1475</v>
      </c>
      <c r="B988" t="s">
        <v>19</v>
      </c>
      <c r="C988" s="1">
        <v>45858</v>
      </c>
      <c r="D988" s="1" t="str">
        <f>TEXT(FMData[[#This Row],[Show_Date]],"mmm")</f>
        <v>Jul</v>
      </c>
      <c r="E988" s="1" t="str">
        <f>TEXT(FMData[[#This Row],[Show_Date]],"ddd")</f>
        <v>Sun</v>
      </c>
      <c r="F988" t="s">
        <v>33</v>
      </c>
      <c r="G988" t="s">
        <v>22</v>
      </c>
      <c r="H988">
        <v>5</v>
      </c>
      <c r="I988">
        <v>20</v>
      </c>
      <c r="J988" t="s">
        <v>23</v>
      </c>
      <c r="K988" t="s">
        <v>18</v>
      </c>
      <c r="L988">
        <v>100</v>
      </c>
    </row>
    <row r="989" spans="1:12" x14ac:dyDescent="0.3">
      <c r="A989">
        <v>193</v>
      </c>
      <c r="B989" t="s">
        <v>24</v>
      </c>
      <c r="C989" s="1">
        <v>45900</v>
      </c>
      <c r="D989" s="1" t="str">
        <f>TEXT(FMData[[#This Row],[Show_Date]],"mmm")</f>
        <v>Aug</v>
      </c>
      <c r="E989" s="1" t="str">
        <f>TEXT(FMData[[#This Row],[Show_Date]],"ddd")</f>
        <v>Sun</v>
      </c>
      <c r="F989" t="s">
        <v>20</v>
      </c>
      <c r="G989" t="s">
        <v>30</v>
      </c>
      <c r="H989">
        <v>3</v>
      </c>
      <c r="I989">
        <v>8</v>
      </c>
      <c r="J989" t="s">
        <v>23</v>
      </c>
      <c r="K989" t="s">
        <v>18</v>
      </c>
      <c r="L989">
        <v>24</v>
      </c>
    </row>
    <row r="990" spans="1:12" x14ac:dyDescent="0.3">
      <c r="A990">
        <v>165</v>
      </c>
      <c r="B990" t="s">
        <v>26</v>
      </c>
      <c r="C990" s="1">
        <v>45871</v>
      </c>
      <c r="D990" s="1" t="str">
        <f>TEXT(FMData[[#This Row],[Show_Date]],"mmm")</f>
        <v>Aug</v>
      </c>
      <c r="E990" s="1" t="str">
        <f>TEXT(FMData[[#This Row],[Show_Date]],"ddd")</f>
        <v>Sat</v>
      </c>
      <c r="F990" t="s">
        <v>20</v>
      </c>
      <c r="G990" t="s">
        <v>17</v>
      </c>
      <c r="H990">
        <v>4</v>
      </c>
      <c r="I990">
        <v>12</v>
      </c>
      <c r="J990" t="s">
        <v>13</v>
      </c>
      <c r="K990" t="s">
        <v>18</v>
      </c>
      <c r="L990">
        <v>48</v>
      </c>
    </row>
    <row r="991" spans="1:12" x14ac:dyDescent="0.3">
      <c r="A991">
        <v>1669</v>
      </c>
      <c r="B991" t="s">
        <v>28</v>
      </c>
      <c r="C991" s="1">
        <v>45870</v>
      </c>
      <c r="D991" s="1" t="str">
        <f>TEXT(FMData[[#This Row],[Show_Date]],"mmm")</f>
        <v>Aug</v>
      </c>
      <c r="E991" s="1" t="str">
        <f>TEXT(FMData[[#This Row],[Show_Date]],"ddd")</f>
        <v>Fri</v>
      </c>
      <c r="F991" t="s">
        <v>16</v>
      </c>
      <c r="G991" t="s">
        <v>17</v>
      </c>
      <c r="H991">
        <v>4</v>
      </c>
      <c r="I991">
        <v>12</v>
      </c>
      <c r="J991" t="s">
        <v>21</v>
      </c>
      <c r="K991" t="s">
        <v>18</v>
      </c>
      <c r="L991">
        <v>48</v>
      </c>
    </row>
    <row r="992" spans="1:12" x14ac:dyDescent="0.3">
      <c r="A992">
        <v>1461</v>
      </c>
      <c r="B992" t="s">
        <v>15</v>
      </c>
      <c r="C992" s="1">
        <v>45917</v>
      </c>
      <c r="D992" s="1" t="str">
        <f>TEXT(FMData[[#This Row],[Show_Date]],"mmm")</f>
        <v>Sep</v>
      </c>
      <c r="E992" s="1" t="str">
        <f>TEXT(FMData[[#This Row],[Show_Date]],"ddd")</f>
        <v>Wed</v>
      </c>
      <c r="F992" t="s">
        <v>16</v>
      </c>
      <c r="G992" t="s">
        <v>17</v>
      </c>
      <c r="H992">
        <v>3</v>
      </c>
      <c r="I992">
        <v>12</v>
      </c>
      <c r="J992" t="s">
        <v>21</v>
      </c>
      <c r="K992" t="s">
        <v>18</v>
      </c>
      <c r="L992">
        <v>36</v>
      </c>
    </row>
    <row r="993" spans="1:12" x14ac:dyDescent="0.3">
      <c r="A993">
        <v>1588</v>
      </c>
      <c r="B993" t="s">
        <v>24</v>
      </c>
      <c r="C993" s="1">
        <v>45841</v>
      </c>
      <c r="D993" s="1" t="str">
        <f>TEXT(FMData[[#This Row],[Show_Date]],"mmm")</f>
        <v>Jul</v>
      </c>
      <c r="E993" s="1" t="str">
        <f>TEXT(FMData[[#This Row],[Show_Date]],"ddd")</f>
        <v>Thu</v>
      </c>
      <c r="F993" t="s">
        <v>16</v>
      </c>
      <c r="G993" t="s">
        <v>30</v>
      </c>
      <c r="H993">
        <v>4</v>
      </c>
      <c r="I993">
        <v>8</v>
      </c>
      <c r="J993" t="s">
        <v>23</v>
      </c>
      <c r="K993" t="s">
        <v>18</v>
      </c>
      <c r="L993">
        <v>32</v>
      </c>
    </row>
    <row r="994" spans="1:12" x14ac:dyDescent="0.3">
      <c r="A994">
        <v>1144</v>
      </c>
      <c r="B994" t="s">
        <v>28</v>
      </c>
      <c r="C994" s="1">
        <v>45921</v>
      </c>
      <c r="D994" s="1" t="str">
        <f>TEXT(FMData[[#This Row],[Show_Date]],"mmm")</f>
        <v>Sep</v>
      </c>
      <c r="E994" s="1" t="str">
        <f>TEXT(FMData[[#This Row],[Show_Date]],"ddd")</f>
        <v>Sun</v>
      </c>
      <c r="F994" t="s">
        <v>33</v>
      </c>
      <c r="G994" t="s">
        <v>12</v>
      </c>
      <c r="H994">
        <v>4</v>
      </c>
      <c r="I994">
        <v>25</v>
      </c>
      <c r="J994" t="s">
        <v>23</v>
      </c>
      <c r="K994" t="s">
        <v>18</v>
      </c>
      <c r="L994">
        <v>100</v>
      </c>
    </row>
    <row r="995" spans="1:12" x14ac:dyDescent="0.3">
      <c r="A995">
        <v>45</v>
      </c>
      <c r="B995" t="s">
        <v>31</v>
      </c>
      <c r="C995" s="1">
        <v>45922</v>
      </c>
      <c r="D995" s="1" t="str">
        <f>TEXT(FMData[[#This Row],[Show_Date]],"mmm")</f>
        <v>Sep</v>
      </c>
      <c r="E995" s="1" t="str">
        <f>TEXT(FMData[[#This Row],[Show_Date]],"ddd")</f>
        <v>Mon</v>
      </c>
      <c r="F995" t="s">
        <v>16</v>
      </c>
      <c r="G995" t="s">
        <v>22</v>
      </c>
      <c r="H995">
        <v>1</v>
      </c>
      <c r="I995">
        <v>20</v>
      </c>
      <c r="J995" t="s">
        <v>23</v>
      </c>
      <c r="K995" t="s">
        <v>18</v>
      </c>
      <c r="L995">
        <v>20</v>
      </c>
    </row>
    <row r="996" spans="1:12" x14ac:dyDescent="0.3">
      <c r="A996">
        <v>671</v>
      </c>
      <c r="B996" t="s">
        <v>24</v>
      </c>
      <c r="C996" s="1">
        <v>45840</v>
      </c>
      <c r="D996" s="1" t="str">
        <f>TEXT(FMData[[#This Row],[Show_Date]],"mmm")</f>
        <v>Jul</v>
      </c>
      <c r="E996" s="1" t="str">
        <f>TEXT(FMData[[#This Row],[Show_Date]],"ddd")</f>
        <v>Wed</v>
      </c>
      <c r="F996" t="s">
        <v>11</v>
      </c>
      <c r="G996" t="s">
        <v>12</v>
      </c>
      <c r="H996">
        <v>2</v>
      </c>
      <c r="I996">
        <v>25</v>
      </c>
      <c r="J996" t="s">
        <v>21</v>
      </c>
      <c r="K996" t="s">
        <v>18</v>
      </c>
      <c r="L996">
        <v>50</v>
      </c>
    </row>
    <row r="997" spans="1:12" x14ac:dyDescent="0.3">
      <c r="A997">
        <v>1170</v>
      </c>
      <c r="B997" t="s">
        <v>32</v>
      </c>
      <c r="C997" s="1">
        <v>45906</v>
      </c>
      <c r="D997" s="1" t="str">
        <f>TEXT(FMData[[#This Row],[Show_Date]],"mmm")</f>
        <v>Sep</v>
      </c>
      <c r="E997" s="1" t="str">
        <f>TEXT(FMData[[#This Row],[Show_Date]],"ddd")</f>
        <v>Sat</v>
      </c>
      <c r="F997" t="s">
        <v>16</v>
      </c>
      <c r="G997" t="s">
        <v>17</v>
      </c>
      <c r="H997">
        <v>1</v>
      </c>
      <c r="I997">
        <v>12</v>
      </c>
      <c r="J997" t="s">
        <v>13</v>
      </c>
      <c r="K997" t="s">
        <v>18</v>
      </c>
      <c r="L997">
        <v>12</v>
      </c>
    </row>
    <row r="998" spans="1:12" x14ac:dyDescent="0.3">
      <c r="A998">
        <v>260</v>
      </c>
      <c r="B998" t="s">
        <v>32</v>
      </c>
      <c r="C998" s="1">
        <v>45844</v>
      </c>
      <c r="D998" s="1" t="str">
        <f>TEXT(FMData[[#This Row],[Show_Date]],"mmm")</f>
        <v>Jul</v>
      </c>
      <c r="E998" s="1" t="str">
        <f>TEXT(FMData[[#This Row],[Show_Date]],"ddd")</f>
        <v>Sun</v>
      </c>
      <c r="F998" t="s">
        <v>11</v>
      </c>
      <c r="G998" t="s">
        <v>17</v>
      </c>
      <c r="H998">
        <v>2</v>
      </c>
      <c r="I998">
        <v>12</v>
      </c>
      <c r="J998" t="s">
        <v>21</v>
      </c>
      <c r="K998" t="s">
        <v>18</v>
      </c>
      <c r="L998">
        <v>24</v>
      </c>
    </row>
    <row r="999" spans="1:12" x14ac:dyDescent="0.3">
      <c r="A999">
        <v>614</v>
      </c>
      <c r="B999" t="s">
        <v>26</v>
      </c>
      <c r="C999" s="1">
        <v>45863</v>
      </c>
      <c r="D999" s="1" t="str">
        <f>TEXT(FMData[[#This Row],[Show_Date]],"mmm")</f>
        <v>Jul</v>
      </c>
      <c r="E999" s="1" t="str">
        <f>TEXT(FMData[[#This Row],[Show_Date]],"ddd")</f>
        <v>Fri</v>
      </c>
      <c r="F999" t="s">
        <v>16</v>
      </c>
      <c r="G999" t="s">
        <v>30</v>
      </c>
      <c r="H999">
        <v>3</v>
      </c>
      <c r="I999">
        <v>8</v>
      </c>
      <c r="J999" t="s">
        <v>23</v>
      </c>
      <c r="K999" t="s">
        <v>18</v>
      </c>
      <c r="L999">
        <v>24</v>
      </c>
    </row>
    <row r="1000" spans="1:12" x14ac:dyDescent="0.3">
      <c r="A1000">
        <v>1731</v>
      </c>
      <c r="B1000" t="s">
        <v>10</v>
      </c>
      <c r="C1000" s="1">
        <v>45878</v>
      </c>
      <c r="D1000" s="1" t="str">
        <f>TEXT(FMData[[#This Row],[Show_Date]],"mmm")</f>
        <v>Aug</v>
      </c>
      <c r="E1000" s="1" t="str">
        <f>TEXT(FMData[[#This Row],[Show_Date]],"ddd")</f>
        <v>Sat</v>
      </c>
      <c r="F1000" t="s">
        <v>20</v>
      </c>
      <c r="G1000" t="s">
        <v>17</v>
      </c>
      <c r="H1000">
        <v>4</v>
      </c>
      <c r="I1000">
        <v>12</v>
      </c>
      <c r="J1000" t="s">
        <v>23</v>
      </c>
      <c r="K1000" t="s">
        <v>18</v>
      </c>
      <c r="L1000">
        <v>48</v>
      </c>
    </row>
    <row r="1001" spans="1:12" x14ac:dyDescent="0.3">
      <c r="A1001">
        <v>412</v>
      </c>
      <c r="B1001" t="s">
        <v>19</v>
      </c>
      <c r="C1001" s="1">
        <v>45878</v>
      </c>
      <c r="D1001" s="1" t="str">
        <f>TEXT(FMData[[#This Row],[Show_Date]],"mmm")</f>
        <v>Aug</v>
      </c>
      <c r="E1001" s="1" t="str">
        <f>TEXT(FMData[[#This Row],[Show_Date]],"ddd")</f>
        <v>Sat</v>
      </c>
      <c r="F1001" t="s">
        <v>11</v>
      </c>
      <c r="G1001" t="s">
        <v>17</v>
      </c>
      <c r="H1001">
        <v>2</v>
      </c>
      <c r="I1001">
        <v>12</v>
      </c>
      <c r="J1001" t="s">
        <v>21</v>
      </c>
      <c r="K1001" t="s">
        <v>18</v>
      </c>
      <c r="L1001">
        <v>24</v>
      </c>
    </row>
    <row r="1002" spans="1:12" x14ac:dyDescent="0.3">
      <c r="A1002">
        <v>1738</v>
      </c>
      <c r="B1002" t="s">
        <v>28</v>
      </c>
      <c r="C1002" s="1">
        <v>45930</v>
      </c>
      <c r="D1002" s="1" t="str">
        <f>TEXT(FMData[[#This Row],[Show_Date]],"mmm")</f>
        <v>Sep</v>
      </c>
      <c r="E1002" s="1" t="str">
        <f>TEXT(FMData[[#This Row],[Show_Date]],"ddd")</f>
        <v>Tue</v>
      </c>
      <c r="F1002" t="s">
        <v>33</v>
      </c>
      <c r="G1002" t="s">
        <v>30</v>
      </c>
      <c r="H1002">
        <v>2</v>
      </c>
      <c r="I1002">
        <v>8</v>
      </c>
      <c r="J1002" t="s">
        <v>23</v>
      </c>
      <c r="K1002" t="s">
        <v>18</v>
      </c>
      <c r="L1002">
        <v>16</v>
      </c>
    </row>
    <row r="1003" spans="1:12" x14ac:dyDescent="0.3">
      <c r="A1003">
        <v>1807</v>
      </c>
      <c r="B1003" t="s">
        <v>31</v>
      </c>
      <c r="C1003" s="1">
        <v>45891</v>
      </c>
      <c r="D1003" s="1" t="str">
        <f>TEXT(FMData[[#This Row],[Show_Date]],"mmm")</f>
        <v>Aug</v>
      </c>
      <c r="E1003" s="1" t="str">
        <f>TEXT(FMData[[#This Row],[Show_Date]],"ddd")</f>
        <v>Fri</v>
      </c>
      <c r="F1003" t="s">
        <v>20</v>
      </c>
      <c r="G1003" t="s">
        <v>17</v>
      </c>
      <c r="H1003">
        <v>3</v>
      </c>
      <c r="I1003">
        <v>12</v>
      </c>
      <c r="J1003" t="s">
        <v>23</v>
      </c>
      <c r="K1003" t="s">
        <v>18</v>
      </c>
      <c r="L1003">
        <v>36</v>
      </c>
    </row>
    <row r="1004" spans="1:12" x14ac:dyDescent="0.3">
      <c r="A1004">
        <v>687</v>
      </c>
      <c r="B1004" t="s">
        <v>10</v>
      </c>
      <c r="C1004" s="1">
        <v>45907</v>
      </c>
      <c r="D1004" s="1" t="str">
        <f>TEXT(FMData[[#This Row],[Show_Date]],"mmm")</f>
        <v>Sep</v>
      </c>
      <c r="E1004" s="1" t="str">
        <f>TEXT(FMData[[#This Row],[Show_Date]],"ddd")</f>
        <v>Sun</v>
      </c>
      <c r="F1004" t="s">
        <v>11</v>
      </c>
      <c r="G1004" t="s">
        <v>17</v>
      </c>
      <c r="H1004">
        <v>1</v>
      </c>
      <c r="I1004">
        <v>12</v>
      </c>
      <c r="J1004" t="s">
        <v>21</v>
      </c>
      <c r="K1004" t="s">
        <v>18</v>
      </c>
      <c r="L1004">
        <v>12</v>
      </c>
    </row>
    <row r="1005" spans="1:12" x14ac:dyDescent="0.3">
      <c r="A1005">
        <v>15</v>
      </c>
      <c r="B1005" t="s">
        <v>19</v>
      </c>
      <c r="C1005" s="1">
        <v>45874</v>
      </c>
      <c r="D1005" s="1" t="str">
        <f>TEXT(FMData[[#This Row],[Show_Date]],"mmm")</f>
        <v>Aug</v>
      </c>
      <c r="E1005" s="1" t="str">
        <f>TEXT(FMData[[#This Row],[Show_Date]],"ddd")</f>
        <v>Tue</v>
      </c>
      <c r="F1005" t="s">
        <v>20</v>
      </c>
      <c r="G1005" t="s">
        <v>12</v>
      </c>
      <c r="H1005">
        <v>3</v>
      </c>
      <c r="I1005">
        <v>25</v>
      </c>
      <c r="J1005" t="s">
        <v>21</v>
      </c>
      <c r="K1005" t="s">
        <v>18</v>
      </c>
      <c r="L1005">
        <v>75</v>
      </c>
    </row>
    <row r="1006" spans="1:12" x14ac:dyDescent="0.3">
      <c r="A1006">
        <v>837</v>
      </c>
      <c r="B1006" t="s">
        <v>32</v>
      </c>
      <c r="C1006" s="1">
        <v>45850</v>
      </c>
      <c r="D1006" s="1" t="str">
        <f>TEXT(FMData[[#This Row],[Show_Date]],"mmm")</f>
        <v>Jul</v>
      </c>
      <c r="E1006" s="1" t="str">
        <f>TEXT(FMData[[#This Row],[Show_Date]],"ddd")</f>
        <v>Sat</v>
      </c>
      <c r="F1006" t="s">
        <v>20</v>
      </c>
      <c r="G1006" t="s">
        <v>29</v>
      </c>
      <c r="H1006">
        <v>3</v>
      </c>
      <c r="I1006">
        <v>30</v>
      </c>
      <c r="J1006" t="s">
        <v>21</v>
      </c>
      <c r="K1006" t="s">
        <v>18</v>
      </c>
      <c r="L1006">
        <v>90</v>
      </c>
    </row>
    <row r="1007" spans="1:12" x14ac:dyDescent="0.3">
      <c r="A1007">
        <v>1713</v>
      </c>
      <c r="B1007" t="s">
        <v>15</v>
      </c>
      <c r="C1007" s="1">
        <v>45856</v>
      </c>
      <c r="D1007" s="1" t="str">
        <f>TEXT(FMData[[#This Row],[Show_Date]],"mmm")</f>
        <v>Jul</v>
      </c>
      <c r="E1007" s="1" t="str">
        <f>TEXT(FMData[[#This Row],[Show_Date]],"ddd")</f>
        <v>Fri</v>
      </c>
      <c r="F1007" t="s">
        <v>33</v>
      </c>
      <c r="G1007" t="s">
        <v>30</v>
      </c>
      <c r="H1007">
        <v>1</v>
      </c>
      <c r="I1007">
        <v>8</v>
      </c>
      <c r="J1007" t="s">
        <v>23</v>
      </c>
      <c r="K1007" t="s">
        <v>18</v>
      </c>
      <c r="L1007">
        <v>8</v>
      </c>
    </row>
    <row r="1008" spans="1:12" x14ac:dyDescent="0.3">
      <c r="A1008">
        <v>1621</v>
      </c>
      <c r="B1008" t="s">
        <v>15</v>
      </c>
      <c r="C1008" s="1">
        <v>45911</v>
      </c>
      <c r="D1008" s="1" t="str">
        <f>TEXT(FMData[[#This Row],[Show_Date]],"mmm")</f>
        <v>Sep</v>
      </c>
      <c r="E1008" s="1" t="str">
        <f>TEXT(FMData[[#This Row],[Show_Date]],"ddd")</f>
        <v>Thu</v>
      </c>
      <c r="F1008" t="s">
        <v>20</v>
      </c>
      <c r="G1008" t="s">
        <v>30</v>
      </c>
      <c r="H1008">
        <v>2</v>
      </c>
      <c r="I1008">
        <v>8</v>
      </c>
      <c r="J1008" t="s">
        <v>23</v>
      </c>
      <c r="K1008" t="s">
        <v>18</v>
      </c>
      <c r="L1008">
        <v>16</v>
      </c>
    </row>
    <row r="1009" spans="1:12" x14ac:dyDescent="0.3">
      <c r="A1009">
        <v>802</v>
      </c>
      <c r="B1009" t="s">
        <v>10</v>
      </c>
      <c r="C1009" s="1">
        <v>45906</v>
      </c>
      <c r="D1009" s="1" t="str">
        <f>TEXT(FMData[[#This Row],[Show_Date]],"mmm")</f>
        <v>Sep</v>
      </c>
      <c r="E1009" s="1" t="str">
        <f>TEXT(FMData[[#This Row],[Show_Date]],"ddd")</f>
        <v>Sat</v>
      </c>
      <c r="F1009" t="s">
        <v>20</v>
      </c>
      <c r="G1009" t="s">
        <v>29</v>
      </c>
      <c r="H1009">
        <v>2</v>
      </c>
      <c r="I1009">
        <v>30</v>
      </c>
      <c r="J1009" t="s">
        <v>23</v>
      </c>
      <c r="K1009" t="s">
        <v>18</v>
      </c>
      <c r="L1009">
        <v>60</v>
      </c>
    </row>
    <row r="1010" spans="1:12" x14ac:dyDescent="0.3">
      <c r="A1010">
        <v>407</v>
      </c>
      <c r="B1010" t="s">
        <v>10</v>
      </c>
      <c r="C1010" s="1">
        <v>45879</v>
      </c>
      <c r="D1010" s="1" t="str">
        <f>TEXT(FMData[[#This Row],[Show_Date]],"mmm")</f>
        <v>Aug</v>
      </c>
      <c r="E1010" s="1" t="str">
        <f>TEXT(FMData[[#This Row],[Show_Date]],"ddd")</f>
        <v>Sun</v>
      </c>
      <c r="F1010" t="s">
        <v>20</v>
      </c>
      <c r="G1010" t="s">
        <v>17</v>
      </c>
      <c r="H1010">
        <v>2</v>
      </c>
      <c r="I1010">
        <v>12</v>
      </c>
      <c r="J1010" t="s">
        <v>13</v>
      </c>
      <c r="K1010" t="s">
        <v>18</v>
      </c>
      <c r="L1010">
        <v>24</v>
      </c>
    </row>
    <row r="1011" spans="1:12" x14ac:dyDescent="0.3">
      <c r="A1011">
        <v>1151</v>
      </c>
      <c r="B1011" t="s">
        <v>15</v>
      </c>
      <c r="C1011" s="1">
        <v>45899</v>
      </c>
      <c r="D1011" s="1" t="str">
        <f>TEXT(FMData[[#This Row],[Show_Date]],"mmm")</f>
        <v>Aug</v>
      </c>
      <c r="E1011" s="1" t="str">
        <f>TEXT(FMData[[#This Row],[Show_Date]],"ddd")</f>
        <v>Sat</v>
      </c>
      <c r="F1011" t="s">
        <v>33</v>
      </c>
      <c r="G1011" t="s">
        <v>12</v>
      </c>
      <c r="H1011">
        <v>5</v>
      </c>
      <c r="I1011">
        <v>25</v>
      </c>
      <c r="J1011" t="s">
        <v>23</v>
      </c>
      <c r="K1011" t="s">
        <v>18</v>
      </c>
      <c r="L1011">
        <v>125</v>
      </c>
    </row>
    <row r="1012" spans="1:12" x14ac:dyDescent="0.3">
      <c r="A1012">
        <v>63</v>
      </c>
      <c r="B1012" t="s">
        <v>15</v>
      </c>
      <c r="C1012" s="1">
        <v>45882</v>
      </c>
      <c r="D1012" s="1" t="str">
        <f>TEXT(FMData[[#This Row],[Show_Date]],"mmm")</f>
        <v>Aug</v>
      </c>
      <c r="E1012" s="1" t="str">
        <f>TEXT(FMData[[#This Row],[Show_Date]],"ddd")</f>
        <v>Wed</v>
      </c>
      <c r="F1012" t="s">
        <v>11</v>
      </c>
      <c r="G1012" t="s">
        <v>22</v>
      </c>
      <c r="H1012">
        <v>1</v>
      </c>
      <c r="I1012">
        <v>20</v>
      </c>
      <c r="J1012" t="s">
        <v>21</v>
      </c>
      <c r="K1012" t="s">
        <v>18</v>
      </c>
      <c r="L1012">
        <v>20</v>
      </c>
    </row>
    <row r="1013" spans="1:12" x14ac:dyDescent="0.3">
      <c r="A1013">
        <v>1925</v>
      </c>
      <c r="B1013" t="s">
        <v>26</v>
      </c>
      <c r="C1013" s="1">
        <v>45919</v>
      </c>
      <c r="D1013" s="1" t="str">
        <f>TEXT(FMData[[#This Row],[Show_Date]],"mmm")</f>
        <v>Sep</v>
      </c>
      <c r="E1013" s="1" t="str">
        <f>TEXT(FMData[[#This Row],[Show_Date]],"ddd")</f>
        <v>Fri</v>
      </c>
      <c r="F1013" t="s">
        <v>20</v>
      </c>
      <c r="G1013" t="s">
        <v>29</v>
      </c>
      <c r="H1013">
        <v>2</v>
      </c>
      <c r="I1013">
        <v>30</v>
      </c>
      <c r="J1013" t="s">
        <v>13</v>
      </c>
      <c r="K1013" t="s">
        <v>18</v>
      </c>
      <c r="L1013">
        <v>60</v>
      </c>
    </row>
    <row r="1014" spans="1:12" x14ac:dyDescent="0.3">
      <c r="A1014">
        <v>1864</v>
      </c>
      <c r="B1014" t="s">
        <v>10</v>
      </c>
      <c r="C1014" s="1">
        <v>45930</v>
      </c>
      <c r="D1014" s="1" t="str">
        <f>TEXT(FMData[[#This Row],[Show_Date]],"mmm")</f>
        <v>Sep</v>
      </c>
      <c r="E1014" s="1" t="str">
        <f>TEXT(FMData[[#This Row],[Show_Date]],"ddd")</f>
        <v>Tue</v>
      </c>
      <c r="F1014" t="s">
        <v>16</v>
      </c>
      <c r="G1014" t="s">
        <v>17</v>
      </c>
      <c r="H1014">
        <v>4</v>
      </c>
      <c r="I1014">
        <v>12</v>
      </c>
      <c r="J1014" t="s">
        <v>23</v>
      </c>
      <c r="K1014" t="s">
        <v>18</v>
      </c>
      <c r="L1014">
        <v>48</v>
      </c>
    </row>
    <row r="1015" spans="1:12" x14ac:dyDescent="0.3">
      <c r="A1015">
        <v>479</v>
      </c>
      <c r="B1015" t="s">
        <v>24</v>
      </c>
      <c r="C1015" s="1">
        <v>45900</v>
      </c>
      <c r="D1015" s="1" t="str">
        <f>TEXT(FMData[[#This Row],[Show_Date]],"mmm")</f>
        <v>Aug</v>
      </c>
      <c r="E1015" s="1" t="str">
        <f>TEXT(FMData[[#This Row],[Show_Date]],"ddd")</f>
        <v>Sun</v>
      </c>
      <c r="F1015" t="s">
        <v>20</v>
      </c>
      <c r="G1015" t="s">
        <v>17</v>
      </c>
      <c r="H1015">
        <v>3</v>
      </c>
      <c r="I1015">
        <v>12</v>
      </c>
      <c r="J1015" t="s">
        <v>13</v>
      </c>
      <c r="K1015" t="s">
        <v>18</v>
      </c>
      <c r="L1015">
        <v>36</v>
      </c>
    </row>
    <row r="1016" spans="1:12" x14ac:dyDescent="0.3">
      <c r="A1016">
        <v>1301</v>
      </c>
      <c r="B1016" t="s">
        <v>28</v>
      </c>
      <c r="C1016" s="1">
        <v>45920</v>
      </c>
      <c r="D1016" s="1" t="str">
        <f>TEXT(FMData[[#This Row],[Show_Date]],"mmm")</f>
        <v>Sep</v>
      </c>
      <c r="E1016" s="1" t="str">
        <f>TEXT(FMData[[#This Row],[Show_Date]],"ddd")</f>
        <v>Sat</v>
      </c>
      <c r="F1016" t="s">
        <v>20</v>
      </c>
      <c r="G1016" t="s">
        <v>17</v>
      </c>
      <c r="H1016">
        <v>5</v>
      </c>
      <c r="I1016">
        <v>12</v>
      </c>
      <c r="J1016" t="s">
        <v>13</v>
      </c>
      <c r="K1016" t="s">
        <v>18</v>
      </c>
      <c r="L1016">
        <v>60</v>
      </c>
    </row>
    <row r="1017" spans="1:12" x14ac:dyDescent="0.3">
      <c r="A1017">
        <v>612</v>
      </c>
      <c r="B1017" t="s">
        <v>26</v>
      </c>
      <c r="C1017" s="1">
        <v>45844</v>
      </c>
      <c r="D1017" s="1" t="str">
        <f>TEXT(FMData[[#This Row],[Show_Date]],"mmm")</f>
        <v>Jul</v>
      </c>
      <c r="E1017" s="1" t="str">
        <f>TEXT(FMData[[#This Row],[Show_Date]],"ddd")</f>
        <v>Sun</v>
      </c>
      <c r="F1017" t="s">
        <v>16</v>
      </c>
      <c r="G1017" t="s">
        <v>17</v>
      </c>
      <c r="H1017">
        <v>2</v>
      </c>
      <c r="I1017">
        <v>12</v>
      </c>
      <c r="J1017" t="s">
        <v>23</v>
      </c>
      <c r="K1017" t="s">
        <v>18</v>
      </c>
      <c r="L1017">
        <v>24</v>
      </c>
    </row>
    <row r="1018" spans="1:12" x14ac:dyDescent="0.3">
      <c r="A1018">
        <v>329</v>
      </c>
      <c r="B1018" t="s">
        <v>19</v>
      </c>
      <c r="C1018" s="1">
        <v>45910</v>
      </c>
      <c r="D1018" s="1" t="str">
        <f>TEXT(FMData[[#This Row],[Show_Date]],"mmm")</f>
        <v>Sep</v>
      </c>
      <c r="E1018" s="1" t="str">
        <f>TEXT(FMData[[#This Row],[Show_Date]],"ddd")</f>
        <v>Wed</v>
      </c>
      <c r="F1018" t="s">
        <v>11</v>
      </c>
      <c r="G1018" t="s">
        <v>12</v>
      </c>
      <c r="H1018">
        <v>5</v>
      </c>
      <c r="I1018">
        <v>25</v>
      </c>
      <c r="J1018" t="s">
        <v>21</v>
      </c>
      <c r="K1018" t="s">
        <v>18</v>
      </c>
      <c r="L1018">
        <v>125</v>
      </c>
    </row>
    <row r="1019" spans="1:12" x14ac:dyDescent="0.3">
      <c r="A1019">
        <v>1479</v>
      </c>
      <c r="B1019" t="s">
        <v>10</v>
      </c>
      <c r="C1019" s="1">
        <v>45890</v>
      </c>
      <c r="D1019" s="1" t="str">
        <f>TEXT(FMData[[#This Row],[Show_Date]],"mmm")</f>
        <v>Aug</v>
      </c>
      <c r="E1019" s="1" t="str">
        <f>TEXT(FMData[[#This Row],[Show_Date]],"ddd")</f>
        <v>Thu</v>
      </c>
      <c r="F1019" t="s">
        <v>16</v>
      </c>
      <c r="G1019" t="s">
        <v>17</v>
      </c>
      <c r="H1019">
        <v>5</v>
      </c>
      <c r="I1019">
        <v>12</v>
      </c>
      <c r="J1019" t="s">
        <v>21</v>
      </c>
      <c r="K1019" t="s">
        <v>18</v>
      </c>
      <c r="L1019">
        <v>60</v>
      </c>
    </row>
    <row r="1020" spans="1:12" x14ac:dyDescent="0.3">
      <c r="A1020">
        <v>1733</v>
      </c>
      <c r="B1020" t="s">
        <v>28</v>
      </c>
      <c r="C1020" s="1">
        <v>45908</v>
      </c>
      <c r="D1020" s="1" t="str">
        <f>TEXT(FMData[[#This Row],[Show_Date]],"mmm")</f>
        <v>Sep</v>
      </c>
      <c r="E1020" s="1" t="str">
        <f>TEXT(FMData[[#This Row],[Show_Date]],"ddd")</f>
        <v>Mon</v>
      </c>
      <c r="F1020" t="s">
        <v>33</v>
      </c>
      <c r="G1020" t="s">
        <v>17</v>
      </c>
      <c r="H1020">
        <v>1</v>
      </c>
      <c r="I1020">
        <v>12</v>
      </c>
      <c r="J1020" t="s">
        <v>23</v>
      </c>
      <c r="K1020" t="s">
        <v>18</v>
      </c>
      <c r="L1020">
        <v>12</v>
      </c>
    </row>
    <row r="1021" spans="1:12" x14ac:dyDescent="0.3">
      <c r="A1021">
        <v>594</v>
      </c>
      <c r="B1021" t="s">
        <v>31</v>
      </c>
      <c r="C1021" s="1">
        <v>45915</v>
      </c>
      <c r="D1021" s="1" t="str">
        <f>TEXT(FMData[[#This Row],[Show_Date]],"mmm")</f>
        <v>Sep</v>
      </c>
      <c r="E1021" s="1" t="str">
        <f>TEXT(FMData[[#This Row],[Show_Date]],"ddd")</f>
        <v>Mon</v>
      </c>
      <c r="F1021" t="s">
        <v>16</v>
      </c>
      <c r="G1021" t="s">
        <v>12</v>
      </c>
      <c r="H1021">
        <v>1</v>
      </c>
      <c r="I1021">
        <v>25</v>
      </c>
      <c r="J1021" t="s">
        <v>23</v>
      </c>
      <c r="K1021" t="s">
        <v>18</v>
      </c>
      <c r="L1021">
        <v>25</v>
      </c>
    </row>
    <row r="1022" spans="1:12" x14ac:dyDescent="0.3">
      <c r="A1022">
        <v>1978</v>
      </c>
      <c r="B1022" t="s">
        <v>32</v>
      </c>
      <c r="C1022" s="1">
        <v>45848</v>
      </c>
      <c r="D1022" s="1" t="str">
        <f>TEXT(FMData[[#This Row],[Show_Date]],"mmm")</f>
        <v>Jul</v>
      </c>
      <c r="E1022" s="1" t="str">
        <f>TEXT(FMData[[#This Row],[Show_Date]],"ddd")</f>
        <v>Thu</v>
      </c>
      <c r="F1022" t="s">
        <v>16</v>
      </c>
      <c r="G1022" t="s">
        <v>12</v>
      </c>
      <c r="H1022">
        <v>3</v>
      </c>
      <c r="I1022">
        <v>25</v>
      </c>
      <c r="J1022" t="s">
        <v>23</v>
      </c>
      <c r="K1022" t="s">
        <v>18</v>
      </c>
      <c r="L1022">
        <v>75</v>
      </c>
    </row>
    <row r="1023" spans="1:12" x14ac:dyDescent="0.3">
      <c r="A1023">
        <v>668</v>
      </c>
      <c r="B1023" t="s">
        <v>31</v>
      </c>
      <c r="C1023" s="1">
        <v>45920</v>
      </c>
      <c r="D1023" s="1" t="str">
        <f>TEXT(FMData[[#This Row],[Show_Date]],"mmm")</f>
        <v>Sep</v>
      </c>
      <c r="E1023" s="1" t="str">
        <f>TEXT(FMData[[#This Row],[Show_Date]],"ddd")</f>
        <v>Sat</v>
      </c>
      <c r="F1023" t="s">
        <v>16</v>
      </c>
      <c r="G1023" t="s">
        <v>30</v>
      </c>
      <c r="H1023">
        <v>3</v>
      </c>
      <c r="I1023">
        <v>8</v>
      </c>
      <c r="J1023" t="s">
        <v>13</v>
      </c>
      <c r="K1023" t="s">
        <v>18</v>
      </c>
      <c r="L1023">
        <v>24</v>
      </c>
    </row>
    <row r="1024" spans="1:12" x14ac:dyDescent="0.3">
      <c r="A1024">
        <v>1822</v>
      </c>
      <c r="B1024" t="s">
        <v>28</v>
      </c>
      <c r="C1024" s="1">
        <v>45907</v>
      </c>
      <c r="D1024" s="1" t="str">
        <f>TEXT(FMData[[#This Row],[Show_Date]],"mmm")</f>
        <v>Sep</v>
      </c>
      <c r="E1024" s="1" t="str">
        <f>TEXT(FMData[[#This Row],[Show_Date]],"ddd")</f>
        <v>Sun</v>
      </c>
      <c r="F1024" t="s">
        <v>20</v>
      </c>
      <c r="G1024" t="s">
        <v>17</v>
      </c>
      <c r="H1024">
        <v>5</v>
      </c>
      <c r="I1024">
        <v>12</v>
      </c>
      <c r="J1024" t="s">
        <v>23</v>
      </c>
      <c r="K1024" t="s">
        <v>18</v>
      </c>
      <c r="L1024">
        <v>60</v>
      </c>
    </row>
    <row r="1025" spans="1:12" x14ac:dyDescent="0.3">
      <c r="A1025">
        <v>1610</v>
      </c>
      <c r="B1025" t="s">
        <v>32</v>
      </c>
      <c r="C1025" s="1">
        <v>45856</v>
      </c>
      <c r="D1025" s="1" t="str">
        <f>TEXT(FMData[[#This Row],[Show_Date]],"mmm")</f>
        <v>Jul</v>
      </c>
      <c r="E1025" s="1" t="str">
        <f>TEXT(FMData[[#This Row],[Show_Date]],"ddd")</f>
        <v>Fri</v>
      </c>
      <c r="F1025" t="s">
        <v>16</v>
      </c>
      <c r="G1025" t="s">
        <v>29</v>
      </c>
      <c r="H1025">
        <v>3</v>
      </c>
      <c r="I1025">
        <v>30</v>
      </c>
      <c r="J1025" t="s">
        <v>21</v>
      </c>
      <c r="K1025" t="s">
        <v>18</v>
      </c>
      <c r="L1025">
        <v>90</v>
      </c>
    </row>
    <row r="1026" spans="1:12" x14ac:dyDescent="0.3">
      <c r="A1026">
        <v>453</v>
      </c>
      <c r="B1026" t="s">
        <v>10</v>
      </c>
      <c r="C1026" s="1">
        <v>45883</v>
      </c>
      <c r="D1026" s="1" t="str">
        <f>TEXT(FMData[[#This Row],[Show_Date]],"mmm")</f>
        <v>Aug</v>
      </c>
      <c r="E1026" s="1" t="str">
        <f>TEXT(FMData[[#This Row],[Show_Date]],"ddd")</f>
        <v>Thu</v>
      </c>
      <c r="F1026" t="s">
        <v>20</v>
      </c>
      <c r="G1026" t="s">
        <v>12</v>
      </c>
      <c r="H1026">
        <v>4</v>
      </c>
      <c r="I1026">
        <v>25</v>
      </c>
      <c r="J1026" t="s">
        <v>21</v>
      </c>
      <c r="K1026" t="s">
        <v>18</v>
      </c>
      <c r="L1026">
        <v>100</v>
      </c>
    </row>
    <row r="1027" spans="1:12" x14ac:dyDescent="0.3">
      <c r="A1027">
        <v>1413</v>
      </c>
      <c r="B1027" t="s">
        <v>15</v>
      </c>
      <c r="C1027" s="1">
        <v>45921</v>
      </c>
      <c r="D1027" s="1" t="str">
        <f>TEXT(FMData[[#This Row],[Show_Date]],"mmm")</f>
        <v>Sep</v>
      </c>
      <c r="E1027" s="1" t="str">
        <f>TEXT(FMData[[#This Row],[Show_Date]],"ddd")</f>
        <v>Sun</v>
      </c>
      <c r="F1027" t="s">
        <v>20</v>
      </c>
      <c r="G1027" t="s">
        <v>17</v>
      </c>
      <c r="H1027">
        <v>3</v>
      </c>
      <c r="I1027">
        <v>12</v>
      </c>
      <c r="J1027" t="s">
        <v>23</v>
      </c>
      <c r="K1027" t="s">
        <v>18</v>
      </c>
      <c r="L1027">
        <v>36</v>
      </c>
    </row>
    <row r="1028" spans="1:12" x14ac:dyDescent="0.3">
      <c r="A1028">
        <v>1122</v>
      </c>
      <c r="B1028" t="s">
        <v>32</v>
      </c>
      <c r="C1028" s="1">
        <v>45903</v>
      </c>
      <c r="D1028" s="1" t="str">
        <f>TEXT(FMData[[#This Row],[Show_Date]],"mmm")</f>
        <v>Sep</v>
      </c>
      <c r="E1028" s="1" t="str">
        <f>TEXT(FMData[[#This Row],[Show_Date]],"ddd")</f>
        <v>Wed</v>
      </c>
      <c r="F1028" t="s">
        <v>33</v>
      </c>
      <c r="G1028" t="s">
        <v>17</v>
      </c>
      <c r="H1028">
        <v>2</v>
      </c>
      <c r="I1028">
        <v>12</v>
      </c>
      <c r="J1028" t="s">
        <v>23</v>
      </c>
      <c r="K1028" t="s">
        <v>18</v>
      </c>
      <c r="L1028">
        <v>24</v>
      </c>
    </row>
    <row r="1029" spans="1:12" x14ac:dyDescent="0.3">
      <c r="A1029">
        <v>1167</v>
      </c>
      <c r="B1029" t="s">
        <v>15</v>
      </c>
      <c r="C1029" s="1">
        <v>45871</v>
      </c>
      <c r="D1029" s="1" t="str">
        <f>TEXT(FMData[[#This Row],[Show_Date]],"mmm")</f>
        <v>Aug</v>
      </c>
      <c r="E1029" s="1" t="str">
        <f>TEXT(FMData[[#This Row],[Show_Date]],"ddd")</f>
        <v>Sat</v>
      </c>
      <c r="F1029" t="s">
        <v>20</v>
      </c>
      <c r="G1029" t="s">
        <v>29</v>
      </c>
      <c r="H1029">
        <v>3</v>
      </c>
      <c r="I1029">
        <v>30</v>
      </c>
      <c r="J1029" t="s">
        <v>21</v>
      </c>
      <c r="K1029" t="s">
        <v>18</v>
      </c>
      <c r="L1029">
        <v>90</v>
      </c>
    </row>
    <row r="1030" spans="1:12" x14ac:dyDescent="0.3">
      <c r="A1030">
        <v>242</v>
      </c>
      <c r="B1030" t="s">
        <v>28</v>
      </c>
      <c r="C1030" s="1">
        <v>45924</v>
      </c>
      <c r="D1030" s="1" t="str">
        <f>TEXT(FMData[[#This Row],[Show_Date]],"mmm")</f>
        <v>Sep</v>
      </c>
      <c r="E1030" s="1" t="str">
        <f>TEXT(FMData[[#This Row],[Show_Date]],"ddd")</f>
        <v>Wed</v>
      </c>
      <c r="F1030" t="s">
        <v>11</v>
      </c>
      <c r="G1030" t="s">
        <v>17</v>
      </c>
      <c r="H1030">
        <v>1</v>
      </c>
      <c r="I1030">
        <v>12</v>
      </c>
      <c r="J1030" t="s">
        <v>13</v>
      </c>
      <c r="K1030" t="s">
        <v>18</v>
      </c>
      <c r="L1030">
        <v>12</v>
      </c>
    </row>
    <row r="1031" spans="1:12" x14ac:dyDescent="0.3">
      <c r="A1031">
        <v>1808</v>
      </c>
      <c r="B1031" t="s">
        <v>15</v>
      </c>
      <c r="C1031" s="1">
        <v>45869</v>
      </c>
      <c r="D1031" s="1" t="str">
        <f>TEXT(FMData[[#This Row],[Show_Date]],"mmm")</f>
        <v>Jul</v>
      </c>
      <c r="E1031" s="1" t="str">
        <f>TEXT(FMData[[#This Row],[Show_Date]],"ddd")</f>
        <v>Thu</v>
      </c>
      <c r="F1031" t="s">
        <v>16</v>
      </c>
      <c r="G1031" t="s">
        <v>17</v>
      </c>
      <c r="H1031">
        <v>2</v>
      </c>
      <c r="I1031">
        <v>12</v>
      </c>
      <c r="J1031" t="s">
        <v>13</v>
      </c>
      <c r="K1031" t="s">
        <v>18</v>
      </c>
      <c r="L1031">
        <v>24</v>
      </c>
    </row>
    <row r="1032" spans="1:12" x14ac:dyDescent="0.3">
      <c r="A1032">
        <v>1283</v>
      </c>
      <c r="B1032" t="s">
        <v>24</v>
      </c>
      <c r="C1032" s="1">
        <v>45878</v>
      </c>
      <c r="D1032" s="1" t="str">
        <f>TEXT(FMData[[#This Row],[Show_Date]],"mmm")</f>
        <v>Aug</v>
      </c>
      <c r="E1032" s="1" t="str">
        <f>TEXT(FMData[[#This Row],[Show_Date]],"ddd")</f>
        <v>Sat</v>
      </c>
      <c r="F1032" t="s">
        <v>33</v>
      </c>
      <c r="G1032" t="s">
        <v>22</v>
      </c>
      <c r="H1032">
        <v>1</v>
      </c>
      <c r="I1032">
        <v>20</v>
      </c>
      <c r="J1032" t="s">
        <v>21</v>
      </c>
      <c r="K1032" t="s">
        <v>18</v>
      </c>
      <c r="L1032">
        <v>20</v>
      </c>
    </row>
    <row r="1033" spans="1:12" x14ac:dyDescent="0.3">
      <c r="A1033">
        <v>990</v>
      </c>
      <c r="B1033" t="s">
        <v>19</v>
      </c>
      <c r="C1033" s="1">
        <v>45905</v>
      </c>
      <c r="D1033" s="1" t="str">
        <f>TEXT(FMData[[#This Row],[Show_Date]],"mmm")</f>
        <v>Sep</v>
      </c>
      <c r="E1033" s="1" t="str">
        <f>TEXT(FMData[[#This Row],[Show_Date]],"ddd")</f>
        <v>Fri</v>
      </c>
      <c r="F1033" t="s">
        <v>16</v>
      </c>
      <c r="G1033" t="s">
        <v>22</v>
      </c>
      <c r="H1033">
        <v>4</v>
      </c>
      <c r="I1033">
        <v>20</v>
      </c>
      <c r="J1033" t="s">
        <v>23</v>
      </c>
      <c r="K1033" t="s">
        <v>18</v>
      </c>
      <c r="L1033">
        <v>80</v>
      </c>
    </row>
    <row r="1034" spans="1:12" x14ac:dyDescent="0.3">
      <c r="A1034">
        <v>336</v>
      </c>
      <c r="B1034" t="s">
        <v>19</v>
      </c>
      <c r="C1034" s="1">
        <v>45872</v>
      </c>
      <c r="D1034" s="1" t="str">
        <f>TEXT(FMData[[#This Row],[Show_Date]],"mmm")</f>
        <v>Aug</v>
      </c>
      <c r="E1034" s="1" t="str">
        <f>TEXT(FMData[[#This Row],[Show_Date]],"ddd")</f>
        <v>Sun</v>
      </c>
      <c r="F1034" t="s">
        <v>16</v>
      </c>
      <c r="G1034" t="s">
        <v>17</v>
      </c>
      <c r="H1034">
        <v>4</v>
      </c>
      <c r="I1034">
        <v>12</v>
      </c>
      <c r="J1034" t="s">
        <v>23</v>
      </c>
      <c r="K1034" t="s">
        <v>18</v>
      </c>
      <c r="L1034">
        <v>48</v>
      </c>
    </row>
    <row r="1035" spans="1:12" x14ac:dyDescent="0.3">
      <c r="A1035">
        <v>732</v>
      </c>
      <c r="B1035" t="s">
        <v>24</v>
      </c>
      <c r="C1035" s="1">
        <v>45905</v>
      </c>
      <c r="D1035" s="1" t="str">
        <f>TEXT(FMData[[#This Row],[Show_Date]],"mmm")</f>
        <v>Sep</v>
      </c>
      <c r="E1035" s="1" t="str">
        <f>TEXT(FMData[[#This Row],[Show_Date]],"ddd")</f>
        <v>Fri</v>
      </c>
      <c r="F1035" t="s">
        <v>20</v>
      </c>
      <c r="G1035" t="s">
        <v>17</v>
      </c>
      <c r="H1035">
        <v>1</v>
      </c>
      <c r="I1035">
        <v>12</v>
      </c>
      <c r="J1035" t="s">
        <v>13</v>
      </c>
      <c r="K1035" t="s">
        <v>18</v>
      </c>
      <c r="L1035">
        <v>12</v>
      </c>
    </row>
    <row r="1036" spans="1:12" x14ac:dyDescent="0.3">
      <c r="A1036">
        <v>1611</v>
      </c>
      <c r="B1036" t="s">
        <v>15</v>
      </c>
      <c r="C1036" s="1">
        <v>45857</v>
      </c>
      <c r="D1036" s="1" t="str">
        <f>TEXT(FMData[[#This Row],[Show_Date]],"mmm")</f>
        <v>Jul</v>
      </c>
      <c r="E1036" s="1" t="str">
        <f>TEXT(FMData[[#This Row],[Show_Date]],"ddd")</f>
        <v>Sat</v>
      </c>
      <c r="F1036" t="s">
        <v>11</v>
      </c>
      <c r="G1036" t="s">
        <v>12</v>
      </c>
      <c r="H1036">
        <v>5</v>
      </c>
      <c r="I1036">
        <v>25</v>
      </c>
      <c r="J1036" t="s">
        <v>21</v>
      </c>
      <c r="K1036" t="s">
        <v>18</v>
      </c>
      <c r="L1036">
        <v>125</v>
      </c>
    </row>
    <row r="1037" spans="1:12" x14ac:dyDescent="0.3">
      <c r="A1037">
        <v>971</v>
      </c>
      <c r="B1037" t="s">
        <v>19</v>
      </c>
      <c r="C1037" s="1">
        <v>45865</v>
      </c>
      <c r="D1037" s="1" t="str">
        <f>TEXT(FMData[[#This Row],[Show_Date]],"mmm")</f>
        <v>Jul</v>
      </c>
      <c r="E1037" s="1" t="str">
        <f>TEXT(FMData[[#This Row],[Show_Date]],"ddd")</f>
        <v>Sun</v>
      </c>
      <c r="F1037" t="s">
        <v>16</v>
      </c>
      <c r="G1037" t="s">
        <v>17</v>
      </c>
      <c r="H1037">
        <v>1</v>
      </c>
      <c r="I1037">
        <v>12</v>
      </c>
      <c r="J1037" t="s">
        <v>21</v>
      </c>
      <c r="K1037" t="s">
        <v>18</v>
      </c>
      <c r="L1037">
        <v>12</v>
      </c>
    </row>
    <row r="1038" spans="1:12" x14ac:dyDescent="0.3">
      <c r="A1038">
        <v>645</v>
      </c>
      <c r="B1038" t="s">
        <v>19</v>
      </c>
      <c r="C1038" s="1">
        <v>45927</v>
      </c>
      <c r="D1038" s="1" t="str">
        <f>TEXT(FMData[[#This Row],[Show_Date]],"mmm")</f>
        <v>Sep</v>
      </c>
      <c r="E1038" s="1" t="str">
        <f>TEXT(FMData[[#This Row],[Show_Date]],"ddd")</f>
        <v>Sat</v>
      </c>
      <c r="F1038" t="s">
        <v>33</v>
      </c>
      <c r="G1038" t="s">
        <v>17</v>
      </c>
      <c r="H1038">
        <v>3</v>
      </c>
      <c r="I1038">
        <v>12</v>
      </c>
      <c r="J1038" t="s">
        <v>23</v>
      </c>
      <c r="K1038" t="s">
        <v>18</v>
      </c>
      <c r="L1038">
        <v>36</v>
      </c>
    </row>
    <row r="1039" spans="1:12" x14ac:dyDescent="0.3">
      <c r="A1039">
        <v>1856</v>
      </c>
      <c r="B1039" t="s">
        <v>26</v>
      </c>
      <c r="C1039" s="1">
        <v>45886</v>
      </c>
      <c r="D1039" s="1" t="str">
        <f>TEXT(FMData[[#This Row],[Show_Date]],"mmm")</f>
        <v>Aug</v>
      </c>
      <c r="E1039" s="1" t="str">
        <f>TEXT(FMData[[#This Row],[Show_Date]],"ddd")</f>
        <v>Sun</v>
      </c>
      <c r="F1039" t="s">
        <v>33</v>
      </c>
      <c r="G1039" t="s">
        <v>17</v>
      </c>
      <c r="H1039">
        <v>3</v>
      </c>
      <c r="I1039">
        <v>12</v>
      </c>
      <c r="J1039" t="s">
        <v>23</v>
      </c>
      <c r="K1039" t="s">
        <v>18</v>
      </c>
      <c r="L1039">
        <v>36</v>
      </c>
    </row>
    <row r="1040" spans="1:12" x14ac:dyDescent="0.3">
      <c r="A1040">
        <v>1984</v>
      </c>
      <c r="B1040" t="s">
        <v>32</v>
      </c>
      <c r="C1040" s="1">
        <v>45841</v>
      </c>
      <c r="D1040" s="1" t="str">
        <f>TEXT(FMData[[#This Row],[Show_Date]],"mmm")</f>
        <v>Jul</v>
      </c>
      <c r="E1040" s="1" t="str">
        <f>TEXT(FMData[[#This Row],[Show_Date]],"ddd")</f>
        <v>Thu</v>
      </c>
      <c r="F1040" t="s">
        <v>20</v>
      </c>
      <c r="G1040" t="s">
        <v>17</v>
      </c>
      <c r="H1040">
        <v>3</v>
      </c>
      <c r="I1040">
        <v>12</v>
      </c>
      <c r="J1040" t="s">
        <v>21</v>
      </c>
      <c r="K1040" t="s">
        <v>18</v>
      </c>
      <c r="L1040">
        <v>36</v>
      </c>
    </row>
    <row r="1041" spans="1:12" x14ac:dyDescent="0.3">
      <c r="A1041">
        <v>1393</v>
      </c>
      <c r="B1041" t="s">
        <v>19</v>
      </c>
      <c r="C1041" s="1">
        <v>45841</v>
      </c>
      <c r="D1041" s="1" t="str">
        <f>TEXT(FMData[[#This Row],[Show_Date]],"mmm")</f>
        <v>Jul</v>
      </c>
      <c r="E1041" s="1" t="str">
        <f>TEXT(FMData[[#This Row],[Show_Date]],"ddd")</f>
        <v>Thu</v>
      </c>
      <c r="F1041" t="s">
        <v>20</v>
      </c>
      <c r="G1041" t="s">
        <v>22</v>
      </c>
      <c r="H1041">
        <v>3</v>
      </c>
      <c r="I1041">
        <v>20</v>
      </c>
      <c r="J1041" t="s">
        <v>13</v>
      </c>
      <c r="K1041" t="s">
        <v>18</v>
      </c>
      <c r="L1041">
        <v>60</v>
      </c>
    </row>
    <row r="1042" spans="1:12" x14ac:dyDescent="0.3">
      <c r="A1042">
        <v>1293</v>
      </c>
      <c r="B1042" t="s">
        <v>31</v>
      </c>
      <c r="C1042" s="1">
        <v>45850</v>
      </c>
      <c r="D1042" s="1" t="str">
        <f>TEXT(FMData[[#This Row],[Show_Date]],"mmm")</f>
        <v>Jul</v>
      </c>
      <c r="E1042" s="1" t="str">
        <f>TEXT(FMData[[#This Row],[Show_Date]],"ddd")</f>
        <v>Sat</v>
      </c>
      <c r="F1042" t="s">
        <v>33</v>
      </c>
      <c r="G1042" t="s">
        <v>17</v>
      </c>
      <c r="H1042">
        <v>2</v>
      </c>
      <c r="I1042">
        <v>12</v>
      </c>
      <c r="J1042" t="s">
        <v>13</v>
      </c>
      <c r="K1042" t="s">
        <v>18</v>
      </c>
      <c r="L1042">
        <v>24</v>
      </c>
    </row>
    <row r="1043" spans="1:12" x14ac:dyDescent="0.3">
      <c r="A1043">
        <v>1899</v>
      </c>
      <c r="B1043" t="s">
        <v>19</v>
      </c>
      <c r="C1043" s="1">
        <v>45912</v>
      </c>
      <c r="D1043" s="1" t="str">
        <f>TEXT(FMData[[#This Row],[Show_Date]],"mmm")</f>
        <v>Sep</v>
      </c>
      <c r="E1043" s="1" t="str">
        <f>TEXT(FMData[[#This Row],[Show_Date]],"ddd")</f>
        <v>Fri</v>
      </c>
      <c r="F1043" t="s">
        <v>11</v>
      </c>
      <c r="G1043" t="s">
        <v>12</v>
      </c>
      <c r="H1043">
        <v>4</v>
      </c>
      <c r="I1043">
        <v>25</v>
      </c>
      <c r="J1043" t="s">
        <v>21</v>
      </c>
      <c r="K1043" t="s">
        <v>18</v>
      </c>
      <c r="L1043">
        <v>100</v>
      </c>
    </row>
    <row r="1044" spans="1:12" x14ac:dyDescent="0.3">
      <c r="A1044">
        <v>52</v>
      </c>
      <c r="B1044" t="s">
        <v>10</v>
      </c>
      <c r="C1044" s="1">
        <v>45858</v>
      </c>
      <c r="D1044" s="1" t="str">
        <f>TEXT(FMData[[#This Row],[Show_Date]],"mmm")</f>
        <v>Jul</v>
      </c>
      <c r="E1044" s="1" t="str">
        <f>TEXT(FMData[[#This Row],[Show_Date]],"ddd")</f>
        <v>Sun</v>
      </c>
      <c r="F1044" t="s">
        <v>11</v>
      </c>
      <c r="G1044" t="s">
        <v>17</v>
      </c>
      <c r="H1044">
        <v>5</v>
      </c>
      <c r="I1044">
        <v>12</v>
      </c>
      <c r="J1044" t="s">
        <v>23</v>
      </c>
      <c r="K1044" t="s">
        <v>18</v>
      </c>
      <c r="L1044">
        <v>60</v>
      </c>
    </row>
    <row r="1045" spans="1:12" x14ac:dyDescent="0.3">
      <c r="A1045">
        <v>1156</v>
      </c>
      <c r="B1045" t="s">
        <v>24</v>
      </c>
      <c r="C1045" s="1">
        <v>45860</v>
      </c>
      <c r="D1045" s="1" t="str">
        <f>TEXT(FMData[[#This Row],[Show_Date]],"mmm")</f>
        <v>Jul</v>
      </c>
      <c r="E1045" s="1" t="str">
        <f>TEXT(FMData[[#This Row],[Show_Date]],"ddd")</f>
        <v>Tue</v>
      </c>
      <c r="F1045" t="s">
        <v>11</v>
      </c>
      <c r="G1045" t="s">
        <v>12</v>
      </c>
      <c r="H1045">
        <v>1</v>
      </c>
      <c r="I1045">
        <v>25</v>
      </c>
      <c r="J1045" t="s">
        <v>13</v>
      </c>
      <c r="K1045" t="s">
        <v>18</v>
      </c>
      <c r="L1045">
        <v>25</v>
      </c>
    </row>
    <row r="1046" spans="1:12" x14ac:dyDescent="0.3">
      <c r="A1046">
        <v>617</v>
      </c>
      <c r="B1046" t="s">
        <v>24</v>
      </c>
      <c r="C1046" s="1">
        <v>45896</v>
      </c>
      <c r="D1046" s="1" t="str">
        <f>TEXT(FMData[[#This Row],[Show_Date]],"mmm")</f>
        <v>Aug</v>
      </c>
      <c r="E1046" s="1" t="str">
        <f>TEXT(FMData[[#This Row],[Show_Date]],"ddd")</f>
        <v>Wed</v>
      </c>
      <c r="F1046" t="s">
        <v>20</v>
      </c>
      <c r="G1046" t="s">
        <v>17</v>
      </c>
      <c r="H1046">
        <v>5</v>
      </c>
      <c r="I1046">
        <v>12</v>
      </c>
      <c r="J1046" t="s">
        <v>21</v>
      </c>
      <c r="K1046" t="s">
        <v>18</v>
      </c>
      <c r="L1046">
        <v>60</v>
      </c>
    </row>
    <row r="1047" spans="1:12" x14ac:dyDescent="0.3">
      <c r="A1047">
        <v>1597</v>
      </c>
      <c r="B1047" t="s">
        <v>31</v>
      </c>
      <c r="C1047" s="1">
        <v>45841</v>
      </c>
      <c r="D1047" s="1" t="str">
        <f>TEXT(FMData[[#This Row],[Show_Date]],"mmm")</f>
        <v>Jul</v>
      </c>
      <c r="E1047" s="1" t="str">
        <f>TEXT(FMData[[#This Row],[Show_Date]],"ddd")</f>
        <v>Thu</v>
      </c>
      <c r="F1047" t="s">
        <v>16</v>
      </c>
      <c r="G1047" t="s">
        <v>17</v>
      </c>
      <c r="H1047">
        <v>2</v>
      </c>
      <c r="I1047">
        <v>12</v>
      </c>
      <c r="J1047" t="s">
        <v>13</v>
      </c>
      <c r="K1047" t="s">
        <v>18</v>
      </c>
      <c r="L1047">
        <v>24</v>
      </c>
    </row>
    <row r="1048" spans="1:12" x14ac:dyDescent="0.3">
      <c r="A1048">
        <v>27</v>
      </c>
      <c r="B1048" t="s">
        <v>10</v>
      </c>
      <c r="C1048" s="1">
        <v>45904</v>
      </c>
      <c r="D1048" s="1" t="str">
        <f>TEXT(FMData[[#This Row],[Show_Date]],"mmm")</f>
        <v>Sep</v>
      </c>
      <c r="E1048" s="1" t="str">
        <f>TEXT(FMData[[#This Row],[Show_Date]],"ddd")</f>
        <v>Thu</v>
      </c>
      <c r="F1048" t="s">
        <v>11</v>
      </c>
      <c r="G1048" t="s">
        <v>30</v>
      </c>
      <c r="H1048">
        <v>4</v>
      </c>
      <c r="I1048">
        <v>8</v>
      </c>
      <c r="J1048" t="s">
        <v>13</v>
      </c>
      <c r="K1048" t="s">
        <v>18</v>
      </c>
      <c r="L1048">
        <v>32</v>
      </c>
    </row>
    <row r="1049" spans="1:12" x14ac:dyDescent="0.3">
      <c r="A1049">
        <v>1347</v>
      </c>
      <c r="B1049" t="s">
        <v>32</v>
      </c>
      <c r="C1049" s="1">
        <v>45920</v>
      </c>
      <c r="D1049" s="1" t="str">
        <f>TEXT(FMData[[#This Row],[Show_Date]],"mmm")</f>
        <v>Sep</v>
      </c>
      <c r="E1049" s="1" t="str">
        <f>TEXT(FMData[[#This Row],[Show_Date]],"ddd")</f>
        <v>Sat</v>
      </c>
      <c r="F1049" t="s">
        <v>20</v>
      </c>
      <c r="G1049" t="s">
        <v>17</v>
      </c>
      <c r="H1049">
        <v>1</v>
      </c>
      <c r="I1049">
        <v>12</v>
      </c>
      <c r="J1049" t="s">
        <v>23</v>
      </c>
      <c r="K1049" t="s">
        <v>18</v>
      </c>
      <c r="L1049">
        <v>12</v>
      </c>
    </row>
    <row r="1050" spans="1:12" x14ac:dyDescent="0.3">
      <c r="A1050">
        <v>1181</v>
      </c>
      <c r="B1050" t="s">
        <v>10</v>
      </c>
      <c r="C1050" s="1">
        <v>45890</v>
      </c>
      <c r="D1050" s="1" t="str">
        <f>TEXT(FMData[[#This Row],[Show_Date]],"mmm")</f>
        <v>Aug</v>
      </c>
      <c r="E1050" s="1" t="str">
        <f>TEXT(FMData[[#This Row],[Show_Date]],"ddd")</f>
        <v>Thu</v>
      </c>
      <c r="F1050" t="s">
        <v>33</v>
      </c>
      <c r="G1050" t="s">
        <v>17</v>
      </c>
      <c r="H1050">
        <v>4</v>
      </c>
      <c r="I1050">
        <v>12</v>
      </c>
      <c r="J1050" t="s">
        <v>13</v>
      </c>
      <c r="K1050" t="s">
        <v>18</v>
      </c>
      <c r="L1050">
        <v>48</v>
      </c>
    </row>
    <row r="1051" spans="1:12" x14ac:dyDescent="0.3">
      <c r="A1051">
        <v>1004</v>
      </c>
      <c r="B1051" t="s">
        <v>24</v>
      </c>
      <c r="C1051" s="1">
        <v>45843</v>
      </c>
      <c r="D1051" s="1" t="str">
        <f>TEXT(FMData[[#This Row],[Show_Date]],"mmm")</f>
        <v>Jul</v>
      </c>
      <c r="E1051" s="1" t="str">
        <f>TEXT(FMData[[#This Row],[Show_Date]],"ddd")</f>
        <v>Sat</v>
      </c>
      <c r="F1051" t="s">
        <v>16</v>
      </c>
      <c r="G1051" t="s">
        <v>12</v>
      </c>
      <c r="H1051">
        <v>5</v>
      </c>
      <c r="I1051">
        <v>25</v>
      </c>
      <c r="J1051" t="s">
        <v>21</v>
      </c>
      <c r="K1051" t="s">
        <v>18</v>
      </c>
      <c r="L1051">
        <v>125</v>
      </c>
    </row>
    <row r="1052" spans="1:12" x14ac:dyDescent="0.3">
      <c r="A1052">
        <v>1476</v>
      </c>
      <c r="B1052" t="s">
        <v>19</v>
      </c>
      <c r="C1052" s="1">
        <v>45879</v>
      </c>
      <c r="D1052" s="1" t="str">
        <f>TEXT(FMData[[#This Row],[Show_Date]],"mmm")</f>
        <v>Aug</v>
      </c>
      <c r="E1052" s="1" t="str">
        <f>TEXT(FMData[[#This Row],[Show_Date]],"ddd")</f>
        <v>Sun</v>
      </c>
      <c r="F1052" t="s">
        <v>11</v>
      </c>
      <c r="G1052" t="s">
        <v>22</v>
      </c>
      <c r="H1052">
        <v>4</v>
      </c>
      <c r="I1052">
        <v>20</v>
      </c>
      <c r="J1052" t="s">
        <v>23</v>
      </c>
      <c r="K1052" t="s">
        <v>18</v>
      </c>
      <c r="L1052">
        <v>80</v>
      </c>
    </row>
    <row r="1053" spans="1:12" x14ac:dyDescent="0.3">
      <c r="A1053">
        <v>1038</v>
      </c>
      <c r="B1053" t="s">
        <v>28</v>
      </c>
      <c r="C1053" s="1">
        <v>45920</v>
      </c>
      <c r="D1053" s="1" t="str">
        <f>TEXT(FMData[[#This Row],[Show_Date]],"mmm")</f>
        <v>Sep</v>
      </c>
      <c r="E1053" s="1" t="str">
        <f>TEXT(FMData[[#This Row],[Show_Date]],"ddd")</f>
        <v>Sat</v>
      </c>
      <c r="F1053" t="s">
        <v>16</v>
      </c>
      <c r="G1053" t="s">
        <v>29</v>
      </c>
      <c r="H1053">
        <v>2</v>
      </c>
      <c r="I1053">
        <v>30</v>
      </c>
      <c r="J1053" t="s">
        <v>21</v>
      </c>
      <c r="K1053" t="s">
        <v>18</v>
      </c>
      <c r="L1053">
        <v>60</v>
      </c>
    </row>
    <row r="1054" spans="1:12" x14ac:dyDescent="0.3">
      <c r="A1054">
        <v>1468</v>
      </c>
      <c r="B1054" t="s">
        <v>10</v>
      </c>
      <c r="C1054" s="1">
        <v>45894</v>
      </c>
      <c r="D1054" s="1" t="str">
        <f>TEXT(FMData[[#This Row],[Show_Date]],"mmm")</f>
        <v>Aug</v>
      </c>
      <c r="E1054" s="1" t="str">
        <f>TEXT(FMData[[#This Row],[Show_Date]],"ddd")</f>
        <v>Mon</v>
      </c>
      <c r="F1054" t="s">
        <v>20</v>
      </c>
      <c r="G1054" t="s">
        <v>30</v>
      </c>
      <c r="H1054">
        <v>4</v>
      </c>
      <c r="I1054">
        <v>8</v>
      </c>
      <c r="J1054" t="s">
        <v>21</v>
      </c>
      <c r="K1054" t="s">
        <v>18</v>
      </c>
      <c r="L1054">
        <v>32</v>
      </c>
    </row>
    <row r="1055" spans="1:12" x14ac:dyDescent="0.3">
      <c r="A1055">
        <v>1981</v>
      </c>
      <c r="B1055" t="s">
        <v>15</v>
      </c>
      <c r="C1055" s="1">
        <v>45857</v>
      </c>
      <c r="D1055" s="1" t="str">
        <f>TEXT(FMData[[#This Row],[Show_Date]],"mmm")</f>
        <v>Jul</v>
      </c>
      <c r="E1055" s="1" t="str">
        <f>TEXT(FMData[[#This Row],[Show_Date]],"ddd")</f>
        <v>Sat</v>
      </c>
      <c r="F1055" t="s">
        <v>20</v>
      </c>
      <c r="G1055" t="s">
        <v>22</v>
      </c>
      <c r="H1055">
        <v>1</v>
      </c>
      <c r="I1055">
        <v>20</v>
      </c>
      <c r="J1055" t="s">
        <v>21</v>
      </c>
      <c r="K1055" t="s">
        <v>18</v>
      </c>
      <c r="L1055">
        <v>20</v>
      </c>
    </row>
    <row r="1056" spans="1:12" x14ac:dyDescent="0.3">
      <c r="A1056">
        <v>363</v>
      </c>
      <c r="B1056" t="s">
        <v>24</v>
      </c>
      <c r="C1056" s="1">
        <v>45842</v>
      </c>
      <c r="D1056" s="1" t="str">
        <f>TEXT(FMData[[#This Row],[Show_Date]],"mmm")</f>
        <v>Jul</v>
      </c>
      <c r="E1056" s="1" t="str">
        <f>TEXT(FMData[[#This Row],[Show_Date]],"ddd")</f>
        <v>Fri</v>
      </c>
      <c r="F1056" t="s">
        <v>11</v>
      </c>
      <c r="G1056" t="s">
        <v>17</v>
      </c>
      <c r="H1056">
        <v>1</v>
      </c>
      <c r="I1056">
        <v>12</v>
      </c>
      <c r="J1056" t="s">
        <v>21</v>
      </c>
      <c r="K1056" t="s">
        <v>18</v>
      </c>
      <c r="L1056">
        <v>12</v>
      </c>
    </row>
    <row r="1057" spans="1:12" x14ac:dyDescent="0.3">
      <c r="A1057">
        <v>919</v>
      </c>
      <c r="B1057" t="s">
        <v>31</v>
      </c>
      <c r="C1057" s="1">
        <v>45899</v>
      </c>
      <c r="D1057" s="1" t="str">
        <f>TEXT(FMData[[#This Row],[Show_Date]],"mmm")</f>
        <v>Aug</v>
      </c>
      <c r="E1057" s="1" t="str">
        <f>TEXT(FMData[[#This Row],[Show_Date]],"ddd")</f>
        <v>Sat</v>
      </c>
      <c r="F1057" t="s">
        <v>16</v>
      </c>
      <c r="G1057" t="s">
        <v>17</v>
      </c>
      <c r="H1057">
        <v>3</v>
      </c>
      <c r="I1057">
        <v>12</v>
      </c>
      <c r="J1057" t="s">
        <v>21</v>
      </c>
      <c r="K1057" t="s">
        <v>18</v>
      </c>
      <c r="L1057">
        <v>36</v>
      </c>
    </row>
    <row r="1058" spans="1:12" x14ac:dyDescent="0.3">
      <c r="A1058">
        <v>1177</v>
      </c>
      <c r="B1058" t="s">
        <v>28</v>
      </c>
      <c r="C1058" s="1">
        <v>45913</v>
      </c>
      <c r="D1058" s="1" t="str">
        <f>TEXT(FMData[[#This Row],[Show_Date]],"mmm")</f>
        <v>Sep</v>
      </c>
      <c r="E1058" s="1" t="str">
        <f>TEXT(FMData[[#This Row],[Show_Date]],"ddd")</f>
        <v>Sat</v>
      </c>
      <c r="F1058" t="s">
        <v>20</v>
      </c>
      <c r="G1058" t="s">
        <v>30</v>
      </c>
      <c r="H1058">
        <v>3</v>
      </c>
      <c r="I1058">
        <v>8</v>
      </c>
      <c r="J1058" t="s">
        <v>23</v>
      </c>
      <c r="K1058" t="s">
        <v>18</v>
      </c>
      <c r="L1058">
        <v>24</v>
      </c>
    </row>
    <row r="1059" spans="1:12" x14ac:dyDescent="0.3">
      <c r="A1059">
        <v>976</v>
      </c>
      <c r="B1059" t="s">
        <v>26</v>
      </c>
      <c r="C1059" s="1">
        <v>45906</v>
      </c>
      <c r="D1059" s="1" t="str">
        <f>TEXT(FMData[[#This Row],[Show_Date]],"mmm")</f>
        <v>Sep</v>
      </c>
      <c r="E1059" s="1" t="str">
        <f>TEXT(FMData[[#This Row],[Show_Date]],"ddd")</f>
        <v>Sat</v>
      </c>
      <c r="F1059" t="s">
        <v>11</v>
      </c>
      <c r="G1059" t="s">
        <v>17</v>
      </c>
      <c r="H1059">
        <v>4</v>
      </c>
      <c r="I1059">
        <v>12</v>
      </c>
      <c r="J1059" t="s">
        <v>13</v>
      </c>
      <c r="K1059" t="s">
        <v>18</v>
      </c>
      <c r="L1059">
        <v>48</v>
      </c>
    </row>
    <row r="1060" spans="1:12" x14ac:dyDescent="0.3">
      <c r="A1060">
        <v>1906</v>
      </c>
      <c r="B1060" t="s">
        <v>26</v>
      </c>
      <c r="C1060" s="1">
        <v>45893</v>
      </c>
      <c r="D1060" s="1" t="str">
        <f>TEXT(FMData[[#This Row],[Show_Date]],"mmm")</f>
        <v>Aug</v>
      </c>
      <c r="E1060" s="1" t="str">
        <f>TEXT(FMData[[#This Row],[Show_Date]],"ddd")</f>
        <v>Sun</v>
      </c>
      <c r="F1060" t="s">
        <v>16</v>
      </c>
      <c r="G1060" t="s">
        <v>17</v>
      </c>
      <c r="H1060">
        <v>4</v>
      </c>
      <c r="I1060">
        <v>12</v>
      </c>
      <c r="J1060" t="s">
        <v>13</v>
      </c>
      <c r="K1060" t="s">
        <v>18</v>
      </c>
      <c r="L1060">
        <v>48</v>
      </c>
    </row>
    <row r="1061" spans="1:12" x14ac:dyDescent="0.3">
      <c r="A1061">
        <v>1031</v>
      </c>
      <c r="B1061" t="s">
        <v>28</v>
      </c>
      <c r="C1061" s="1">
        <v>45921</v>
      </c>
      <c r="D1061" s="1" t="str">
        <f>TEXT(FMData[[#This Row],[Show_Date]],"mmm")</f>
        <v>Sep</v>
      </c>
      <c r="E1061" s="1" t="str">
        <f>TEXT(FMData[[#This Row],[Show_Date]],"ddd")</f>
        <v>Sun</v>
      </c>
      <c r="F1061" t="s">
        <v>11</v>
      </c>
      <c r="G1061" t="s">
        <v>17</v>
      </c>
      <c r="H1061">
        <v>4</v>
      </c>
      <c r="I1061">
        <v>12</v>
      </c>
      <c r="J1061" t="s">
        <v>21</v>
      </c>
      <c r="K1061" t="s">
        <v>18</v>
      </c>
      <c r="L1061">
        <v>48</v>
      </c>
    </row>
    <row r="1062" spans="1:12" x14ac:dyDescent="0.3">
      <c r="A1062">
        <v>1655</v>
      </c>
      <c r="B1062" t="s">
        <v>26</v>
      </c>
      <c r="C1062" s="1">
        <v>45878</v>
      </c>
      <c r="D1062" s="1" t="str">
        <f>TEXT(FMData[[#This Row],[Show_Date]],"mmm")</f>
        <v>Aug</v>
      </c>
      <c r="E1062" s="1" t="str">
        <f>TEXT(FMData[[#This Row],[Show_Date]],"ddd")</f>
        <v>Sat</v>
      </c>
      <c r="F1062" t="s">
        <v>20</v>
      </c>
      <c r="G1062" t="s">
        <v>17</v>
      </c>
      <c r="H1062">
        <v>1</v>
      </c>
      <c r="I1062">
        <v>12</v>
      </c>
      <c r="J1062" t="s">
        <v>13</v>
      </c>
      <c r="K1062" t="s">
        <v>18</v>
      </c>
      <c r="L1062">
        <v>12</v>
      </c>
    </row>
    <row r="1063" spans="1:12" x14ac:dyDescent="0.3">
      <c r="A1063">
        <v>1607</v>
      </c>
      <c r="B1063" t="s">
        <v>26</v>
      </c>
      <c r="C1063" s="1">
        <v>45849</v>
      </c>
      <c r="D1063" s="1" t="str">
        <f>TEXT(FMData[[#This Row],[Show_Date]],"mmm")</f>
        <v>Jul</v>
      </c>
      <c r="E1063" s="1" t="str">
        <f>TEXT(FMData[[#This Row],[Show_Date]],"ddd")</f>
        <v>Fri</v>
      </c>
      <c r="F1063" t="s">
        <v>20</v>
      </c>
      <c r="G1063" t="s">
        <v>22</v>
      </c>
      <c r="H1063">
        <v>2</v>
      </c>
      <c r="I1063">
        <v>20</v>
      </c>
      <c r="J1063" t="s">
        <v>21</v>
      </c>
      <c r="K1063" t="s">
        <v>18</v>
      </c>
      <c r="L1063">
        <v>40</v>
      </c>
    </row>
    <row r="1064" spans="1:12" x14ac:dyDescent="0.3">
      <c r="A1064">
        <v>1949</v>
      </c>
      <c r="B1064" t="s">
        <v>31</v>
      </c>
      <c r="C1064" s="1">
        <v>45891</v>
      </c>
      <c r="D1064" s="1" t="str">
        <f>TEXT(FMData[[#This Row],[Show_Date]],"mmm")</f>
        <v>Aug</v>
      </c>
      <c r="E1064" s="1" t="str">
        <f>TEXT(FMData[[#This Row],[Show_Date]],"ddd")</f>
        <v>Fri</v>
      </c>
      <c r="F1064" t="s">
        <v>33</v>
      </c>
      <c r="G1064" t="s">
        <v>17</v>
      </c>
      <c r="H1064">
        <v>4</v>
      </c>
      <c r="I1064">
        <v>12</v>
      </c>
      <c r="J1064" t="s">
        <v>13</v>
      </c>
      <c r="K1064" t="s">
        <v>18</v>
      </c>
      <c r="L1064">
        <v>48</v>
      </c>
    </row>
    <row r="1065" spans="1:12" x14ac:dyDescent="0.3">
      <c r="A1065">
        <v>1374</v>
      </c>
      <c r="B1065" t="s">
        <v>26</v>
      </c>
      <c r="C1065" s="1">
        <v>45865</v>
      </c>
      <c r="D1065" s="1" t="str">
        <f>TEXT(FMData[[#This Row],[Show_Date]],"mmm")</f>
        <v>Jul</v>
      </c>
      <c r="E1065" s="1" t="str">
        <f>TEXT(FMData[[#This Row],[Show_Date]],"ddd")</f>
        <v>Sun</v>
      </c>
      <c r="F1065" t="s">
        <v>11</v>
      </c>
      <c r="G1065" t="s">
        <v>30</v>
      </c>
      <c r="H1065">
        <v>2</v>
      </c>
      <c r="I1065">
        <v>8</v>
      </c>
      <c r="J1065" t="s">
        <v>13</v>
      </c>
      <c r="K1065" t="s">
        <v>18</v>
      </c>
      <c r="L1065">
        <v>16</v>
      </c>
    </row>
    <row r="1066" spans="1:12" x14ac:dyDescent="0.3">
      <c r="A1066">
        <v>865</v>
      </c>
      <c r="B1066" t="s">
        <v>31</v>
      </c>
      <c r="C1066" s="1">
        <v>45881</v>
      </c>
      <c r="D1066" s="1" t="str">
        <f>TEXT(FMData[[#This Row],[Show_Date]],"mmm")</f>
        <v>Aug</v>
      </c>
      <c r="E1066" s="1" t="str">
        <f>TEXT(FMData[[#This Row],[Show_Date]],"ddd")</f>
        <v>Tue</v>
      </c>
      <c r="F1066" t="s">
        <v>20</v>
      </c>
      <c r="G1066" t="s">
        <v>17</v>
      </c>
      <c r="H1066">
        <v>5</v>
      </c>
      <c r="I1066">
        <v>12</v>
      </c>
      <c r="J1066" t="s">
        <v>23</v>
      </c>
      <c r="K1066" t="s">
        <v>18</v>
      </c>
      <c r="L1066">
        <v>60</v>
      </c>
    </row>
    <row r="1067" spans="1:12" x14ac:dyDescent="0.3">
      <c r="A1067">
        <v>76</v>
      </c>
      <c r="B1067" t="s">
        <v>26</v>
      </c>
      <c r="C1067" s="1">
        <v>45894</v>
      </c>
      <c r="D1067" s="1" t="str">
        <f>TEXT(FMData[[#This Row],[Show_Date]],"mmm")</f>
        <v>Aug</v>
      </c>
      <c r="E1067" s="1" t="str">
        <f>TEXT(FMData[[#This Row],[Show_Date]],"ddd")</f>
        <v>Mon</v>
      </c>
      <c r="F1067" t="s">
        <v>11</v>
      </c>
      <c r="G1067" t="s">
        <v>22</v>
      </c>
      <c r="H1067">
        <v>4</v>
      </c>
      <c r="I1067">
        <v>20</v>
      </c>
      <c r="J1067" t="s">
        <v>13</v>
      </c>
      <c r="K1067" t="s">
        <v>18</v>
      </c>
      <c r="L1067">
        <v>80</v>
      </c>
    </row>
    <row r="1068" spans="1:12" x14ac:dyDescent="0.3">
      <c r="A1068">
        <v>1948</v>
      </c>
      <c r="B1068" t="s">
        <v>26</v>
      </c>
      <c r="C1068" s="1">
        <v>45916</v>
      </c>
      <c r="D1068" s="1" t="str">
        <f>TEXT(FMData[[#This Row],[Show_Date]],"mmm")</f>
        <v>Sep</v>
      </c>
      <c r="E1068" s="1" t="str">
        <f>TEXT(FMData[[#This Row],[Show_Date]],"ddd")</f>
        <v>Tue</v>
      </c>
      <c r="F1068" t="s">
        <v>11</v>
      </c>
      <c r="G1068" t="s">
        <v>12</v>
      </c>
      <c r="H1068">
        <v>5</v>
      </c>
      <c r="I1068">
        <v>25</v>
      </c>
      <c r="J1068" t="s">
        <v>23</v>
      </c>
      <c r="K1068" t="s">
        <v>18</v>
      </c>
      <c r="L1068">
        <v>125</v>
      </c>
    </row>
    <row r="1069" spans="1:12" x14ac:dyDescent="0.3">
      <c r="A1069">
        <v>596</v>
      </c>
      <c r="B1069" t="s">
        <v>31</v>
      </c>
      <c r="C1069" s="1">
        <v>45907</v>
      </c>
      <c r="D1069" s="1" t="str">
        <f>TEXT(FMData[[#This Row],[Show_Date]],"mmm")</f>
        <v>Sep</v>
      </c>
      <c r="E1069" s="1" t="str">
        <f>TEXT(FMData[[#This Row],[Show_Date]],"ddd")</f>
        <v>Sun</v>
      </c>
      <c r="F1069" t="s">
        <v>16</v>
      </c>
      <c r="G1069" t="s">
        <v>30</v>
      </c>
      <c r="H1069">
        <v>3</v>
      </c>
      <c r="I1069">
        <v>8</v>
      </c>
      <c r="J1069" t="s">
        <v>13</v>
      </c>
      <c r="K1069" t="s">
        <v>18</v>
      </c>
      <c r="L1069">
        <v>24</v>
      </c>
    </row>
    <row r="1070" spans="1:12" x14ac:dyDescent="0.3">
      <c r="A1070">
        <v>1352</v>
      </c>
      <c r="B1070" t="s">
        <v>19</v>
      </c>
      <c r="C1070" s="1">
        <v>45873</v>
      </c>
      <c r="D1070" s="1" t="str">
        <f>TEXT(FMData[[#This Row],[Show_Date]],"mmm")</f>
        <v>Aug</v>
      </c>
      <c r="E1070" s="1" t="str">
        <f>TEXT(FMData[[#This Row],[Show_Date]],"ddd")</f>
        <v>Mon</v>
      </c>
      <c r="F1070" t="s">
        <v>20</v>
      </c>
      <c r="G1070" t="s">
        <v>17</v>
      </c>
      <c r="H1070">
        <v>2</v>
      </c>
      <c r="I1070">
        <v>12</v>
      </c>
      <c r="J1070" t="s">
        <v>21</v>
      </c>
      <c r="K1070" t="s">
        <v>18</v>
      </c>
      <c r="L1070">
        <v>24</v>
      </c>
    </row>
    <row r="1071" spans="1:12" x14ac:dyDescent="0.3">
      <c r="A1071">
        <v>317</v>
      </c>
      <c r="B1071" t="s">
        <v>32</v>
      </c>
      <c r="C1071" s="1">
        <v>45875</v>
      </c>
      <c r="D1071" s="1" t="str">
        <f>TEXT(FMData[[#This Row],[Show_Date]],"mmm")</f>
        <v>Aug</v>
      </c>
      <c r="E1071" s="1" t="str">
        <f>TEXT(FMData[[#This Row],[Show_Date]],"ddd")</f>
        <v>Wed</v>
      </c>
      <c r="F1071" t="s">
        <v>20</v>
      </c>
      <c r="G1071" t="s">
        <v>17</v>
      </c>
      <c r="H1071">
        <v>1</v>
      </c>
      <c r="I1071">
        <v>12</v>
      </c>
      <c r="J1071" t="s">
        <v>23</v>
      </c>
      <c r="K1071" t="s">
        <v>18</v>
      </c>
      <c r="L1071">
        <v>12</v>
      </c>
    </row>
    <row r="1072" spans="1:12" x14ac:dyDescent="0.3">
      <c r="A1072">
        <v>1994</v>
      </c>
      <c r="B1072" t="s">
        <v>24</v>
      </c>
      <c r="C1072" s="1">
        <v>45878</v>
      </c>
      <c r="D1072" s="1" t="str">
        <f>TEXT(FMData[[#This Row],[Show_Date]],"mmm")</f>
        <v>Aug</v>
      </c>
      <c r="E1072" s="1" t="str">
        <f>TEXT(FMData[[#This Row],[Show_Date]],"ddd")</f>
        <v>Sat</v>
      </c>
      <c r="F1072" t="s">
        <v>33</v>
      </c>
      <c r="G1072" t="s">
        <v>17</v>
      </c>
      <c r="H1072">
        <v>2</v>
      </c>
      <c r="I1072">
        <v>12</v>
      </c>
      <c r="J1072" t="s">
        <v>13</v>
      </c>
      <c r="K1072" t="s">
        <v>18</v>
      </c>
      <c r="L1072">
        <v>24</v>
      </c>
    </row>
    <row r="1073" spans="1:12" x14ac:dyDescent="0.3">
      <c r="A1073">
        <v>431</v>
      </c>
      <c r="B1073" t="s">
        <v>24</v>
      </c>
      <c r="C1073" s="1">
        <v>45871</v>
      </c>
      <c r="D1073" s="1" t="str">
        <f>TEXT(FMData[[#This Row],[Show_Date]],"mmm")</f>
        <v>Aug</v>
      </c>
      <c r="E1073" s="1" t="str">
        <f>TEXT(FMData[[#This Row],[Show_Date]],"ddd")</f>
        <v>Sat</v>
      </c>
      <c r="F1073" t="s">
        <v>16</v>
      </c>
      <c r="G1073" t="s">
        <v>12</v>
      </c>
      <c r="H1073">
        <v>4</v>
      </c>
      <c r="I1073">
        <v>25</v>
      </c>
      <c r="J1073" t="s">
        <v>21</v>
      </c>
      <c r="K1073" t="s">
        <v>18</v>
      </c>
      <c r="L1073">
        <v>100</v>
      </c>
    </row>
    <row r="1074" spans="1:12" x14ac:dyDescent="0.3">
      <c r="A1074">
        <v>1263</v>
      </c>
      <c r="B1074" t="s">
        <v>28</v>
      </c>
      <c r="C1074" s="1">
        <v>45843</v>
      </c>
      <c r="D1074" s="1" t="str">
        <f>TEXT(FMData[[#This Row],[Show_Date]],"mmm")</f>
        <v>Jul</v>
      </c>
      <c r="E1074" s="1" t="str">
        <f>TEXT(FMData[[#This Row],[Show_Date]],"ddd")</f>
        <v>Sat</v>
      </c>
      <c r="F1074" t="s">
        <v>33</v>
      </c>
      <c r="G1074" t="s">
        <v>17</v>
      </c>
      <c r="H1074">
        <v>1</v>
      </c>
      <c r="I1074">
        <v>12</v>
      </c>
      <c r="J1074" t="s">
        <v>21</v>
      </c>
      <c r="K1074" t="s">
        <v>18</v>
      </c>
      <c r="L1074">
        <v>12</v>
      </c>
    </row>
    <row r="1075" spans="1:12" x14ac:dyDescent="0.3">
      <c r="A1075">
        <v>1430</v>
      </c>
      <c r="B1075" t="s">
        <v>28</v>
      </c>
      <c r="C1075" s="1">
        <v>45865</v>
      </c>
      <c r="D1075" s="1" t="str">
        <f>TEXT(FMData[[#This Row],[Show_Date]],"mmm")</f>
        <v>Jul</v>
      </c>
      <c r="E1075" s="1" t="str">
        <f>TEXT(FMData[[#This Row],[Show_Date]],"ddd")</f>
        <v>Sun</v>
      </c>
      <c r="F1075" t="s">
        <v>20</v>
      </c>
      <c r="G1075" t="s">
        <v>12</v>
      </c>
      <c r="H1075">
        <v>4</v>
      </c>
      <c r="I1075">
        <v>25</v>
      </c>
      <c r="J1075" t="s">
        <v>21</v>
      </c>
      <c r="K1075" t="s">
        <v>18</v>
      </c>
      <c r="L1075">
        <v>100</v>
      </c>
    </row>
    <row r="1076" spans="1:12" x14ac:dyDescent="0.3">
      <c r="A1076">
        <v>425</v>
      </c>
      <c r="B1076" t="s">
        <v>19</v>
      </c>
      <c r="C1076" s="1">
        <v>45842</v>
      </c>
      <c r="D1076" s="1" t="str">
        <f>TEXT(FMData[[#This Row],[Show_Date]],"mmm")</f>
        <v>Jul</v>
      </c>
      <c r="E1076" s="1" t="str">
        <f>TEXT(FMData[[#This Row],[Show_Date]],"ddd")</f>
        <v>Fri</v>
      </c>
      <c r="F1076" t="s">
        <v>11</v>
      </c>
      <c r="G1076" t="s">
        <v>17</v>
      </c>
      <c r="H1076">
        <v>5</v>
      </c>
      <c r="I1076">
        <v>12</v>
      </c>
      <c r="J1076" t="s">
        <v>23</v>
      </c>
      <c r="K1076" t="s">
        <v>18</v>
      </c>
      <c r="L1076">
        <v>60</v>
      </c>
    </row>
    <row r="1077" spans="1:12" x14ac:dyDescent="0.3">
      <c r="A1077">
        <v>555</v>
      </c>
      <c r="B1077" t="s">
        <v>24</v>
      </c>
      <c r="C1077" s="1">
        <v>45891</v>
      </c>
      <c r="D1077" s="1" t="str">
        <f>TEXT(FMData[[#This Row],[Show_Date]],"mmm")</f>
        <v>Aug</v>
      </c>
      <c r="E1077" s="1" t="str">
        <f>TEXT(FMData[[#This Row],[Show_Date]],"ddd")</f>
        <v>Fri</v>
      </c>
      <c r="F1077" t="s">
        <v>33</v>
      </c>
      <c r="G1077" t="s">
        <v>17</v>
      </c>
      <c r="H1077">
        <v>3</v>
      </c>
      <c r="I1077">
        <v>12</v>
      </c>
      <c r="J1077" t="s">
        <v>13</v>
      </c>
      <c r="K1077" t="s">
        <v>18</v>
      </c>
      <c r="L1077">
        <v>36</v>
      </c>
    </row>
    <row r="1078" spans="1:12" x14ac:dyDescent="0.3">
      <c r="A1078">
        <v>945</v>
      </c>
      <c r="B1078" t="s">
        <v>15</v>
      </c>
      <c r="C1078" s="1">
        <v>45900</v>
      </c>
      <c r="D1078" s="1" t="str">
        <f>TEXT(FMData[[#This Row],[Show_Date]],"mmm")</f>
        <v>Aug</v>
      </c>
      <c r="E1078" s="1" t="str">
        <f>TEXT(FMData[[#This Row],[Show_Date]],"ddd")</f>
        <v>Sun</v>
      </c>
      <c r="F1078" t="s">
        <v>16</v>
      </c>
      <c r="G1078" t="s">
        <v>30</v>
      </c>
      <c r="H1078">
        <v>4</v>
      </c>
      <c r="I1078">
        <v>8</v>
      </c>
      <c r="J1078" t="s">
        <v>21</v>
      </c>
      <c r="K1078" t="s">
        <v>18</v>
      </c>
      <c r="L1078">
        <v>32</v>
      </c>
    </row>
    <row r="1079" spans="1:12" x14ac:dyDescent="0.3">
      <c r="A1079">
        <v>655</v>
      </c>
      <c r="B1079" t="s">
        <v>10</v>
      </c>
      <c r="C1079" s="1">
        <v>45844</v>
      </c>
      <c r="D1079" s="1" t="str">
        <f>TEXT(FMData[[#This Row],[Show_Date]],"mmm")</f>
        <v>Jul</v>
      </c>
      <c r="E1079" s="1" t="str">
        <f>TEXT(FMData[[#This Row],[Show_Date]],"ddd")</f>
        <v>Sun</v>
      </c>
      <c r="F1079" t="s">
        <v>11</v>
      </c>
      <c r="G1079" t="s">
        <v>30</v>
      </c>
      <c r="H1079">
        <v>4</v>
      </c>
      <c r="I1079">
        <v>8</v>
      </c>
      <c r="J1079" t="s">
        <v>13</v>
      </c>
      <c r="K1079" t="s">
        <v>18</v>
      </c>
      <c r="L1079">
        <v>32</v>
      </c>
    </row>
    <row r="1080" spans="1:12" x14ac:dyDescent="0.3">
      <c r="A1080">
        <v>1732</v>
      </c>
      <c r="B1080" t="s">
        <v>32</v>
      </c>
      <c r="C1080" s="1">
        <v>45856</v>
      </c>
      <c r="D1080" s="1" t="str">
        <f>TEXT(FMData[[#This Row],[Show_Date]],"mmm")</f>
        <v>Jul</v>
      </c>
      <c r="E1080" s="1" t="str">
        <f>TEXT(FMData[[#This Row],[Show_Date]],"ddd")</f>
        <v>Fri</v>
      </c>
      <c r="F1080" t="s">
        <v>16</v>
      </c>
      <c r="G1080" t="s">
        <v>29</v>
      </c>
      <c r="H1080">
        <v>4</v>
      </c>
      <c r="I1080">
        <v>30</v>
      </c>
      <c r="J1080" t="s">
        <v>21</v>
      </c>
      <c r="K1080" t="s">
        <v>18</v>
      </c>
      <c r="L1080">
        <v>120</v>
      </c>
    </row>
    <row r="1081" spans="1:12" x14ac:dyDescent="0.3">
      <c r="A1081">
        <v>1456</v>
      </c>
      <c r="B1081" t="s">
        <v>15</v>
      </c>
      <c r="C1081" s="1">
        <v>45888</v>
      </c>
      <c r="D1081" s="1" t="str">
        <f>TEXT(FMData[[#This Row],[Show_Date]],"mmm")</f>
        <v>Aug</v>
      </c>
      <c r="E1081" s="1" t="str">
        <f>TEXT(FMData[[#This Row],[Show_Date]],"ddd")</f>
        <v>Tue</v>
      </c>
      <c r="F1081" t="s">
        <v>16</v>
      </c>
      <c r="G1081" t="s">
        <v>17</v>
      </c>
      <c r="H1081">
        <v>5</v>
      </c>
      <c r="I1081">
        <v>12</v>
      </c>
      <c r="J1081" t="s">
        <v>23</v>
      </c>
      <c r="K1081" t="s">
        <v>18</v>
      </c>
      <c r="L1081">
        <v>60</v>
      </c>
    </row>
    <row r="1082" spans="1:12" x14ac:dyDescent="0.3">
      <c r="A1082">
        <v>1762</v>
      </c>
      <c r="B1082" t="s">
        <v>28</v>
      </c>
      <c r="C1082" s="1">
        <v>45907</v>
      </c>
      <c r="D1082" s="1" t="str">
        <f>TEXT(FMData[[#This Row],[Show_Date]],"mmm")</f>
        <v>Sep</v>
      </c>
      <c r="E1082" s="1" t="str">
        <f>TEXT(FMData[[#This Row],[Show_Date]],"ddd")</f>
        <v>Sun</v>
      </c>
      <c r="F1082" t="s">
        <v>20</v>
      </c>
      <c r="G1082" t="s">
        <v>30</v>
      </c>
      <c r="H1082">
        <v>5</v>
      </c>
      <c r="I1082">
        <v>8</v>
      </c>
      <c r="J1082" t="s">
        <v>23</v>
      </c>
      <c r="K1082" t="s">
        <v>18</v>
      </c>
      <c r="L1082">
        <v>40</v>
      </c>
    </row>
    <row r="1083" spans="1:12" x14ac:dyDescent="0.3">
      <c r="A1083">
        <v>1684</v>
      </c>
      <c r="B1083" t="s">
        <v>24</v>
      </c>
      <c r="C1083" s="1">
        <v>45902</v>
      </c>
      <c r="D1083" s="1" t="str">
        <f>TEXT(FMData[[#This Row],[Show_Date]],"mmm")</f>
        <v>Sep</v>
      </c>
      <c r="E1083" s="1" t="str">
        <f>TEXT(FMData[[#This Row],[Show_Date]],"ddd")</f>
        <v>Tue</v>
      </c>
      <c r="F1083" t="s">
        <v>20</v>
      </c>
      <c r="G1083" t="s">
        <v>17</v>
      </c>
      <c r="H1083">
        <v>2</v>
      </c>
      <c r="I1083">
        <v>12</v>
      </c>
      <c r="J1083" t="s">
        <v>13</v>
      </c>
      <c r="K1083" t="s">
        <v>18</v>
      </c>
      <c r="L1083">
        <v>24</v>
      </c>
    </row>
    <row r="1084" spans="1:12" x14ac:dyDescent="0.3">
      <c r="A1084">
        <v>1162</v>
      </c>
      <c r="B1084" t="s">
        <v>15</v>
      </c>
      <c r="C1084" s="1">
        <v>45856</v>
      </c>
      <c r="D1084" s="1" t="str">
        <f>TEXT(FMData[[#This Row],[Show_Date]],"mmm")</f>
        <v>Jul</v>
      </c>
      <c r="E1084" s="1" t="str">
        <f>TEXT(FMData[[#This Row],[Show_Date]],"ddd")</f>
        <v>Fri</v>
      </c>
      <c r="F1084" t="s">
        <v>33</v>
      </c>
      <c r="G1084" t="s">
        <v>17</v>
      </c>
      <c r="H1084">
        <v>5</v>
      </c>
      <c r="I1084">
        <v>12</v>
      </c>
      <c r="J1084" t="s">
        <v>21</v>
      </c>
      <c r="K1084" t="s">
        <v>18</v>
      </c>
      <c r="L1084">
        <v>60</v>
      </c>
    </row>
    <row r="1085" spans="1:12" x14ac:dyDescent="0.3">
      <c r="A1085">
        <v>1725</v>
      </c>
      <c r="B1085" t="s">
        <v>26</v>
      </c>
      <c r="C1085" s="1">
        <v>45927</v>
      </c>
      <c r="D1085" s="1" t="str">
        <f>TEXT(FMData[[#This Row],[Show_Date]],"mmm")</f>
        <v>Sep</v>
      </c>
      <c r="E1085" s="1" t="str">
        <f>TEXT(FMData[[#This Row],[Show_Date]],"ddd")</f>
        <v>Sat</v>
      </c>
      <c r="F1085" t="s">
        <v>11</v>
      </c>
      <c r="G1085" t="s">
        <v>17</v>
      </c>
      <c r="H1085">
        <v>4</v>
      </c>
      <c r="I1085">
        <v>12</v>
      </c>
      <c r="J1085" t="s">
        <v>23</v>
      </c>
      <c r="K1085" t="s">
        <v>18</v>
      </c>
      <c r="L1085">
        <v>48</v>
      </c>
    </row>
    <row r="1086" spans="1:12" x14ac:dyDescent="0.3">
      <c r="A1086">
        <v>1383</v>
      </c>
      <c r="B1086" t="s">
        <v>32</v>
      </c>
      <c r="C1086" s="1">
        <v>45853</v>
      </c>
      <c r="D1086" s="1" t="str">
        <f>TEXT(FMData[[#This Row],[Show_Date]],"mmm")</f>
        <v>Jul</v>
      </c>
      <c r="E1086" s="1" t="str">
        <f>TEXT(FMData[[#This Row],[Show_Date]],"ddd")</f>
        <v>Tue</v>
      </c>
      <c r="F1086" t="s">
        <v>11</v>
      </c>
      <c r="G1086" t="s">
        <v>17</v>
      </c>
      <c r="H1086">
        <v>3</v>
      </c>
      <c r="I1086">
        <v>12</v>
      </c>
      <c r="J1086" t="s">
        <v>23</v>
      </c>
      <c r="K1086" t="s">
        <v>18</v>
      </c>
      <c r="L1086">
        <v>36</v>
      </c>
    </row>
    <row r="1087" spans="1:12" x14ac:dyDescent="0.3">
      <c r="A1087">
        <v>549</v>
      </c>
      <c r="B1087" t="s">
        <v>26</v>
      </c>
      <c r="C1087" s="1">
        <v>45917</v>
      </c>
      <c r="D1087" s="1" t="str">
        <f>TEXT(FMData[[#This Row],[Show_Date]],"mmm")</f>
        <v>Sep</v>
      </c>
      <c r="E1087" s="1" t="str">
        <f>TEXT(FMData[[#This Row],[Show_Date]],"ddd")</f>
        <v>Wed</v>
      </c>
      <c r="F1087" t="s">
        <v>20</v>
      </c>
      <c r="G1087" t="s">
        <v>17</v>
      </c>
      <c r="H1087">
        <v>4</v>
      </c>
      <c r="I1087">
        <v>12</v>
      </c>
      <c r="J1087" t="s">
        <v>23</v>
      </c>
      <c r="K1087" t="s">
        <v>18</v>
      </c>
      <c r="L1087">
        <v>48</v>
      </c>
    </row>
    <row r="1088" spans="1:12" x14ac:dyDescent="0.3">
      <c r="A1088">
        <v>119</v>
      </c>
      <c r="B1088" t="s">
        <v>19</v>
      </c>
      <c r="C1088" s="1">
        <v>45845</v>
      </c>
      <c r="D1088" s="1" t="str">
        <f>TEXT(FMData[[#This Row],[Show_Date]],"mmm")</f>
        <v>Jul</v>
      </c>
      <c r="E1088" s="1" t="str">
        <f>TEXT(FMData[[#This Row],[Show_Date]],"ddd")</f>
        <v>Mon</v>
      </c>
      <c r="F1088" t="s">
        <v>33</v>
      </c>
      <c r="G1088" t="s">
        <v>17</v>
      </c>
      <c r="H1088">
        <v>3</v>
      </c>
      <c r="I1088">
        <v>12</v>
      </c>
      <c r="J1088" t="s">
        <v>21</v>
      </c>
      <c r="K1088" t="s">
        <v>18</v>
      </c>
      <c r="L1088">
        <v>36</v>
      </c>
    </row>
    <row r="1089" spans="1:12" x14ac:dyDescent="0.3">
      <c r="A1089">
        <v>1916</v>
      </c>
      <c r="B1089" t="s">
        <v>26</v>
      </c>
      <c r="C1089" s="1">
        <v>45913</v>
      </c>
      <c r="D1089" s="1" t="str">
        <f>TEXT(FMData[[#This Row],[Show_Date]],"mmm")</f>
        <v>Sep</v>
      </c>
      <c r="E1089" s="1" t="str">
        <f>TEXT(FMData[[#This Row],[Show_Date]],"ddd")</f>
        <v>Sat</v>
      </c>
      <c r="F1089" t="s">
        <v>20</v>
      </c>
      <c r="G1089" t="s">
        <v>17</v>
      </c>
      <c r="H1089">
        <v>5</v>
      </c>
      <c r="I1089">
        <v>12</v>
      </c>
      <c r="J1089" t="s">
        <v>13</v>
      </c>
      <c r="K1089" t="s">
        <v>18</v>
      </c>
      <c r="L1089">
        <v>60</v>
      </c>
    </row>
    <row r="1090" spans="1:12" x14ac:dyDescent="0.3">
      <c r="A1090">
        <v>844</v>
      </c>
      <c r="B1090" t="s">
        <v>28</v>
      </c>
      <c r="C1090" s="1">
        <v>45879</v>
      </c>
      <c r="D1090" s="1" t="str">
        <f>TEXT(FMData[[#This Row],[Show_Date]],"mmm")</f>
        <v>Aug</v>
      </c>
      <c r="E1090" s="1" t="str">
        <f>TEXT(FMData[[#This Row],[Show_Date]],"ddd")</f>
        <v>Sun</v>
      </c>
      <c r="F1090" t="s">
        <v>11</v>
      </c>
      <c r="G1090" t="s">
        <v>29</v>
      </c>
      <c r="H1090">
        <v>2</v>
      </c>
      <c r="I1090">
        <v>30</v>
      </c>
      <c r="J1090" t="s">
        <v>21</v>
      </c>
      <c r="K1090" t="s">
        <v>18</v>
      </c>
      <c r="L1090">
        <v>60</v>
      </c>
    </row>
    <row r="1091" spans="1:12" x14ac:dyDescent="0.3">
      <c r="A1091">
        <v>1814</v>
      </c>
      <c r="B1091" t="s">
        <v>15</v>
      </c>
      <c r="C1091" s="1">
        <v>45896</v>
      </c>
      <c r="D1091" s="1" t="str">
        <f>TEXT(FMData[[#This Row],[Show_Date]],"mmm")</f>
        <v>Aug</v>
      </c>
      <c r="E1091" s="1" t="str">
        <f>TEXT(FMData[[#This Row],[Show_Date]],"ddd")</f>
        <v>Wed</v>
      </c>
      <c r="F1091" t="s">
        <v>33</v>
      </c>
      <c r="G1091" t="s">
        <v>12</v>
      </c>
      <c r="H1091">
        <v>1</v>
      </c>
      <c r="I1091">
        <v>25</v>
      </c>
      <c r="J1091" t="s">
        <v>21</v>
      </c>
      <c r="K1091" t="s">
        <v>18</v>
      </c>
      <c r="L1091">
        <v>25</v>
      </c>
    </row>
    <row r="1092" spans="1:12" x14ac:dyDescent="0.3">
      <c r="A1092">
        <v>461</v>
      </c>
      <c r="B1092" t="s">
        <v>26</v>
      </c>
      <c r="C1092" s="1">
        <v>45913</v>
      </c>
      <c r="D1092" s="1" t="str">
        <f>TEXT(FMData[[#This Row],[Show_Date]],"mmm")</f>
        <v>Sep</v>
      </c>
      <c r="E1092" s="1" t="str">
        <f>TEXT(FMData[[#This Row],[Show_Date]],"ddd")</f>
        <v>Sat</v>
      </c>
      <c r="F1092" t="s">
        <v>16</v>
      </c>
      <c r="G1092" t="s">
        <v>29</v>
      </c>
      <c r="H1092">
        <v>5</v>
      </c>
      <c r="I1092">
        <v>30</v>
      </c>
      <c r="J1092" t="s">
        <v>21</v>
      </c>
      <c r="K1092" t="s">
        <v>18</v>
      </c>
      <c r="L1092">
        <v>150</v>
      </c>
    </row>
    <row r="1093" spans="1:12" x14ac:dyDescent="0.3">
      <c r="A1093">
        <v>325</v>
      </c>
      <c r="B1093" t="s">
        <v>10</v>
      </c>
      <c r="C1093" s="1">
        <v>45926</v>
      </c>
      <c r="D1093" s="1" t="str">
        <f>TEXT(FMData[[#This Row],[Show_Date]],"mmm")</f>
        <v>Sep</v>
      </c>
      <c r="E1093" s="1" t="str">
        <f>TEXT(FMData[[#This Row],[Show_Date]],"ddd")</f>
        <v>Fri</v>
      </c>
      <c r="F1093" t="s">
        <v>11</v>
      </c>
      <c r="G1093" t="s">
        <v>22</v>
      </c>
      <c r="H1093">
        <v>4</v>
      </c>
      <c r="I1093">
        <v>20</v>
      </c>
      <c r="J1093" t="s">
        <v>13</v>
      </c>
      <c r="K1093" t="s">
        <v>18</v>
      </c>
      <c r="L1093">
        <v>80</v>
      </c>
    </row>
    <row r="1094" spans="1:12" x14ac:dyDescent="0.3">
      <c r="A1094">
        <v>1407</v>
      </c>
      <c r="B1094" t="s">
        <v>26</v>
      </c>
      <c r="C1094" s="1">
        <v>45889</v>
      </c>
      <c r="D1094" s="1" t="str">
        <f>TEXT(FMData[[#This Row],[Show_Date]],"mmm")</f>
        <v>Aug</v>
      </c>
      <c r="E1094" s="1" t="str">
        <f>TEXT(FMData[[#This Row],[Show_Date]],"ddd")</f>
        <v>Wed</v>
      </c>
      <c r="F1094" t="s">
        <v>20</v>
      </c>
      <c r="G1094" t="s">
        <v>22</v>
      </c>
      <c r="H1094">
        <v>2</v>
      </c>
      <c r="I1094">
        <v>20</v>
      </c>
      <c r="J1094" t="s">
        <v>21</v>
      </c>
      <c r="K1094" t="s">
        <v>18</v>
      </c>
      <c r="L1094">
        <v>40</v>
      </c>
    </row>
    <row r="1095" spans="1:12" x14ac:dyDescent="0.3">
      <c r="A1095">
        <v>850</v>
      </c>
      <c r="B1095" t="s">
        <v>10</v>
      </c>
      <c r="C1095" s="1">
        <v>45881</v>
      </c>
      <c r="D1095" s="1" t="str">
        <f>TEXT(FMData[[#This Row],[Show_Date]],"mmm")</f>
        <v>Aug</v>
      </c>
      <c r="E1095" s="1" t="str">
        <f>TEXT(FMData[[#This Row],[Show_Date]],"ddd")</f>
        <v>Tue</v>
      </c>
      <c r="F1095" t="s">
        <v>20</v>
      </c>
      <c r="G1095" t="s">
        <v>17</v>
      </c>
      <c r="H1095">
        <v>3</v>
      </c>
      <c r="I1095">
        <v>12</v>
      </c>
      <c r="J1095" t="s">
        <v>13</v>
      </c>
      <c r="K1095" t="s">
        <v>18</v>
      </c>
      <c r="L1095">
        <v>36</v>
      </c>
    </row>
    <row r="1096" spans="1:12" x14ac:dyDescent="0.3">
      <c r="A1096">
        <v>1322</v>
      </c>
      <c r="B1096" t="s">
        <v>32</v>
      </c>
      <c r="C1096" s="1">
        <v>45843</v>
      </c>
      <c r="D1096" s="1" t="str">
        <f>TEXT(FMData[[#This Row],[Show_Date]],"mmm")</f>
        <v>Jul</v>
      </c>
      <c r="E1096" s="1" t="str">
        <f>TEXT(FMData[[#This Row],[Show_Date]],"ddd")</f>
        <v>Sat</v>
      </c>
      <c r="F1096" t="s">
        <v>20</v>
      </c>
      <c r="G1096" t="s">
        <v>17</v>
      </c>
      <c r="H1096">
        <v>5</v>
      </c>
      <c r="I1096">
        <v>12</v>
      </c>
      <c r="J1096" t="s">
        <v>21</v>
      </c>
      <c r="K1096" t="s">
        <v>18</v>
      </c>
      <c r="L1096">
        <v>60</v>
      </c>
    </row>
    <row r="1097" spans="1:12" x14ac:dyDescent="0.3">
      <c r="A1097">
        <v>1227</v>
      </c>
      <c r="B1097" t="s">
        <v>28</v>
      </c>
      <c r="C1097" s="1">
        <v>45901</v>
      </c>
      <c r="D1097" s="1" t="str">
        <f>TEXT(FMData[[#This Row],[Show_Date]],"mmm")</f>
        <v>Sep</v>
      </c>
      <c r="E1097" s="1" t="str">
        <f>TEXT(FMData[[#This Row],[Show_Date]],"ddd")</f>
        <v>Mon</v>
      </c>
      <c r="F1097" t="s">
        <v>33</v>
      </c>
      <c r="G1097" t="s">
        <v>17</v>
      </c>
      <c r="H1097">
        <v>4</v>
      </c>
      <c r="I1097">
        <v>12</v>
      </c>
      <c r="J1097" t="s">
        <v>13</v>
      </c>
      <c r="K1097" t="s">
        <v>18</v>
      </c>
      <c r="L1097">
        <v>48</v>
      </c>
    </row>
    <row r="1098" spans="1:12" x14ac:dyDescent="0.3">
      <c r="A1098">
        <v>69</v>
      </c>
      <c r="B1098" t="s">
        <v>31</v>
      </c>
      <c r="C1098" s="1">
        <v>45883</v>
      </c>
      <c r="D1098" s="1" t="str">
        <f>TEXT(FMData[[#This Row],[Show_Date]],"mmm")</f>
        <v>Aug</v>
      </c>
      <c r="E1098" s="1" t="str">
        <f>TEXT(FMData[[#This Row],[Show_Date]],"ddd")</f>
        <v>Thu</v>
      </c>
      <c r="F1098" t="s">
        <v>20</v>
      </c>
      <c r="G1098" t="s">
        <v>17</v>
      </c>
      <c r="H1098">
        <v>4</v>
      </c>
      <c r="I1098">
        <v>12</v>
      </c>
      <c r="J1098" t="s">
        <v>21</v>
      </c>
      <c r="K1098" t="s">
        <v>18</v>
      </c>
      <c r="L1098">
        <v>48</v>
      </c>
    </row>
    <row r="1099" spans="1:12" x14ac:dyDescent="0.3">
      <c r="A1099">
        <v>1622</v>
      </c>
      <c r="B1099" t="s">
        <v>26</v>
      </c>
      <c r="C1099" s="1">
        <v>45867</v>
      </c>
      <c r="D1099" s="1" t="str">
        <f>TEXT(FMData[[#This Row],[Show_Date]],"mmm")</f>
        <v>Jul</v>
      </c>
      <c r="E1099" s="1" t="str">
        <f>TEXT(FMData[[#This Row],[Show_Date]],"ddd")</f>
        <v>Tue</v>
      </c>
      <c r="F1099" t="s">
        <v>20</v>
      </c>
      <c r="G1099" t="s">
        <v>17</v>
      </c>
      <c r="H1099">
        <v>1</v>
      </c>
      <c r="I1099">
        <v>12</v>
      </c>
      <c r="J1099" t="s">
        <v>13</v>
      </c>
      <c r="K1099" t="s">
        <v>18</v>
      </c>
      <c r="L1099">
        <v>12</v>
      </c>
    </row>
    <row r="1100" spans="1:12" x14ac:dyDescent="0.3">
      <c r="A1100">
        <v>952</v>
      </c>
      <c r="B1100" t="s">
        <v>31</v>
      </c>
      <c r="C1100" s="1">
        <v>45891</v>
      </c>
      <c r="D1100" s="1" t="str">
        <f>TEXT(FMData[[#This Row],[Show_Date]],"mmm")</f>
        <v>Aug</v>
      </c>
      <c r="E1100" s="1" t="str">
        <f>TEXT(FMData[[#This Row],[Show_Date]],"ddd")</f>
        <v>Fri</v>
      </c>
      <c r="F1100" t="s">
        <v>11</v>
      </c>
      <c r="G1100" t="s">
        <v>30</v>
      </c>
      <c r="H1100">
        <v>1</v>
      </c>
      <c r="I1100">
        <v>8</v>
      </c>
      <c r="J1100" t="s">
        <v>23</v>
      </c>
      <c r="K1100" t="s">
        <v>18</v>
      </c>
      <c r="L1100">
        <v>8</v>
      </c>
    </row>
    <row r="1101" spans="1:12" x14ac:dyDescent="0.3">
      <c r="A1101">
        <v>1262</v>
      </c>
      <c r="B1101" t="s">
        <v>32</v>
      </c>
      <c r="C1101" s="1">
        <v>45886</v>
      </c>
      <c r="D1101" s="1" t="str">
        <f>TEXT(FMData[[#This Row],[Show_Date]],"mmm")</f>
        <v>Aug</v>
      </c>
      <c r="E1101" s="1" t="str">
        <f>TEXT(FMData[[#This Row],[Show_Date]],"ddd")</f>
        <v>Sun</v>
      </c>
      <c r="F1101" t="s">
        <v>16</v>
      </c>
      <c r="G1101" t="s">
        <v>12</v>
      </c>
      <c r="H1101">
        <v>5</v>
      </c>
      <c r="I1101">
        <v>25</v>
      </c>
      <c r="J1101" t="s">
        <v>23</v>
      </c>
      <c r="K1101" t="s">
        <v>18</v>
      </c>
      <c r="L1101">
        <v>125</v>
      </c>
    </row>
    <row r="1102" spans="1:12" x14ac:dyDescent="0.3">
      <c r="A1102">
        <v>1536</v>
      </c>
      <c r="B1102" t="s">
        <v>26</v>
      </c>
      <c r="C1102" s="1">
        <v>45844</v>
      </c>
      <c r="D1102" s="1" t="str">
        <f>TEXT(FMData[[#This Row],[Show_Date]],"mmm")</f>
        <v>Jul</v>
      </c>
      <c r="E1102" s="1" t="str">
        <f>TEXT(FMData[[#This Row],[Show_Date]],"ddd")</f>
        <v>Sun</v>
      </c>
      <c r="F1102" t="s">
        <v>11</v>
      </c>
      <c r="G1102" t="s">
        <v>17</v>
      </c>
      <c r="H1102">
        <v>3</v>
      </c>
      <c r="I1102">
        <v>12</v>
      </c>
      <c r="J1102" t="s">
        <v>23</v>
      </c>
      <c r="K1102" t="s">
        <v>18</v>
      </c>
      <c r="L1102">
        <v>36</v>
      </c>
    </row>
    <row r="1103" spans="1:12" x14ac:dyDescent="0.3">
      <c r="A1103">
        <v>1323</v>
      </c>
      <c r="B1103" t="s">
        <v>15</v>
      </c>
      <c r="C1103" s="1">
        <v>45870</v>
      </c>
      <c r="D1103" s="1" t="str">
        <f>TEXT(FMData[[#This Row],[Show_Date]],"mmm")</f>
        <v>Aug</v>
      </c>
      <c r="E1103" s="1" t="str">
        <f>TEXT(FMData[[#This Row],[Show_Date]],"ddd")</f>
        <v>Fri</v>
      </c>
      <c r="F1103" t="s">
        <v>11</v>
      </c>
      <c r="G1103" t="s">
        <v>30</v>
      </c>
      <c r="H1103">
        <v>5</v>
      </c>
      <c r="I1103">
        <v>8</v>
      </c>
      <c r="J1103" t="s">
        <v>23</v>
      </c>
      <c r="K1103" t="s">
        <v>18</v>
      </c>
      <c r="L1103">
        <v>40</v>
      </c>
    </row>
    <row r="1104" spans="1:12" x14ac:dyDescent="0.3">
      <c r="A1104">
        <v>408</v>
      </c>
      <c r="B1104" t="s">
        <v>19</v>
      </c>
      <c r="C1104" s="1">
        <v>45858</v>
      </c>
      <c r="D1104" s="1" t="str">
        <f>TEXT(FMData[[#This Row],[Show_Date]],"mmm")</f>
        <v>Jul</v>
      </c>
      <c r="E1104" s="1" t="str">
        <f>TEXT(FMData[[#This Row],[Show_Date]],"ddd")</f>
        <v>Sun</v>
      </c>
      <c r="F1104" t="s">
        <v>11</v>
      </c>
      <c r="G1104" t="s">
        <v>17</v>
      </c>
      <c r="H1104">
        <v>5</v>
      </c>
      <c r="I1104">
        <v>12</v>
      </c>
      <c r="J1104" t="s">
        <v>13</v>
      </c>
      <c r="K1104" t="s">
        <v>18</v>
      </c>
      <c r="L1104">
        <v>60</v>
      </c>
    </row>
    <row r="1105" spans="1:12" x14ac:dyDescent="0.3">
      <c r="A1105">
        <v>1580</v>
      </c>
      <c r="B1105" t="s">
        <v>32</v>
      </c>
      <c r="C1105" s="1">
        <v>45899</v>
      </c>
      <c r="D1105" s="1" t="str">
        <f>TEXT(FMData[[#This Row],[Show_Date]],"mmm")</f>
        <v>Aug</v>
      </c>
      <c r="E1105" s="1" t="str">
        <f>TEXT(FMData[[#This Row],[Show_Date]],"ddd")</f>
        <v>Sat</v>
      </c>
      <c r="F1105" t="s">
        <v>33</v>
      </c>
      <c r="G1105" t="s">
        <v>17</v>
      </c>
      <c r="H1105">
        <v>5</v>
      </c>
      <c r="I1105">
        <v>12</v>
      </c>
      <c r="J1105" t="s">
        <v>23</v>
      </c>
      <c r="K1105" t="s">
        <v>18</v>
      </c>
      <c r="L1105">
        <v>60</v>
      </c>
    </row>
    <row r="1106" spans="1:12" x14ac:dyDescent="0.3">
      <c r="A1106">
        <v>925</v>
      </c>
      <c r="B1106" t="s">
        <v>24</v>
      </c>
      <c r="C1106" s="1">
        <v>45916</v>
      </c>
      <c r="D1106" s="1" t="str">
        <f>TEXT(FMData[[#This Row],[Show_Date]],"mmm")</f>
        <v>Sep</v>
      </c>
      <c r="E1106" s="1" t="str">
        <f>TEXT(FMData[[#This Row],[Show_Date]],"ddd")</f>
        <v>Tue</v>
      </c>
      <c r="F1106" t="s">
        <v>20</v>
      </c>
      <c r="G1106" t="s">
        <v>17</v>
      </c>
      <c r="H1106">
        <v>4</v>
      </c>
      <c r="I1106">
        <v>12</v>
      </c>
      <c r="J1106" t="s">
        <v>13</v>
      </c>
      <c r="K1106" t="s">
        <v>18</v>
      </c>
      <c r="L1106">
        <v>48</v>
      </c>
    </row>
    <row r="1107" spans="1:12" x14ac:dyDescent="0.3">
      <c r="A1107">
        <v>1578</v>
      </c>
      <c r="B1107" t="s">
        <v>26</v>
      </c>
      <c r="C1107" s="1">
        <v>45887</v>
      </c>
      <c r="D1107" s="1" t="str">
        <f>TEXT(FMData[[#This Row],[Show_Date]],"mmm")</f>
        <v>Aug</v>
      </c>
      <c r="E1107" s="1" t="str">
        <f>TEXT(FMData[[#This Row],[Show_Date]],"ddd")</f>
        <v>Mon</v>
      </c>
      <c r="F1107" t="s">
        <v>11</v>
      </c>
      <c r="G1107" t="s">
        <v>17</v>
      </c>
      <c r="H1107">
        <v>1</v>
      </c>
      <c r="I1107">
        <v>12</v>
      </c>
      <c r="J1107" t="s">
        <v>13</v>
      </c>
      <c r="K1107" t="s">
        <v>18</v>
      </c>
      <c r="L1107">
        <v>12</v>
      </c>
    </row>
    <row r="1108" spans="1:12" x14ac:dyDescent="0.3">
      <c r="A1108">
        <v>733</v>
      </c>
      <c r="B1108" t="s">
        <v>24</v>
      </c>
      <c r="C1108" s="1">
        <v>45845</v>
      </c>
      <c r="D1108" s="1" t="str">
        <f>TEXT(FMData[[#This Row],[Show_Date]],"mmm")</f>
        <v>Jul</v>
      </c>
      <c r="E1108" s="1" t="str">
        <f>TEXT(FMData[[#This Row],[Show_Date]],"ddd")</f>
        <v>Mon</v>
      </c>
      <c r="F1108" t="s">
        <v>16</v>
      </c>
      <c r="G1108" t="s">
        <v>17</v>
      </c>
      <c r="H1108">
        <v>4</v>
      </c>
      <c r="I1108">
        <v>12</v>
      </c>
      <c r="J1108" t="s">
        <v>21</v>
      </c>
      <c r="K1108" t="s">
        <v>18</v>
      </c>
      <c r="L1108">
        <v>48</v>
      </c>
    </row>
    <row r="1109" spans="1:12" x14ac:dyDescent="0.3">
      <c r="A1109">
        <v>246</v>
      </c>
      <c r="B1109" t="s">
        <v>10</v>
      </c>
      <c r="C1109" s="1">
        <v>45873</v>
      </c>
      <c r="D1109" s="1" t="str">
        <f>TEXT(FMData[[#This Row],[Show_Date]],"mmm")</f>
        <v>Aug</v>
      </c>
      <c r="E1109" s="1" t="str">
        <f>TEXT(FMData[[#This Row],[Show_Date]],"ddd")</f>
        <v>Mon</v>
      </c>
      <c r="F1109" t="s">
        <v>20</v>
      </c>
      <c r="G1109" t="s">
        <v>12</v>
      </c>
      <c r="H1109">
        <v>3</v>
      </c>
      <c r="I1109">
        <v>25</v>
      </c>
      <c r="J1109" t="s">
        <v>23</v>
      </c>
      <c r="K1109" t="s">
        <v>18</v>
      </c>
      <c r="L1109">
        <v>75</v>
      </c>
    </row>
    <row r="1110" spans="1:12" x14ac:dyDescent="0.3">
      <c r="A1110">
        <v>1973</v>
      </c>
      <c r="B1110" t="s">
        <v>32</v>
      </c>
      <c r="C1110" s="1">
        <v>45926</v>
      </c>
      <c r="D1110" s="1" t="str">
        <f>TEXT(FMData[[#This Row],[Show_Date]],"mmm")</f>
        <v>Sep</v>
      </c>
      <c r="E1110" s="1" t="str">
        <f>TEXT(FMData[[#This Row],[Show_Date]],"ddd")</f>
        <v>Fri</v>
      </c>
      <c r="F1110" t="s">
        <v>11</v>
      </c>
      <c r="G1110" t="s">
        <v>17</v>
      </c>
      <c r="H1110">
        <v>3</v>
      </c>
      <c r="I1110">
        <v>12</v>
      </c>
      <c r="J1110" t="s">
        <v>23</v>
      </c>
      <c r="K1110" t="s">
        <v>18</v>
      </c>
      <c r="L1110">
        <v>36</v>
      </c>
    </row>
    <row r="1111" spans="1:12" x14ac:dyDescent="0.3">
      <c r="A1111">
        <v>1641</v>
      </c>
      <c r="B1111" t="s">
        <v>31</v>
      </c>
      <c r="C1111" s="1">
        <v>45924</v>
      </c>
      <c r="D1111" s="1" t="str">
        <f>TEXT(FMData[[#This Row],[Show_Date]],"mmm")</f>
        <v>Sep</v>
      </c>
      <c r="E1111" s="1" t="str">
        <f>TEXT(FMData[[#This Row],[Show_Date]],"ddd")</f>
        <v>Wed</v>
      </c>
      <c r="F1111" t="s">
        <v>20</v>
      </c>
      <c r="G1111" t="s">
        <v>17</v>
      </c>
      <c r="H1111">
        <v>2</v>
      </c>
      <c r="I1111">
        <v>12</v>
      </c>
      <c r="J1111" t="s">
        <v>13</v>
      </c>
      <c r="K1111" t="s">
        <v>18</v>
      </c>
      <c r="L1111">
        <v>24</v>
      </c>
    </row>
    <row r="1112" spans="1:12" x14ac:dyDescent="0.3">
      <c r="A1112">
        <v>1592</v>
      </c>
      <c r="B1112" t="s">
        <v>32</v>
      </c>
      <c r="C1112" s="1">
        <v>45855</v>
      </c>
      <c r="D1112" s="1" t="str">
        <f>TEXT(FMData[[#This Row],[Show_Date]],"mmm")</f>
        <v>Jul</v>
      </c>
      <c r="E1112" s="1" t="str">
        <f>TEXT(FMData[[#This Row],[Show_Date]],"ddd")</f>
        <v>Thu</v>
      </c>
      <c r="F1112" t="s">
        <v>11</v>
      </c>
      <c r="G1112" t="s">
        <v>17</v>
      </c>
      <c r="H1112">
        <v>1</v>
      </c>
      <c r="I1112">
        <v>12</v>
      </c>
      <c r="J1112" t="s">
        <v>13</v>
      </c>
      <c r="K1112" t="s">
        <v>18</v>
      </c>
      <c r="L1112">
        <v>12</v>
      </c>
    </row>
    <row r="1113" spans="1:12" x14ac:dyDescent="0.3">
      <c r="A1113">
        <v>1870</v>
      </c>
      <c r="B1113" t="s">
        <v>26</v>
      </c>
      <c r="C1113" s="1">
        <v>45878</v>
      </c>
      <c r="D1113" s="1" t="str">
        <f>TEXT(FMData[[#This Row],[Show_Date]],"mmm")</f>
        <v>Aug</v>
      </c>
      <c r="E1113" s="1" t="str">
        <f>TEXT(FMData[[#This Row],[Show_Date]],"ddd")</f>
        <v>Sat</v>
      </c>
      <c r="F1113" t="s">
        <v>20</v>
      </c>
      <c r="G1113" t="s">
        <v>17</v>
      </c>
      <c r="H1113">
        <v>5</v>
      </c>
      <c r="I1113">
        <v>12</v>
      </c>
      <c r="J1113" t="s">
        <v>21</v>
      </c>
      <c r="K1113" t="s">
        <v>18</v>
      </c>
      <c r="L1113">
        <v>60</v>
      </c>
    </row>
    <row r="1114" spans="1:12" x14ac:dyDescent="0.3">
      <c r="A1114">
        <v>391</v>
      </c>
      <c r="B1114" t="s">
        <v>32</v>
      </c>
      <c r="C1114" s="1">
        <v>45914</v>
      </c>
      <c r="D1114" s="1" t="str">
        <f>TEXT(FMData[[#This Row],[Show_Date]],"mmm")</f>
        <v>Sep</v>
      </c>
      <c r="E1114" s="1" t="str">
        <f>TEXT(FMData[[#This Row],[Show_Date]],"ddd")</f>
        <v>Sun</v>
      </c>
      <c r="F1114" t="s">
        <v>20</v>
      </c>
      <c r="G1114" t="s">
        <v>17</v>
      </c>
      <c r="H1114">
        <v>2</v>
      </c>
      <c r="I1114">
        <v>12</v>
      </c>
      <c r="J1114" t="s">
        <v>23</v>
      </c>
      <c r="K1114" t="s">
        <v>18</v>
      </c>
      <c r="L1114">
        <v>24</v>
      </c>
    </row>
    <row r="1115" spans="1:12" x14ac:dyDescent="0.3">
      <c r="A1115">
        <v>1942</v>
      </c>
      <c r="B1115" t="s">
        <v>19</v>
      </c>
      <c r="C1115" s="1">
        <v>45920</v>
      </c>
      <c r="D1115" s="1" t="str">
        <f>TEXT(FMData[[#This Row],[Show_Date]],"mmm")</f>
        <v>Sep</v>
      </c>
      <c r="E1115" s="1" t="str">
        <f>TEXT(FMData[[#This Row],[Show_Date]],"ddd")</f>
        <v>Sat</v>
      </c>
      <c r="F1115" t="s">
        <v>20</v>
      </c>
      <c r="G1115" t="s">
        <v>22</v>
      </c>
      <c r="H1115">
        <v>5</v>
      </c>
      <c r="I1115">
        <v>20</v>
      </c>
      <c r="J1115" t="s">
        <v>21</v>
      </c>
      <c r="K1115" t="s">
        <v>18</v>
      </c>
      <c r="L1115">
        <v>100</v>
      </c>
    </row>
    <row r="1116" spans="1:12" x14ac:dyDescent="0.3">
      <c r="A1116">
        <v>1668</v>
      </c>
      <c r="B1116" t="s">
        <v>24</v>
      </c>
      <c r="C1116" s="1">
        <v>45914</v>
      </c>
      <c r="D1116" s="1" t="str">
        <f>TEXT(FMData[[#This Row],[Show_Date]],"mmm")</f>
        <v>Sep</v>
      </c>
      <c r="E1116" s="1" t="str">
        <f>TEXT(FMData[[#This Row],[Show_Date]],"ddd")</f>
        <v>Sun</v>
      </c>
      <c r="F1116" t="s">
        <v>16</v>
      </c>
      <c r="G1116" t="s">
        <v>17</v>
      </c>
      <c r="H1116">
        <v>4</v>
      </c>
      <c r="I1116">
        <v>12</v>
      </c>
      <c r="J1116" t="s">
        <v>13</v>
      </c>
      <c r="K1116" t="s">
        <v>18</v>
      </c>
      <c r="L1116">
        <v>48</v>
      </c>
    </row>
    <row r="1117" spans="1:12" x14ac:dyDescent="0.3">
      <c r="A1117">
        <v>68</v>
      </c>
      <c r="B1117" t="s">
        <v>24</v>
      </c>
      <c r="C1117" s="1">
        <v>45848</v>
      </c>
      <c r="D1117" s="1" t="str">
        <f>TEXT(FMData[[#This Row],[Show_Date]],"mmm")</f>
        <v>Jul</v>
      </c>
      <c r="E1117" s="1" t="str">
        <f>TEXT(FMData[[#This Row],[Show_Date]],"ddd")</f>
        <v>Thu</v>
      </c>
      <c r="F1117" t="s">
        <v>33</v>
      </c>
      <c r="G1117" t="s">
        <v>17</v>
      </c>
      <c r="H1117">
        <v>5</v>
      </c>
      <c r="I1117">
        <v>12</v>
      </c>
      <c r="J1117" t="s">
        <v>23</v>
      </c>
      <c r="K1117" t="s">
        <v>18</v>
      </c>
      <c r="L1117">
        <v>60</v>
      </c>
    </row>
    <row r="1118" spans="1:12" x14ac:dyDescent="0.3">
      <c r="A1118">
        <v>674</v>
      </c>
      <c r="B1118" t="s">
        <v>10</v>
      </c>
      <c r="C1118" s="1">
        <v>45912</v>
      </c>
      <c r="D1118" s="1" t="str">
        <f>TEXT(FMData[[#This Row],[Show_Date]],"mmm")</f>
        <v>Sep</v>
      </c>
      <c r="E1118" s="1" t="str">
        <f>TEXT(FMData[[#This Row],[Show_Date]],"ddd")</f>
        <v>Fri</v>
      </c>
      <c r="F1118" t="s">
        <v>11</v>
      </c>
      <c r="G1118" t="s">
        <v>17</v>
      </c>
      <c r="H1118">
        <v>2</v>
      </c>
      <c r="I1118">
        <v>12</v>
      </c>
      <c r="J1118" t="s">
        <v>21</v>
      </c>
      <c r="K1118" t="s">
        <v>18</v>
      </c>
      <c r="L1118">
        <v>24</v>
      </c>
    </row>
    <row r="1119" spans="1:12" x14ac:dyDescent="0.3">
      <c r="A1119">
        <v>1195</v>
      </c>
      <c r="B1119" t="s">
        <v>26</v>
      </c>
      <c r="C1119" s="1">
        <v>45869</v>
      </c>
      <c r="D1119" s="1" t="str">
        <f>TEXT(FMData[[#This Row],[Show_Date]],"mmm")</f>
        <v>Jul</v>
      </c>
      <c r="E1119" s="1" t="str">
        <f>TEXT(FMData[[#This Row],[Show_Date]],"ddd")</f>
        <v>Thu</v>
      </c>
      <c r="F1119" t="s">
        <v>20</v>
      </c>
      <c r="G1119" t="s">
        <v>17</v>
      </c>
      <c r="H1119">
        <v>1</v>
      </c>
      <c r="I1119">
        <v>12</v>
      </c>
      <c r="J1119" t="s">
        <v>13</v>
      </c>
      <c r="K1119" t="s">
        <v>18</v>
      </c>
      <c r="L1119">
        <v>12</v>
      </c>
    </row>
    <row r="1120" spans="1:12" x14ac:dyDescent="0.3">
      <c r="A1120">
        <v>1154</v>
      </c>
      <c r="B1120" t="s">
        <v>26</v>
      </c>
      <c r="C1120" s="1">
        <v>45881</v>
      </c>
      <c r="D1120" s="1" t="str">
        <f>TEXT(FMData[[#This Row],[Show_Date]],"mmm")</f>
        <v>Aug</v>
      </c>
      <c r="E1120" s="1" t="str">
        <f>TEXT(FMData[[#This Row],[Show_Date]],"ddd")</f>
        <v>Tue</v>
      </c>
      <c r="F1120" t="s">
        <v>33</v>
      </c>
      <c r="G1120" t="s">
        <v>17</v>
      </c>
      <c r="H1120">
        <v>4</v>
      </c>
      <c r="I1120">
        <v>12</v>
      </c>
      <c r="J1120" t="s">
        <v>21</v>
      </c>
      <c r="K1120" t="s">
        <v>18</v>
      </c>
      <c r="L1120">
        <v>48</v>
      </c>
    </row>
    <row r="1121" spans="1:12" x14ac:dyDescent="0.3">
      <c r="A1121">
        <v>1344</v>
      </c>
      <c r="B1121" t="s">
        <v>24</v>
      </c>
      <c r="C1121" s="1">
        <v>45876</v>
      </c>
      <c r="D1121" s="1" t="str">
        <f>TEXT(FMData[[#This Row],[Show_Date]],"mmm")</f>
        <v>Aug</v>
      </c>
      <c r="E1121" s="1" t="str">
        <f>TEXT(FMData[[#This Row],[Show_Date]],"ddd")</f>
        <v>Thu</v>
      </c>
      <c r="F1121" t="s">
        <v>20</v>
      </c>
      <c r="G1121" t="s">
        <v>17</v>
      </c>
      <c r="H1121">
        <v>3</v>
      </c>
      <c r="I1121">
        <v>12</v>
      </c>
      <c r="J1121" t="s">
        <v>13</v>
      </c>
      <c r="K1121" t="s">
        <v>18</v>
      </c>
      <c r="L1121">
        <v>36</v>
      </c>
    </row>
    <row r="1122" spans="1:12" x14ac:dyDescent="0.3">
      <c r="A1122">
        <v>477</v>
      </c>
      <c r="B1122" t="s">
        <v>24</v>
      </c>
      <c r="C1122" s="1">
        <v>45864</v>
      </c>
      <c r="D1122" s="1" t="str">
        <f>TEXT(FMData[[#This Row],[Show_Date]],"mmm")</f>
        <v>Jul</v>
      </c>
      <c r="E1122" s="1" t="str">
        <f>TEXT(FMData[[#This Row],[Show_Date]],"ddd")</f>
        <v>Sat</v>
      </c>
      <c r="F1122" t="s">
        <v>16</v>
      </c>
      <c r="G1122" t="s">
        <v>17</v>
      </c>
      <c r="H1122">
        <v>5</v>
      </c>
      <c r="I1122">
        <v>12</v>
      </c>
      <c r="J1122" t="s">
        <v>21</v>
      </c>
      <c r="K1122" t="s">
        <v>18</v>
      </c>
      <c r="L1122">
        <v>60</v>
      </c>
    </row>
    <row r="1123" spans="1:12" x14ac:dyDescent="0.3">
      <c r="A1123">
        <v>1956</v>
      </c>
      <c r="B1123" t="s">
        <v>24</v>
      </c>
      <c r="C1123" s="1">
        <v>45865</v>
      </c>
      <c r="D1123" s="1" t="str">
        <f>TEXT(FMData[[#This Row],[Show_Date]],"mmm")</f>
        <v>Jul</v>
      </c>
      <c r="E1123" s="1" t="str">
        <f>TEXT(FMData[[#This Row],[Show_Date]],"ddd")</f>
        <v>Sun</v>
      </c>
      <c r="F1123" t="s">
        <v>20</v>
      </c>
      <c r="G1123" t="s">
        <v>22</v>
      </c>
      <c r="H1123">
        <v>5</v>
      </c>
      <c r="I1123">
        <v>20</v>
      </c>
      <c r="J1123" t="s">
        <v>21</v>
      </c>
      <c r="K1123" t="s">
        <v>18</v>
      </c>
      <c r="L1123">
        <v>100</v>
      </c>
    </row>
    <row r="1124" spans="1:12" x14ac:dyDescent="0.3">
      <c r="A1124">
        <v>977</v>
      </c>
      <c r="B1124" t="s">
        <v>19</v>
      </c>
      <c r="C1124" s="1">
        <v>45884</v>
      </c>
      <c r="D1124" s="1" t="str">
        <f>TEXT(FMData[[#This Row],[Show_Date]],"mmm")</f>
        <v>Aug</v>
      </c>
      <c r="E1124" s="1" t="str">
        <f>TEXT(FMData[[#This Row],[Show_Date]],"ddd")</f>
        <v>Fri</v>
      </c>
      <c r="F1124" t="s">
        <v>16</v>
      </c>
      <c r="G1124" t="s">
        <v>22</v>
      </c>
      <c r="H1124">
        <v>5</v>
      </c>
      <c r="I1124">
        <v>20</v>
      </c>
      <c r="J1124" t="s">
        <v>21</v>
      </c>
      <c r="K1124" t="s">
        <v>18</v>
      </c>
      <c r="L1124">
        <v>100</v>
      </c>
    </row>
    <row r="1125" spans="1:12" x14ac:dyDescent="0.3">
      <c r="A1125">
        <v>1000</v>
      </c>
      <c r="B1125" t="s">
        <v>32</v>
      </c>
      <c r="C1125" s="1">
        <v>45900</v>
      </c>
      <c r="D1125" s="1" t="str">
        <f>TEXT(FMData[[#This Row],[Show_Date]],"mmm")</f>
        <v>Aug</v>
      </c>
      <c r="E1125" s="1" t="str">
        <f>TEXT(FMData[[#This Row],[Show_Date]],"ddd")</f>
        <v>Sun</v>
      </c>
      <c r="F1125" t="s">
        <v>16</v>
      </c>
      <c r="G1125" t="s">
        <v>22</v>
      </c>
      <c r="H1125">
        <v>1</v>
      </c>
      <c r="I1125">
        <v>20</v>
      </c>
      <c r="J1125" t="s">
        <v>23</v>
      </c>
      <c r="K1125" t="s">
        <v>18</v>
      </c>
      <c r="L1125">
        <v>20</v>
      </c>
    </row>
    <row r="1126" spans="1:12" x14ac:dyDescent="0.3">
      <c r="A1126">
        <v>372</v>
      </c>
      <c r="B1126" t="s">
        <v>19</v>
      </c>
      <c r="C1126" s="1">
        <v>45850</v>
      </c>
      <c r="D1126" s="1" t="str">
        <f>TEXT(FMData[[#This Row],[Show_Date]],"mmm")</f>
        <v>Jul</v>
      </c>
      <c r="E1126" s="1" t="str">
        <f>TEXT(FMData[[#This Row],[Show_Date]],"ddd")</f>
        <v>Sat</v>
      </c>
      <c r="F1126" t="s">
        <v>16</v>
      </c>
      <c r="G1126" t="s">
        <v>22</v>
      </c>
      <c r="H1126">
        <v>4</v>
      </c>
      <c r="I1126">
        <v>20</v>
      </c>
      <c r="J1126" t="s">
        <v>21</v>
      </c>
      <c r="K1126" t="s">
        <v>18</v>
      </c>
      <c r="L1126">
        <v>80</v>
      </c>
    </row>
    <row r="1127" spans="1:12" x14ac:dyDescent="0.3">
      <c r="A1127">
        <v>378</v>
      </c>
      <c r="B1127" t="s">
        <v>24</v>
      </c>
      <c r="C1127" s="1">
        <v>45870</v>
      </c>
      <c r="D1127" s="1" t="str">
        <f>TEXT(FMData[[#This Row],[Show_Date]],"mmm")</f>
        <v>Aug</v>
      </c>
      <c r="E1127" s="1" t="str">
        <f>TEXT(FMData[[#This Row],[Show_Date]],"ddd")</f>
        <v>Fri</v>
      </c>
      <c r="F1127" t="s">
        <v>16</v>
      </c>
      <c r="G1127" t="s">
        <v>30</v>
      </c>
      <c r="H1127">
        <v>4</v>
      </c>
      <c r="I1127">
        <v>8</v>
      </c>
      <c r="J1127" t="s">
        <v>21</v>
      </c>
      <c r="K1127" t="s">
        <v>18</v>
      </c>
      <c r="L1127">
        <v>32</v>
      </c>
    </row>
    <row r="1128" spans="1:12" x14ac:dyDescent="0.3">
      <c r="A1128">
        <v>489</v>
      </c>
      <c r="B1128" t="s">
        <v>24</v>
      </c>
      <c r="C1128" s="1">
        <v>45910</v>
      </c>
      <c r="D1128" s="1" t="str">
        <f>TEXT(FMData[[#This Row],[Show_Date]],"mmm")</f>
        <v>Sep</v>
      </c>
      <c r="E1128" s="1" t="str">
        <f>TEXT(FMData[[#This Row],[Show_Date]],"ddd")</f>
        <v>Wed</v>
      </c>
      <c r="F1128" t="s">
        <v>16</v>
      </c>
      <c r="G1128" t="s">
        <v>12</v>
      </c>
      <c r="H1128">
        <v>3</v>
      </c>
      <c r="I1128">
        <v>25</v>
      </c>
      <c r="J1128" t="s">
        <v>23</v>
      </c>
      <c r="K1128" t="s">
        <v>18</v>
      </c>
      <c r="L1128">
        <v>75</v>
      </c>
    </row>
    <row r="1129" spans="1:12" x14ac:dyDescent="0.3">
      <c r="A1129">
        <v>1510</v>
      </c>
      <c r="B1129" t="s">
        <v>31</v>
      </c>
      <c r="C1129" s="1">
        <v>45906</v>
      </c>
      <c r="D1129" s="1" t="str">
        <f>TEXT(FMData[[#This Row],[Show_Date]],"mmm")</f>
        <v>Sep</v>
      </c>
      <c r="E1129" s="1" t="str">
        <f>TEXT(FMData[[#This Row],[Show_Date]],"ddd")</f>
        <v>Sat</v>
      </c>
      <c r="F1129" t="s">
        <v>33</v>
      </c>
      <c r="G1129" t="s">
        <v>17</v>
      </c>
      <c r="H1129">
        <v>5</v>
      </c>
      <c r="I1129">
        <v>12</v>
      </c>
      <c r="J1129" t="s">
        <v>13</v>
      </c>
      <c r="K1129" t="s">
        <v>18</v>
      </c>
      <c r="L1129">
        <v>60</v>
      </c>
    </row>
    <row r="1130" spans="1:12" x14ac:dyDescent="0.3">
      <c r="A1130">
        <v>1248</v>
      </c>
      <c r="B1130" t="s">
        <v>10</v>
      </c>
      <c r="C1130" s="1">
        <v>45928</v>
      </c>
      <c r="D1130" s="1" t="str">
        <f>TEXT(FMData[[#This Row],[Show_Date]],"mmm")</f>
        <v>Sep</v>
      </c>
      <c r="E1130" s="1" t="str">
        <f>TEXT(FMData[[#This Row],[Show_Date]],"ddd")</f>
        <v>Sun</v>
      </c>
      <c r="F1130" t="s">
        <v>33</v>
      </c>
      <c r="G1130" t="s">
        <v>17</v>
      </c>
      <c r="H1130">
        <v>3</v>
      </c>
      <c r="I1130">
        <v>12</v>
      </c>
      <c r="J1130" t="s">
        <v>23</v>
      </c>
      <c r="K1130" t="s">
        <v>18</v>
      </c>
      <c r="L1130">
        <v>36</v>
      </c>
    </row>
    <row r="1131" spans="1:12" x14ac:dyDescent="0.3">
      <c r="A1131">
        <v>1437</v>
      </c>
      <c r="B1131" t="s">
        <v>10</v>
      </c>
      <c r="C1131" s="1">
        <v>45855</v>
      </c>
      <c r="D1131" s="1" t="str">
        <f>TEXT(FMData[[#This Row],[Show_Date]],"mmm")</f>
        <v>Jul</v>
      </c>
      <c r="E1131" s="1" t="str">
        <f>TEXT(FMData[[#This Row],[Show_Date]],"ddd")</f>
        <v>Thu</v>
      </c>
      <c r="F1131" t="s">
        <v>33</v>
      </c>
      <c r="G1131" t="s">
        <v>17</v>
      </c>
      <c r="H1131">
        <v>4</v>
      </c>
      <c r="I1131">
        <v>12</v>
      </c>
      <c r="J1131" t="s">
        <v>21</v>
      </c>
      <c r="K1131" t="s">
        <v>18</v>
      </c>
      <c r="L1131">
        <v>48</v>
      </c>
    </row>
    <row r="1132" spans="1:12" x14ac:dyDescent="0.3">
      <c r="A1132">
        <v>525</v>
      </c>
      <c r="B1132" t="s">
        <v>26</v>
      </c>
      <c r="C1132" s="1">
        <v>45901</v>
      </c>
      <c r="D1132" s="1" t="str">
        <f>TEXT(FMData[[#This Row],[Show_Date]],"mmm")</f>
        <v>Sep</v>
      </c>
      <c r="E1132" s="1" t="str">
        <f>TEXT(FMData[[#This Row],[Show_Date]],"ddd")</f>
        <v>Mon</v>
      </c>
      <c r="F1132" t="s">
        <v>11</v>
      </c>
      <c r="G1132" t="s">
        <v>22</v>
      </c>
      <c r="H1132">
        <v>1</v>
      </c>
      <c r="I1132">
        <v>20</v>
      </c>
      <c r="J1132" t="s">
        <v>13</v>
      </c>
      <c r="K1132" t="s">
        <v>18</v>
      </c>
      <c r="L1132">
        <v>20</v>
      </c>
    </row>
    <row r="1133" spans="1:12" x14ac:dyDescent="0.3">
      <c r="A1133">
        <v>1376</v>
      </c>
      <c r="B1133" t="s">
        <v>15</v>
      </c>
      <c r="C1133" s="1">
        <v>45878</v>
      </c>
      <c r="D1133" s="1" t="str">
        <f>TEXT(FMData[[#This Row],[Show_Date]],"mmm")</f>
        <v>Aug</v>
      </c>
      <c r="E1133" s="1" t="str">
        <f>TEXT(FMData[[#This Row],[Show_Date]],"ddd")</f>
        <v>Sat</v>
      </c>
      <c r="F1133" t="s">
        <v>33</v>
      </c>
      <c r="G1133" t="s">
        <v>30</v>
      </c>
      <c r="H1133">
        <v>2</v>
      </c>
      <c r="I1133">
        <v>8</v>
      </c>
      <c r="J1133" t="s">
        <v>13</v>
      </c>
      <c r="K1133" t="s">
        <v>18</v>
      </c>
      <c r="L1133">
        <v>16</v>
      </c>
    </row>
    <row r="1134" spans="1:12" x14ac:dyDescent="0.3">
      <c r="A1134">
        <v>1039</v>
      </c>
      <c r="B1134" t="s">
        <v>24</v>
      </c>
      <c r="C1134" s="1">
        <v>45906</v>
      </c>
      <c r="D1134" s="1" t="str">
        <f>TEXT(FMData[[#This Row],[Show_Date]],"mmm")</f>
        <v>Sep</v>
      </c>
      <c r="E1134" s="1" t="str">
        <f>TEXT(FMData[[#This Row],[Show_Date]],"ddd")</f>
        <v>Sat</v>
      </c>
      <c r="F1134" t="s">
        <v>11</v>
      </c>
      <c r="G1134" t="s">
        <v>17</v>
      </c>
      <c r="H1134">
        <v>5</v>
      </c>
      <c r="I1134">
        <v>12</v>
      </c>
      <c r="J1134" t="s">
        <v>23</v>
      </c>
      <c r="K1134" t="s">
        <v>18</v>
      </c>
      <c r="L1134">
        <v>60</v>
      </c>
    </row>
    <row r="1135" spans="1:12" x14ac:dyDescent="0.3">
      <c r="A1135">
        <v>24</v>
      </c>
      <c r="B1135" t="s">
        <v>19</v>
      </c>
      <c r="C1135" s="1">
        <v>45927</v>
      </c>
      <c r="D1135" s="1" t="str">
        <f>TEXT(FMData[[#This Row],[Show_Date]],"mmm")</f>
        <v>Sep</v>
      </c>
      <c r="E1135" s="1" t="str">
        <f>TEXT(FMData[[#This Row],[Show_Date]],"ddd")</f>
        <v>Sat</v>
      </c>
      <c r="F1135" t="s">
        <v>33</v>
      </c>
      <c r="G1135" t="s">
        <v>17</v>
      </c>
      <c r="H1135">
        <v>1</v>
      </c>
      <c r="I1135">
        <v>12</v>
      </c>
      <c r="J1135" t="s">
        <v>23</v>
      </c>
      <c r="K1135" t="s">
        <v>18</v>
      </c>
      <c r="L1135">
        <v>12</v>
      </c>
    </row>
    <row r="1136" spans="1:12" x14ac:dyDescent="0.3">
      <c r="A1136">
        <v>1631</v>
      </c>
      <c r="B1136" t="s">
        <v>28</v>
      </c>
      <c r="C1136" s="1">
        <v>45857</v>
      </c>
      <c r="D1136" s="1" t="str">
        <f>TEXT(FMData[[#This Row],[Show_Date]],"mmm")</f>
        <v>Jul</v>
      </c>
      <c r="E1136" s="1" t="str">
        <f>TEXT(FMData[[#This Row],[Show_Date]],"ddd")</f>
        <v>Sat</v>
      </c>
      <c r="F1136" t="s">
        <v>16</v>
      </c>
      <c r="G1136" t="s">
        <v>30</v>
      </c>
      <c r="H1136">
        <v>1</v>
      </c>
      <c r="I1136">
        <v>8</v>
      </c>
      <c r="J1136" t="s">
        <v>23</v>
      </c>
      <c r="K1136" t="s">
        <v>18</v>
      </c>
      <c r="L1136">
        <v>8</v>
      </c>
    </row>
    <row r="1137" spans="1:12" x14ac:dyDescent="0.3">
      <c r="A1137">
        <v>77</v>
      </c>
      <c r="B1137" t="s">
        <v>31</v>
      </c>
      <c r="C1137" s="1">
        <v>45848</v>
      </c>
      <c r="D1137" s="1" t="str">
        <f>TEXT(FMData[[#This Row],[Show_Date]],"mmm")</f>
        <v>Jul</v>
      </c>
      <c r="E1137" s="1" t="str">
        <f>TEXT(FMData[[#This Row],[Show_Date]],"ddd")</f>
        <v>Thu</v>
      </c>
      <c r="F1137" t="s">
        <v>16</v>
      </c>
      <c r="G1137" t="s">
        <v>17</v>
      </c>
      <c r="H1137">
        <v>1</v>
      </c>
      <c r="I1137">
        <v>12</v>
      </c>
      <c r="J1137" t="s">
        <v>21</v>
      </c>
      <c r="K1137" t="s">
        <v>18</v>
      </c>
      <c r="L1137">
        <v>12</v>
      </c>
    </row>
    <row r="1138" spans="1:12" x14ac:dyDescent="0.3">
      <c r="A1138">
        <v>813</v>
      </c>
      <c r="B1138" t="s">
        <v>24</v>
      </c>
      <c r="C1138" s="1">
        <v>45847</v>
      </c>
      <c r="D1138" s="1" t="str">
        <f>TEXT(FMData[[#This Row],[Show_Date]],"mmm")</f>
        <v>Jul</v>
      </c>
      <c r="E1138" s="1" t="str">
        <f>TEXT(FMData[[#This Row],[Show_Date]],"ddd")</f>
        <v>Wed</v>
      </c>
      <c r="F1138" t="s">
        <v>33</v>
      </c>
      <c r="G1138" t="s">
        <v>30</v>
      </c>
      <c r="H1138">
        <v>3</v>
      </c>
      <c r="I1138">
        <v>8</v>
      </c>
      <c r="J1138" t="s">
        <v>21</v>
      </c>
      <c r="K1138" t="s">
        <v>18</v>
      </c>
      <c r="L1138">
        <v>24</v>
      </c>
    </row>
    <row r="1139" spans="1:12" x14ac:dyDescent="0.3">
      <c r="A1139">
        <v>470</v>
      </c>
      <c r="B1139" t="s">
        <v>31</v>
      </c>
      <c r="C1139" s="1">
        <v>45921</v>
      </c>
      <c r="D1139" s="1" t="str">
        <f>TEXT(FMData[[#This Row],[Show_Date]],"mmm")</f>
        <v>Sep</v>
      </c>
      <c r="E1139" s="1" t="str">
        <f>TEXT(FMData[[#This Row],[Show_Date]],"ddd")</f>
        <v>Sun</v>
      </c>
      <c r="F1139" t="s">
        <v>16</v>
      </c>
      <c r="G1139" t="s">
        <v>12</v>
      </c>
      <c r="H1139">
        <v>3</v>
      </c>
      <c r="I1139">
        <v>25</v>
      </c>
      <c r="J1139" t="s">
        <v>21</v>
      </c>
      <c r="K1139" t="s">
        <v>18</v>
      </c>
      <c r="L1139">
        <v>75</v>
      </c>
    </row>
    <row r="1140" spans="1:12" x14ac:dyDescent="0.3">
      <c r="A1140">
        <v>541</v>
      </c>
      <c r="B1140" t="s">
        <v>28</v>
      </c>
      <c r="C1140" s="1">
        <v>45864</v>
      </c>
      <c r="D1140" s="1" t="str">
        <f>TEXT(FMData[[#This Row],[Show_Date]],"mmm")</f>
        <v>Jul</v>
      </c>
      <c r="E1140" s="1" t="str">
        <f>TEXT(FMData[[#This Row],[Show_Date]],"ddd")</f>
        <v>Sat</v>
      </c>
      <c r="F1140" t="s">
        <v>33</v>
      </c>
      <c r="G1140" t="s">
        <v>30</v>
      </c>
      <c r="H1140">
        <v>1</v>
      </c>
      <c r="I1140">
        <v>8</v>
      </c>
      <c r="J1140" t="s">
        <v>13</v>
      </c>
      <c r="K1140" t="s">
        <v>18</v>
      </c>
      <c r="L1140">
        <v>8</v>
      </c>
    </row>
    <row r="1141" spans="1:12" x14ac:dyDescent="0.3">
      <c r="A1141">
        <v>1993</v>
      </c>
      <c r="B1141" t="s">
        <v>32</v>
      </c>
      <c r="C1141" s="1">
        <v>45852</v>
      </c>
      <c r="D1141" s="1" t="str">
        <f>TEXT(FMData[[#This Row],[Show_Date]],"mmm")</f>
        <v>Jul</v>
      </c>
      <c r="E1141" s="1" t="str">
        <f>TEXT(FMData[[#This Row],[Show_Date]],"ddd")</f>
        <v>Mon</v>
      </c>
      <c r="F1141" t="s">
        <v>16</v>
      </c>
      <c r="G1141" t="s">
        <v>30</v>
      </c>
      <c r="H1141">
        <v>2</v>
      </c>
      <c r="I1141">
        <v>8</v>
      </c>
      <c r="J1141" t="s">
        <v>23</v>
      </c>
      <c r="K1141" t="s">
        <v>18</v>
      </c>
      <c r="L1141">
        <v>16</v>
      </c>
    </row>
    <row r="1142" spans="1:12" x14ac:dyDescent="0.3">
      <c r="A1142">
        <v>999</v>
      </c>
      <c r="B1142" t="s">
        <v>19</v>
      </c>
      <c r="C1142" s="1">
        <v>45881</v>
      </c>
      <c r="D1142" s="1" t="str">
        <f>TEXT(FMData[[#This Row],[Show_Date]],"mmm")</f>
        <v>Aug</v>
      </c>
      <c r="E1142" s="1" t="str">
        <f>TEXT(FMData[[#This Row],[Show_Date]],"ddd")</f>
        <v>Tue</v>
      </c>
      <c r="F1142" t="s">
        <v>20</v>
      </c>
      <c r="G1142" t="s">
        <v>17</v>
      </c>
      <c r="H1142">
        <v>5</v>
      </c>
      <c r="I1142">
        <v>12</v>
      </c>
      <c r="J1142" t="s">
        <v>21</v>
      </c>
      <c r="K1142" t="s">
        <v>18</v>
      </c>
      <c r="L1142">
        <v>60</v>
      </c>
    </row>
    <row r="1143" spans="1:12" x14ac:dyDescent="0.3">
      <c r="A1143">
        <v>1643</v>
      </c>
      <c r="B1143" t="s">
        <v>15</v>
      </c>
      <c r="C1143" s="1">
        <v>45893</v>
      </c>
      <c r="D1143" s="1" t="str">
        <f>TEXT(FMData[[#This Row],[Show_Date]],"mmm")</f>
        <v>Aug</v>
      </c>
      <c r="E1143" s="1" t="str">
        <f>TEXT(FMData[[#This Row],[Show_Date]],"ddd")</f>
        <v>Sun</v>
      </c>
      <c r="F1143" t="s">
        <v>33</v>
      </c>
      <c r="G1143" t="s">
        <v>17</v>
      </c>
      <c r="H1143">
        <v>5</v>
      </c>
      <c r="I1143">
        <v>12</v>
      </c>
      <c r="J1143" t="s">
        <v>13</v>
      </c>
      <c r="K1143" t="s">
        <v>18</v>
      </c>
      <c r="L1143">
        <v>60</v>
      </c>
    </row>
    <row r="1144" spans="1:12" x14ac:dyDescent="0.3">
      <c r="A1144">
        <v>1315</v>
      </c>
      <c r="B1144" t="s">
        <v>10</v>
      </c>
      <c r="C1144" s="1">
        <v>45885</v>
      </c>
      <c r="D1144" s="1" t="str">
        <f>TEXT(FMData[[#This Row],[Show_Date]],"mmm")</f>
        <v>Aug</v>
      </c>
      <c r="E1144" s="1" t="str">
        <f>TEXT(FMData[[#This Row],[Show_Date]],"ddd")</f>
        <v>Sat</v>
      </c>
      <c r="F1144" t="s">
        <v>11</v>
      </c>
      <c r="G1144" t="s">
        <v>17</v>
      </c>
      <c r="H1144">
        <v>4</v>
      </c>
      <c r="I1144">
        <v>12</v>
      </c>
      <c r="J1144" t="s">
        <v>21</v>
      </c>
      <c r="K1144" t="s">
        <v>18</v>
      </c>
      <c r="L1144">
        <v>48</v>
      </c>
    </row>
    <row r="1145" spans="1:12" x14ac:dyDescent="0.3">
      <c r="A1145">
        <v>955</v>
      </c>
      <c r="B1145" t="s">
        <v>32</v>
      </c>
      <c r="C1145" s="1">
        <v>45841</v>
      </c>
      <c r="D1145" s="1" t="str">
        <f>TEXT(FMData[[#This Row],[Show_Date]],"mmm")</f>
        <v>Jul</v>
      </c>
      <c r="E1145" s="1" t="str">
        <f>TEXT(FMData[[#This Row],[Show_Date]],"ddd")</f>
        <v>Thu</v>
      </c>
      <c r="F1145" t="s">
        <v>20</v>
      </c>
      <c r="G1145" t="s">
        <v>29</v>
      </c>
      <c r="H1145">
        <v>3</v>
      </c>
      <c r="I1145">
        <v>30</v>
      </c>
      <c r="J1145" t="s">
        <v>21</v>
      </c>
      <c r="K1145" t="s">
        <v>18</v>
      </c>
      <c r="L1145">
        <v>90</v>
      </c>
    </row>
    <row r="1146" spans="1:12" x14ac:dyDescent="0.3">
      <c r="A1146">
        <v>232</v>
      </c>
      <c r="B1146" t="s">
        <v>31</v>
      </c>
      <c r="C1146" s="1">
        <v>45843</v>
      </c>
      <c r="D1146" s="1" t="str">
        <f>TEXT(FMData[[#This Row],[Show_Date]],"mmm")</f>
        <v>Jul</v>
      </c>
      <c r="E1146" s="1" t="str">
        <f>TEXT(FMData[[#This Row],[Show_Date]],"ddd")</f>
        <v>Sat</v>
      </c>
      <c r="F1146" t="s">
        <v>33</v>
      </c>
      <c r="G1146" t="s">
        <v>17</v>
      </c>
      <c r="H1146">
        <v>3</v>
      </c>
      <c r="I1146">
        <v>12</v>
      </c>
      <c r="J1146" t="s">
        <v>23</v>
      </c>
      <c r="K1146" t="s">
        <v>18</v>
      </c>
      <c r="L1146">
        <v>36</v>
      </c>
    </row>
    <row r="1147" spans="1:12" x14ac:dyDescent="0.3">
      <c r="A1147">
        <v>1754</v>
      </c>
      <c r="B1147" t="s">
        <v>28</v>
      </c>
      <c r="C1147" s="1">
        <v>45921</v>
      </c>
      <c r="D1147" s="1" t="str">
        <f>TEXT(FMData[[#This Row],[Show_Date]],"mmm")</f>
        <v>Sep</v>
      </c>
      <c r="E1147" s="1" t="str">
        <f>TEXT(FMData[[#This Row],[Show_Date]],"ddd")</f>
        <v>Sun</v>
      </c>
      <c r="F1147" t="s">
        <v>33</v>
      </c>
      <c r="G1147" t="s">
        <v>30</v>
      </c>
      <c r="H1147">
        <v>4</v>
      </c>
      <c r="I1147">
        <v>8</v>
      </c>
      <c r="J1147" t="s">
        <v>13</v>
      </c>
      <c r="K1147" t="s">
        <v>18</v>
      </c>
      <c r="L1147">
        <v>32</v>
      </c>
    </row>
    <row r="1148" spans="1:12" x14ac:dyDescent="0.3">
      <c r="A1148">
        <v>1564</v>
      </c>
      <c r="B1148" t="s">
        <v>26</v>
      </c>
      <c r="C1148" s="1">
        <v>45920</v>
      </c>
      <c r="D1148" s="1" t="str">
        <f>TEXT(FMData[[#This Row],[Show_Date]],"mmm")</f>
        <v>Sep</v>
      </c>
      <c r="E1148" s="1" t="str">
        <f>TEXT(FMData[[#This Row],[Show_Date]],"ddd")</f>
        <v>Sat</v>
      </c>
      <c r="F1148" t="s">
        <v>16</v>
      </c>
      <c r="G1148" t="s">
        <v>17</v>
      </c>
      <c r="H1148">
        <v>1</v>
      </c>
      <c r="I1148">
        <v>12</v>
      </c>
      <c r="J1148" t="s">
        <v>21</v>
      </c>
      <c r="K1148" t="s">
        <v>18</v>
      </c>
      <c r="L1148">
        <v>12</v>
      </c>
    </row>
    <row r="1149" spans="1:12" x14ac:dyDescent="0.3">
      <c r="A1149">
        <v>1042</v>
      </c>
      <c r="B1149" t="s">
        <v>26</v>
      </c>
      <c r="C1149" s="1">
        <v>45892</v>
      </c>
      <c r="D1149" s="1" t="str">
        <f>TEXT(FMData[[#This Row],[Show_Date]],"mmm")</f>
        <v>Aug</v>
      </c>
      <c r="E1149" s="1" t="str">
        <f>TEXT(FMData[[#This Row],[Show_Date]],"ddd")</f>
        <v>Sat</v>
      </c>
      <c r="F1149" t="s">
        <v>16</v>
      </c>
      <c r="G1149" t="s">
        <v>29</v>
      </c>
      <c r="H1149">
        <v>5</v>
      </c>
      <c r="I1149">
        <v>30</v>
      </c>
      <c r="J1149" t="s">
        <v>23</v>
      </c>
      <c r="K1149" t="s">
        <v>18</v>
      </c>
      <c r="L1149">
        <v>150</v>
      </c>
    </row>
    <row r="1150" spans="1:12" x14ac:dyDescent="0.3">
      <c r="A1150">
        <v>1217</v>
      </c>
      <c r="B1150" t="s">
        <v>10</v>
      </c>
      <c r="C1150" s="1">
        <v>45902</v>
      </c>
      <c r="D1150" s="1" t="str">
        <f>TEXT(FMData[[#This Row],[Show_Date]],"mmm")</f>
        <v>Sep</v>
      </c>
      <c r="E1150" s="1" t="str">
        <f>TEXT(FMData[[#This Row],[Show_Date]],"ddd")</f>
        <v>Tue</v>
      </c>
      <c r="F1150" t="s">
        <v>11</v>
      </c>
      <c r="G1150" t="s">
        <v>17</v>
      </c>
      <c r="H1150">
        <v>5</v>
      </c>
      <c r="I1150">
        <v>12</v>
      </c>
      <c r="J1150" t="s">
        <v>21</v>
      </c>
      <c r="K1150" t="s">
        <v>18</v>
      </c>
      <c r="L1150">
        <v>60</v>
      </c>
    </row>
    <row r="1151" spans="1:12" x14ac:dyDescent="0.3">
      <c r="A1151">
        <v>993</v>
      </c>
      <c r="B1151" t="s">
        <v>26</v>
      </c>
      <c r="C1151" s="1">
        <v>45872</v>
      </c>
      <c r="D1151" s="1" t="str">
        <f>TEXT(FMData[[#This Row],[Show_Date]],"mmm")</f>
        <v>Aug</v>
      </c>
      <c r="E1151" s="1" t="str">
        <f>TEXT(FMData[[#This Row],[Show_Date]],"ddd")</f>
        <v>Sun</v>
      </c>
      <c r="F1151" t="s">
        <v>20</v>
      </c>
      <c r="G1151" t="s">
        <v>12</v>
      </c>
      <c r="H1151">
        <v>2</v>
      </c>
      <c r="I1151">
        <v>25</v>
      </c>
      <c r="J1151" t="s">
        <v>21</v>
      </c>
      <c r="K1151" t="s">
        <v>18</v>
      </c>
      <c r="L1151">
        <v>50</v>
      </c>
    </row>
    <row r="1152" spans="1:12" x14ac:dyDescent="0.3">
      <c r="A1152">
        <v>1403</v>
      </c>
      <c r="B1152" t="s">
        <v>24</v>
      </c>
      <c r="C1152" s="1">
        <v>45898</v>
      </c>
      <c r="D1152" s="1" t="str">
        <f>TEXT(FMData[[#This Row],[Show_Date]],"mmm")</f>
        <v>Aug</v>
      </c>
      <c r="E1152" s="1" t="str">
        <f>TEXT(FMData[[#This Row],[Show_Date]],"ddd")</f>
        <v>Fri</v>
      </c>
      <c r="F1152" t="s">
        <v>16</v>
      </c>
      <c r="G1152" t="s">
        <v>29</v>
      </c>
      <c r="H1152">
        <v>1</v>
      </c>
      <c r="I1152">
        <v>30</v>
      </c>
      <c r="J1152" t="s">
        <v>21</v>
      </c>
      <c r="K1152" t="s">
        <v>18</v>
      </c>
      <c r="L1152">
        <v>30</v>
      </c>
    </row>
    <row r="1153" spans="1:12" x14ac:dyDescent="0.3">
      <c r="A1153">
        <v>115</v>
      </c>
      <c r="B1153" t="s">
        <v>28</v>
      </c>
      <c r="C1153" s="1">
        <v>45843</v>
      </c>
      <c r="D1153" s="1" t="str">
        <f>TEXT(FMData[[#This Row],[Show_Date]],"mmm")</f>
        <v>Jul</v>
      </c>
      <c r="E1153" s="1" t="str">
        <f>TEXT(FMData[[#This Row],[Show_Date]],"ddd")</f>
        <v>Sat</v>
      </c>
      <c r="F1153" t="s">
        <v>33</v>
      </c>
      <c r="G1153" t="s">
        <v>30</v>
      </c>
      <c r="H1153">
        <v>1</v>
      </c>
      <c r="I1153">
        <v>8</v>
      </c>
      <c r="J1153" t="s">
        <v>23</v>
      </c>
      <c r="K1153" t="s">
        <v>18</v>
      </c>
      <c r="L1153">
        <v>8</v>
      </c>
    </row>
    <row r="1154" spans="1:12" x14ac:dyDescent="0.3">
      <c r="A1154">
        <v>848</v>
      </c>
      <c r="B1154" t="s">
        <v>26</v>
      </c>
      <c r="C1154" s="1">
        <v>45928</v>
      </c>
      <c r="D1154" s="1" t="str">
        <f>TEXT(FMData[[#This Row],[Show_Date]],"mmm")</f>
        <v>Sep</v>
      </c>
      <c r="E1154" s="1" t="str">
        <f>TEXT(FMData[[#This Row],[Show_Date]],"ddd")</f>
        <v>Sun</v>
      </c>
      <c r="F1154" t="s">
        <v>16</v>
      </c>
      <c r="G1154" t="s">
        <v>17</v>
      </c>
      <c r="H1154">
        <v>2</v>
      </c>
      <c r="I1154">
        <v>12</v>
      </c>
      <c r="J1154" t="s">
        <v>13</v>
      </c>
      <c r="K1154" t="s">
        <v>18</v>
      </c>
      <c r="L1154">
        <v>24</v>
      </c>
    </row>
    <row r="1155" spans="1:12" x14ac:dyDescent="0.3">
      <c r="A1155">
        <v>155</v>
      </c>
      <c r="B1155" t="s">
        <v>15</v>
      </c>
      <c r="C1155" s="1">
        <v>45886</v>
      </c>
      <c r="D1155" s="1" t="str">
        <f>TEXT(FMData[[#This Row],[Show_Date]],"mmm")</f>
        <v>Aug</v>
      </c>
      <c r="E1155" s="1" t="str">
        <f>TEXT(FMData[[#This Row],[Show_Date]],"ddd")</f>
        <v>Sun</v>
      </c>
      <c r="F1155" t="s">
        <v>16</v>
      </c>
      <c r="G1155" t="s">
        <v>17</v>
      </c>
      <c r="H1155">
        <v>2</v>
      </c>
      <c r="I1155">
        <v>12</v>
      </c>
      <c r="J1155" t="s">
        <v>13</v>
      </c>
      <c r="K1155" t="s">
        <v>18</v>
      </c>
      <c r="L1155">
        <v>24</v>
      </c>
    </row>
    <row r="1156" spans="1:12" x14ac:dyDescent="0.3">
      <c r="A1156">
        <v>231</v>
      </c>
      <c r="B1156" t="s">
        <v>10</v>
      </c>
      <c r="C1156" s="1">
        <v>45911</v>
      </c>
      <c r="D1156" s="1" t="str">
        <f>TEXT(FMData[[#This Row],[Show_Date]],"mmm")</f>
        <v>Sep</v>
      </c>
      <c r="E1156" s="1" t="str">
        <f>TEXT(FMData[[#This Row],[Show_Date]],"ddd")</f>
        <v>Thu</v>
      </c>
      <c r="F1156" t="s">
        <v>20</v>
      </c>
      <c r="G1156" t="s">
        <v>30</v>
      </c>
      <c r="H1156">
        <v>1</v>
      </c>
      <c r="I1156">
        <v>8</v>
      </c>
      <c r="J1156" t="s">
        <v>23</v>
      </c>
      <c r="K1156" t="s">
        <v>18</v>
      </c>
      <c r="L1156">
        <v>8</v>
      </c>
    </row>
    <row r="1157" spans="1:12" x14ac:dyDescent="0.3">
      <c r="A1157">
        <v>309</v>
      </c>
      <c r="B1157" t="s">
        <v>19</v>
      </c>
      <c r="C1157" s="1">
        <v>45849</v>
      </c>
      <c r="D1157" s="1" t="str">
        <f>TEXT(FMData[[#This Row],[Show_Date]],"mmm")</f>
        <v>Jul</v>
      </c>
      <c r="E1157" s="1" t="str">
        <f>TEXT(FMData[[#This Row],[Show_Date]],"ddd")</f>
        <v>Fri</v>
      </c>
      <c r="F1157" t="s">
        <v>11</v>
      </c>
      <c r="G1157" t="s">
        <v>17</v>
      </c>
      <c r="H1157">
        <v>2</v>
      </c>
      <c r="I1157">
        <v>12</v>
      </c>
      <c r="J1157" t="s">
        <v>23</v>
      </c>
      <c r="K1157" t="s">
        <v>18</v>
      </c>
      <c r="L1157">
        <v>24</v>
      </c>
    </row>
    <row r="1158" spans="1:12" x14ac:dyDescent="0.3">
      <c r="A1158">
        <v>245</v>
      </c>
      <c r="B1158" t="s">
        <v>28</v>
      </c>
      <c r="C1158" s="1">
        <v>45866</v>
      </c>
      <c r="D1158" s="1" t="str">
        <f>TEXT(FMData[[#This Row],[Show_Date]],"mmm")</f>
        <v>Jul</v>
      </c>
      <c r="E1158" s="1" t="str">
        <f>TEXT(FMData[[#This Row],[Show_Date]],"ddd")</f>
        <v>Mon</v>
      </c>
      <c r="F1158" t="s">
        <v>16</v>
      </c>
      <c r="G1158" t="s">
        <v>22</v>
      </c>
      <c r="H1158">
        <v>3</v>
      </c>
      <c r="I1158">
        <v>20</v>
      </c>
      <c r="J1158" t="s">
        <v>13</v>
      </c>
      <c r="K1158" t="s">
        <v>27</v>
      </c>
      <c r="L1158">
        <v>60</v>
      </c>
    </row>
    <row r="1159" spans="1:12" x14ac:dyDescent="0.3">
      <c r="A1159">
        <v>699</v>
      </c>
      <c r="B1159" t="s">
        <v>26</v>
      </c>
      <c r="C1159" s="1">
        <v>45841</v>
      </c>
      <c r="D1159" s="1" t="str">
        <f>TEXT(FMData[[#This Row],[Show_Date]],"mmm")</f>
        <v>Jul</v>
      </c>
      <c r="E1159" s="1" t="str">
        <f>TEXT(FMData[[#This Row],[Show_Date]],"ddd")</f>
        <v>Thu</v>
      </c>
      <c r="F1159" t="s">
        <v>16</v>
      </c>
      <c r="G1159" t="s">
        <v>30</v>
      </c>
      <c r="H1159">
        <v>4</v>
      </c>
      <c r="I1159">
        <v>8</v>
      </c>
      <c r="J1159" t="s">
        <v>23</v>
      </c>
      <c r="K1159" t="s">
        <v>25</v>
      </c>
      <c r="L1159">
        <v>32</v>
      </c>
    </row>
    <row r="1160" spans="1:12" x14ac:dyDescent="0.3">
      <c r="A1160">
        <v>1913</v>
      </c>
      <c r="B1160" t="s">
        <v>26</v>
      </c>
      <c r="C1160" s="1">
        <v>45901</v>
      </c>
      <c r="D1160" s="1" t="str">
        <f>TEXT(FMData[[#This Row],[Show_Date]],"mmm")</f>
        <v>Sep</v>
      </c>
      <c r="E1160" s="1" t="str">
        <f>TEXT(FMData[[#This Row],[Show_Date]],"ddd")</f>
        <v>Mon</v>
      </c>
      <c r="F1160" t="s">
        <v>33</v>
      </c>
      <c r="G1160" t="s">
        <v>17</v>
      </c>
      <c r="H1160">
        <v>4</v>
      </c>
      <c r="I1160">
        <v>12</v>
      </c>
      <c r="J1160" t="s">
        <v>21</v>
      </c>
      <c r="K1160" t="s">
        <v>18</v>
      </c>
      <c r="L1160">
        <v>48</v>
      </c>
    </row>
    <row r="1161" spans="1:12" x14ac:dyDescent="0.3">
      <c r="A1161">
        <v>552</v>
      </c>
      <c r="B1161" t="s">
        <v>31</v>
      </c>
      <c r="C1161" s="1">
        <v>45886</v>
      </c>
      <c r="D1161" s="1" t="str">
        <f>TEXT(FMData[[#This Row],[Show_Date]],"mmm")</f>
        <v>Aug</v>
      </c>
      <c r="E1161" s="1" t="str">
        <f>TEXT(FMData[[#This Row],[Show_Date]],"ddd")</f>
        <v>Sun</v>
      </c>
      <c r="F1161" t="s">
        <v>33</v>
      </c>
      <c r="G1161" t="s">
        <v>17</v>
      </c>
      <c r="H1161">
        <v>1</v>
      </c>
      <c r="I1161">
        <v>12</v>
      </c>
      <c r="J1161" t="s">
        <v>13</v>
      </c>
      <c r="K1161" t="s">
        <v>27</v>
      </c>
      <c r="L1161">
        <v>12</v>
      </c>
    </row>
    <row r="1162" spans="1:12" x14ac:dyDescent="0.3">
      <c r="A1162">
        <v>215</v>
      </c>
      <c r="B1162" t="s">
        <v>32</v>
      </c>
      <c r="C1162" s="1">
        <v>45919</v>
      </c>
      <c r="D1162" s="1" t="str">
        <f>TEXT(FMData[[#This Row],[Show_Date]],"mmm")</f>
        <v>Sep</v>
      </c>
      <c r="E1162" s="1" t="str">
        <f>TEXT(FMData[[#This Row],[Show_Date]],"ddd")</f>
        <v>Fri</v>
      </c>
      <c r="F1162" t="s">
        <v>20</v>
      </c>
      <c r="G1162" t="s">
        <v>30</v>
      </c>
      <c r="H1162">
        <v>3</v>
      </c>
      <c r="I1162">
        <v>8</v>
      </c>
      <c r="J1162" t="s">
        <v>21</v>
      </c>
      <c r="K1162" t="s">
        <v>18</v>
      </c>
      <c r="L1162">
        <v>24</v>
      </c>
    </row>
    <row r="1163" spans="1:12" x14ac:dyDescent="0.3">
      <c r="A1163">
        <v>1210</v>
      </c>
      <c r="B1163" t="s">
        <v>15</v>
      </c>
      <c r="C1163" s="1">
        <v>45902</v>
      </c>
      <c r="D1163" s="1" t="str">
        <f>TEXT(FMData[[#This Row],[Show_Date]],"mmm")</f>
        <v>Sep</v>
      </c>
      <c r="E1163" s="1" t="str">
        <f>TEXT(FMData[[#This Row],[Show_Date]],"ddd")</f>
        <v>Tue</v>
      </c>
      <c r="F1163" t="s">
        <v>33</v>
      </c>
      <c r="G1163" t="s">
        <v>12</v>
      </c>
      <c r="H1163">
        <v>2</v>
      </c>
      <c r="I1163">
        <v>25</v>
      </c>
      <c r="J1163" t="s">
        <v>13</v>
      </c>
      <c r="K1163" t="s">
        <v>27</v>
      </c>
      <c r="L1163">
        <v>50</v>
      </c>
    </row>
    <row r="1164" spans="1:12" x14ac:dyDescent="0.3">
      <c r="A1164">
        <v>656</v>
      </c>
      <c r="B1164" t="s">
        <v>15</v>
      </c>
      <c r="C1164" s="1">
        <v>45927</v>
      </c>
      <c r="D1164" s="1" t="str">
        <f>TEXT(FMData[[#This Row],[Show_Date]],"mmm")</f>
        <v>Sep</v>
      </c>
      <c r="E1164" s="1" t="str">
        <f>TEXT(FMData[[#This Row],[Show_Date]],"ddd")</f>
        <v>Sat</v>
      </c>
      <c r="F1164" t="s">
        <v>33</v>
      </c>
      <c r="G1164" t="s">
        <v>17</v>
      </c>
      <c r="H1164">
        <v>1</v>
      </c>
      <c r="I1164">
        <v>12</v>
      </c>
      <c r="J1164" t="s">
        <v>21</v>
      </c>
      <c r="K1164" t="s">
        <v>14</v>
      </c>
      <c r="L1164">
        <v>12</v>
      </c>
    </row>
    <row r="1165" spans="1:12" x14ac:dyDescent="0.3">
      <c r="A1165">
        <v>88</v>
      </c>
      <c r="B1165" t="s">
        <v>24</v>
      </c>
      <c r="C1165" s="1">
        <v>45850</v>
      </c>
      <c r="D1165" s="1" t="str">
        <f>TEXT(FMData[[#This Row],[Show_Date]],"mmm")</f>
        <v>Jul</v>
      </c>
      <c r="E1165" s="1" t="str">
        <f>TEXT(FMData[[#This Row],[Show_Date]],"ddd")</f>
        <v>Sat</v>
      </c>
      <c r="F1165" t="s">
        <v>33</v>
      </c>
      <c r="G1165" t="s">
        <v>30</v>
      </c>
      <c r="H1165">
        <v>2</v>
      </c>
      <c r="I1165">
        <v>8</v>
      </c>
      <c r="J1165" t="s">
        <v>13</v>
      </c>
      <c r="K1165" t="s">
        <v>27</v>
      </c>
      <c r="L1165">
        <v>16</v>
      </c>
    </row>
    <row r="1166" spans="1:12" x14ac:dyDescent="0.3">
      <c r="A1166">
        <v>419</v>
      </c>
      <c r="B1166" t="s">
        <v>19</v>
      </c>
      <c r="C1166" s="1">
        <v>45846</v>
      </c>
      <c r="D1166" s="1" t="str">
        <f>TEXT(FMData[[#This Row],[Show_Date]],"mmm")</f>
        <v>Jul</v>
      </c>
      <c r="E1166" s="1" t="str">
        <f>TEXT(FMData[[#This Row],[Show_Date]],"ddd")</f>
        <v>Tue</v>
      </c>
      <c r="F1166" t="s">
        <v>33</v>
      </c>
      <c r="G1166" t="s">
        <v>17</v>
      </c>
      <c r="H1166">
        <v>5</v>
      </c>
      <c r="I1166">
        <v>12</v>
      </c>
      <c r="J1166" t="s">
        <v>13</v>
      </c>
      <c r="K1166" t="s">
        <v>14</v>
      </c>
      <c r="L1166">
        <v>60</v>
      </c>
    </row>
    <row r="1167" spans="1:12" x14ac:dyDescent="0.3">
      <c r="A1167">
        <v>697</v>
      </c>
      <c r="B1167" t="s">
        <v>28</v>
      </c>
      <c r="C1167" s="1">
        <v>45847</v>
      </c>
      <c r="D1167" s="1" t="str">
        <f>TEXT(FMData[[#This Row],[Show_Date]],"mmm")</f>
        <v>Jul</v>
      </c>
      <c r="E1167" s="1" t="str">
        <f>TEXT(FMData[[#This Row],[Show_Date]],"ddd")</f>
        <v>Wed</v>
      </c>
      <c r="F1167" t="s">
        <v>16</v>
      </c>
      <c r="G1167" t="s">
        <v>30</v>
      </c>
      <c r="H1167">
        <v>1</v>
      </c>
      <c r="I1167">
        <v>8</v>
      </c>
      <c r="J1167" t="s">
        <v>23</v>
      </c>
      <c r="K1167" t="s">
        <v>14</v>
      </c>
      <c r="L1167">
        <v>8</v>
      </c>
    </row>
    <row r="1168" spans="1:12" x14ac:dyDescent="0.3">
      <c r="A1168">
        <v>1080</v>
      </c>
      <c r="B1168" t="s">
        <v>24</v>
      </c>
      <c r="C1168" s="1">
        <v>45927</v>
      </c>
      <c r="D1168" s="1" t="str">
        <f>TEXT(FMData[[#This Row],[Show_Date]],"mmm")</f>
        <v>Sep</v>
      </c>
      <c r="E1168" s="1" t="str">
        <f>TEXT(FMData[[#This Row],[Show_Date]],"ddd")</f>
        <v>Sat</v>
      </c>
      <c r="F1168" t="s">
        <v>11</v>
      </c>
      <c r="G1168" t="s">
        <v>29</v>
      </c>
      <c r="H1168">
        <v>1</v>
      </c>
      <c r="I1168">
        <v>30</v>
      </c>
      <c r="J1168" t="s">
        <v>21</v>
      </c>
      <c r="K1168" t="s">
        <v>25</v>
      </c>
      <c r="L1168">
        <v>30</v>
      </c>
    </row>
    <row r="1169" spans="1:12" x14ac:dyDescent="0.3">
      <c r="A1169">
        <v>440</v>
      </c>
      <c r="B1169" t="s">
        <v>32</v>
      </c>
      <c r="C1169" s="1">
        <v>45916</v>
      </c>
      <c r="D1169" s="1" t="str">
        <f>TEXT(FMData[[#This Row],[Show_Date]],"mmm")</f>
        <v>Sep</v>
      </c>
      <c r="E1169" s="1" t="str">
        <f>TEXT(FMData[[#This Row],[Show_Date]],"ddd")</f>
        <v>Tue</v>
      </c>
      <c r="F1169" t="s">
        <v>11</v>
      </c>
      <c r="G1169" t="s">
        <v>17</v>
      </c>
      <c r="H1169">
        <v>3</v>
      </c>
      <c r="I1169">
        <v>12</v>
      </c>
      <c r="J1169" t="s">
        <v>23</v>
      </c>
      <c r="K1169" t="s">
        <v>18</v>
      </c>
      <c r="L1169">
        <v>36</v>
      </c>
    </row>
    <row r="1170" spans="1:12" x14ac:dyDescent="0.3">
      <c r="A1170">
        <v>1165</v>
      </c>
      <c r="B1170" t="s">
        <v>15</v>
      </c>
      <c r="C1170" s="1">
        <v>45889</v>
      </c>
      <c r="D1170" s="1" t="str">
        <f>TEXT(FMData[[#This Row],[Show_Date]],"mmm")</f>
        <v>Aug</v>
      </c>
      <c r="E1170" s="1" t="str">
        <f>TEXT(FMData[[#This Row],[Show_Date]],"ddd")</f>
        <v>Wed</v>
      </c>
      <c r="F1170" t="s">
        <v>33</v>
      </c>
      <c r="G1170" t="s">
        <v>17</v>
      </c>
      <c r="H1170">
        <v>1</v>
      </c>
      <c r="I1170">
        <v>12</v>
      </c>
      <c r="J1170" t="s">
        <v>23</v>
      </c>
      <c r="K1170" t="s">
        <v>27</v>
      </c>
      <c r="L1170">
        <v>12</v>
      </c>
    </row>
    <row r="1171" spans="1:12" x14ac:dyDescent="0.3">
      <c r="A1171">
        <v>1926</v>
      </c>
      <c r="B1171" t="s">
        <v>15</v>
      </c>
      <c r="C1171" s="1">
        <v>45868</v>
      </c>
      <c r="D1171" s="1" t="str">
        <f>TEXT(FMData[[#This Row],[Show_Date]],"mmm")</f>
        <v>Jul</v>
      </c>
      <c r="E1171" s="1" t="str">
        <f>TEXT(FMData[[#This Row],[Show_Date]],"ddd")</f>
        <v>Wed</v>
      </c>
      <c r="F1171" t="s">
        <v>16</v>
      </c>
      <c r="G1171" t="s">
        <v>17</v>
      </c>
      <c r="H1171">
        <v>1</v>
      </c>
      <c r="I1171">
        <v>12</v>
      </c>
      <c r="J1171" t="s">
        <v>21</v>
      </c>
      <c r="K1171" t="s">
        <v>25</v>
      </c>
      <c r="L1171">
        <v>12</v>
      </c>
    </row>
    <row r="1172" spans="1:12" x14ac:dyDescent="0.3">
      <c r="A1172">
        <v>135</v>
      </c>
      <c r="B1172" t="s">
        <v>28</v>
      </c>
      <c r="C1172" s="1">
        <v>45870</v>
      </c>
      <c r="D1172" s="1" t="str">
        <f>TEXT(FMData[[#This Row],[Show_Date]],"mmm")</f>
        <v>Aug</v>
      </c>
      <c r="E1172" s="1" t="str">
        <f>TEXT(FMData[[#This Row],[Show_Date]],"ddd")</f>
        <v>Fri</v>
      </c>
      <c r="F1172" t="s">
        <v>11</v>
      </c>
      <c r="G1172" t="s">
        <v>30</v>
      </c>
      <c r="H1172">
        <v>2</v>
      </c>
      <c r="I1172">
        <v>8</v>
      </c>
      <c r="J1172" t="s">
        <v>21</v>
      </c>
      <c r="K1172" t="s">
        <v>18</v>
      </c>
      <c r="L1172">
        <v>16</v>
      </c>
    </row>
    <row r="1173" spans="1:12" x14ac:dyDescent="0.3">
      <c r="A1173">
        <v>1759</v>
      </c>
      <c r="B1173" t="s">
        <v>28</v>
      </c>
      <c r="C1173" s="1">
        <v>45888</v>
      </c>
      <c r="D1173" s="1" t="str">
        <f>TEXT(FMData[[#This Row],[Show_Date]],"mmm")</f>
        <v>Aug</v>
      </c>
      <c r="E1173" s="1" t="str">
        <f>TEXT(FMData[[#This Row],[Show_Date]],"ddd")</f>
        <v>Tue</v>
      </c>
      <c r="F1173" t="s">
        <v>11</v>
      </c>
      <c r="G1173" t="s">
        <v>17</v>
      </c>
      <c r="H1173">
        <v>3</v>
      </c>
      <c r="I1173">
        <v>12</v>
      </c>
      <c r="J1173" t="s">
        <v>23</v>
      </c>
      <c r="K1173" t="s">
        <v>18</v>
      </c>
      <c r="L1173">
        <v>36</v>
      </c>
    </row>
    <row r="1174" spans="1:12" x14ac:dyDescent="0.3">
      <c r="A1174">
        <v>1753</v>
      </c>
      <c r="B1174" t="s">
        <v>26</v>
      </c>
      <c r="C1174" s="1">
        <v>45902</v>
      </c>
      <c r="D1174" s="1" t="str">
        <f>TEXT(FMData[[#This Row],[Show_Date]],"mmm")</f>
        <v>Sep</v>
      </c>
      <c r="E1174" s="1" t="str">
        <f>TEXT(FMData[[#This Row],[Show_Date]],"ddd")</f>
        <v>Tue</v>
      </c>
      <c r="F1174" t="s">
        <v>33</v>
      </c>
      <c r="G1174" t="s">
        <v>17</v>
      </c>
      <c r="H1174">
        <v>2</v>
      </c>
      <c r="I1174">
        <v>12</v>
      </c>
      <c r="J1174" t="s">
        <v>23</v>
      </c>
      <c r="K1174" t="s">
        <v>27</v>
      </c>
      <c r="L1174">
        <v>24</v>
      </c>
    </row>
    <row r="1175" spans="1:12" x14ac:dyDescent="0.3">
      <c r="A1175">
        <v>1995</v>
      </c>
      <c r="B1175" t="s">
        <v>15</v>
      </c>
      <c r="C1175" s="1">
        <v>45865</v>
      </c>
      <c r="D1175" s="1" t="str">
        <f>TEXT(FMData[[#This Row],[Show_Date]],"mmm")</f>
        <v>Jul</v>
      </c>
      <c r="E1175" s="1" t="str">
        <f>TEXT(FMData[[#This Row],[Show_Date]],"ddd")</f>
        <v>Sun</v>
      </c>
      <c r="F1175" t="s">
        <v>20</v>
      </c>
      <c r="G1175" t="s">
        <v>17</v>
      </c>
      <c r="H1175">
        <v>4</v>
      </c>
      <c r="I1175">
        <v>12</v>
      </c>
      <c r="J1175" t="s">
        <v>23</v>
      </c>
      <c r="K1175" t="s">
        <v>25</v>
      </c>
      <c r="L1175">
        <v>48</v>
      </c>
    </row>
    <row r="1176" spans="1:12" x14ac:dyDescent="0.3">
      <c r="A1176">
        <v>1414</v>
      </c>
      <c r="B1176" t="s">
        <v>19</v>
      </c>
      <c r="C1176" s="1">
        <v>45873</v>
      </c>
      <c r="D1176" s="1" t="str">
        <f>TEXT(FMData[[#This Row],[Show_Date]],"mmm")</f>
        <v>Aug</v>
      </c>
      <c r="E1176" s="1" t="str">
        <f>TEXT(FMData[[#This Row],[Show_Date]],"ddd")</f>
        <v>Mon</v>
      </c>
      <c r="F1176" t="s">
        <v>16</v>
      </c>
      <c r="G1176" t="s">
        <v>17</v>
      </c>
      <c r="H1176">
        <v>2</v>
      </c>
      <c r="I1176">
        <v>12</v>
      </c>
      <c r="J1176" t="s">
        <v>13</v>
      </c>
      <c r="K1176" t="s">
        <v>14</v>
      </c>
      <c r="L1176">
        <v>24</v>
      </c>
    </row>
    <row r="1177" spans="1:12" x14ac:dyDescent="0.3">
      <c r="A1177">
        <v>1951</v>
      </c>
      <c r="B1177" t="s">
        <v>31</v>
      </c>
      <c r="C1177" s="1">
        <v>45875</v>
      </c>
      <c r="D1177" s="1" t="str">
        <f>TEXT(FMData[[#This Row],[Show_Date]],"mmm")</f>
        <v>Aug</v>
      </c>
      <c r="E1177" s="1" t="str">
        <f>TEXT(FMData[[#This Row],[Show_Date]],"ddd")</f>
        <v>Wed</v>
      </c>
      <c r="F1177" t="s">
        <v>33</v>
      </c>
      <c r="G1177" t="s">
        <v>17</v>
      </c>
      <c r="H1177">
        <v>5</v>
      </c>
      <c r="I1177">
        <v>12</v>
      </c>
      <c r="J1177" t="s">
        <v>21</v>
      </c>
      <c r="K1177" t="s">
        <v>18</v>
      </c>
      <c r="L1177">
        <v>60</v>
      </c>
    </row>
    <row r="1178" spans="1:12" x14ac:dyDescent="0.3">
      <c r="A1178">
        <v>942</v>
      </c>
      <c r="B1178" t="s">
        <v>15</v>
      </c>
      <c r="C1178" s="1">
        <v>45917</v>
      </c>
      <c r="D1178" s="1" t="str">
        <f>TEXT(FMData[[#This Row],[Show_Date]],"mmm")</f>
        <v>Sep</v>
      </c>
      <c r="E1178" s="1" t="str">
        <f>TEXT(FMData[[#This Row],[Show_Date]],"ddd")</f>
        <v>Wed</v>
      </c>
      <c r="F1178" t="s">
        <v>11</v>
      </c>
      <c r="G1178" t="s">
        <v>12</v>
      </c>
      <c r="H1178">
        <v>2</v>
      </c>
      <c r="I1178">
        <v>25</v>
      </c>
      <c r="J1178" t="s">
        <v>13</v>
      </c>
      <c r="K1178" t="s">
        <v>18</v>
      </c>
      <c r="L1178">
        <v>50</v>
      </c>
    </row>
    <row r="1179" spans="1:12" x14ac:dyDescent="0.3">
      <c r="A1179">
        <v>737</v>
      </c>
      <c r="B1179" t="s">
        <v>31</v>
      </c>
      <c r="C1179" s="1">
        <v>45877</v>
      </c>
      <c r="D1179" s="1" t="str">
        <f>TEXT(FMData[[#This Row],[Show_Date]],"mmm")</f>
        <v>Aug</v>
      </c>
      <c r="E1179" s="1" t="str">
        <f>TEXT(FMData[[#This Row],[Show_Date]],"ddd")</f>
        <v>Fri</v>
      </c>
      <c r="F1179" t="s">
        <v>11</v>
      </c>
      <c r="G1179" t="s">
        <v>29</v>
      </c>
      <c r="H1179">
        <v>5</v>
      </c>
      <c r="I1179">
        <v>30</v>
      </c>
      <c r="J1179" t="s">
        <v>23</v>
      </c>
      <c r="K1179" t="s">
        <v>18</v>
      </c>
      <c r="L1179">
        <v>150</v>
      </c>
    </row>
    <row r="1180" spans="1:12" x14ac:dyDescent="0.3">
      <c r="A1180">
        <v>1006</v>
      </c>
      <c r="B1180" t="s">
        <v>15</v>
      </c>
      <c r="C1180" s="1">
        <v>45879</v>
      </c>
      <c r="D1180" s="1" t="str">
        <f>TEXT(FMData[[#This Row],[Show_Date]],"mmm")</f>
        <v>Aug</v>
      </c>
      <c r="E1180" s="1" t="str">
        <f>TEXT(FMData[[#This Row],[Show_Date]],"ddd")</f>
        <v>Sun</v>
      </c>
      <c r="F1180" t="s">
        <v>33</v>
      </c>
      <c r="G1180" t="s">
        <v>22</v>
      </c>
      <c r="H1180">
        <v>4</v>
      </c>
      <c r="I1180">
        <v>20</v>
      </c>
      <c r="J1180" t="s">
        <v>13</v>
      </c>
      <c r="K1180" t="s">
        <v>25</v>
      </c>
      <c r="L1180">
        <v>80</v>
      </c>
    </row>
    <row r="1181" spans="1:12" x14ac:dyDescent="0.3">
      <c r="A1181">
        <v>1068</v>
      </c>
      <c r="B1181" t="s">
        <v>28</v>
      </c>
      <c r="C1181" s="1">
        <v>45874</v>
      </c>
      <c r="D1181" s="1" t="str">
        <f>TEXT(FMData[[#This Row],[Show_Date]],"mmm")</f>
        <v>Aug</v>
      </c>
      <c r="E1181" s="1" t="str">
        <f>TEXT(FMData[[#This Row],[Show_Date]],"ddd")</f>
        <v>Tue</v>
      </c>
      <c r="F1181" t="s">
        <v>33</v>
      </c>
      <c r="G1181" t="s">
        <v>29</v>
      </c>
      <c r="H1181">
        <v>3</v>
      </c>
      <c r="I1181">
        <v>30</v>
      </c>
      <c r="J1181" t="s">
        <v>13</v>
      </c>
      <c r="K1181" t="s">
        <v>14</v>
      </c>
      <c r="L1181">
        <v>90</v>
      </c>
    </row>
    <row r="1182" spans="1:12" x14ac:dyDescent="0.3">
      <c r="A1182">
        <v>234</v>
      </c>
      <c r="B1182" t="s">
        <v>31</v>
      </c>
      <c r="C1182" s="1">
        <v>45839</v>
      </c>
      <c r="D1182" s="1" t="str">
        <f>TEXT(FMData[[#This Row],[Show_Date]],"mmm")</f>
        <v>Jul</v>
      </c>
      <c r="E1182" s="1" t="str">
        <f>TEXT(FMData[[#This Row],[Show_Date]],"ddd")</f>
        <v>Tue</v>
      </c>
      <c r="F1182" t="s">
        <v>11</v>
      </c>
      <c r="G1182" t="s">
        <v>22</v>
      </c>
      <c r="H1182">
        <v>3</v>
      </c>
      <c r="I1182">
        <v>20</v>
      </c>
      <c r="J1182" t="s">
        <v>21</v>
      </c>
      <c r="K1182" t="s">
        <v>25</v>
      </c>
      <c r="L1182">
        <v>60</v>
      </c>
    </row>
    <row r="1183" spans="1:12" x14ac:dyDescent="0.3">
      <c r="A1183">
        <v>793</v>
      </c>
      <c r="B1183" t="s">
        <v>15</v>
      </c>
      <c r="C1183" s="1">
        <v>45865</v>
      </c>
      <c r="D1183" s="1" t="str">
        <f>TEXT(FMData[[#This Row],[Show_Date]],"mmm")</f>
        <v>Jul</v>
      </c>
      <c r="E1183" s="1" t="str">
        <f>TEXT(FMData[[#This Row],[Show_Date]],"ddd")</f>
        <v>Sun</v>
      </c>
      <c r="F1183" t="s">
        <v>33</v>
      </c>
      <c r="G1183" t="s">
        <v>12</v>
      </c>
      <c r="H1183">
        <v>3</v>
      </c>
      <c r="I1183">
        <v>25</v>
      </c>
      <c r="J1183" t="s">
        <v>23</v>
      </c>
      <c r="K1183" t="s">
        <v>18</v>
      </c>
      <c r="L1183">
        <v>75</v>
      </c>
    </row>
    <row r="1184" spans="1:12" x14ac:dyDescent="0.3">
      <c r="A1184">
        <v>1334</v>
      </c>
      <c r="B1184" t="s">
        <v>19</v>
      </c>
      <c r="C1184" s="1">
        <v>45900</v>
      </c>
      <c r="D1184" s="1" t="str">
        <f>TEXT(FMData[[#This Row],[Show_Date]],"mmm")</f>
        <v>Aug</v>
      </c>
      <c r="E1184" s="1" t="str">
        <f>TEXT(FMData[[#This Row],[Show_Date]],"ddd")</f>
        <v>Sun</v>
      </c>
      <c r="F1184" t="s">
        <v>16</v>
      </c>
      <c r="G1184" t="s">
        <v>17</v>
      </c>
      <c r="H1184">
        <v>2</v>
      </c>
      <c r="I1184">
        <v>12</v>
      </c>
      <c r="J1184" t="s">
        <v>21</v>
      </c>
      <c r="K1184" t="s">
        <v>18</v>
      </c>
      <c r="L1184">
        <v>24</v>
      </c>
    </row>
    <row r="1185" spans="1:12" x14ac:dyDescent="0.3">
      <c r="A1185">
        <v>557</v>
      </c>
      <c r="B1185" t="s">
        <v>19</v>
      </c>
      <c r="C1185" s="1">
        <v>45921</v>
      </c>
      <c r="D1185" s="1" t="str">
        <f>TEXT(FMData[[#This Row],[Show_Date]],"mmm")</f>
        <v>Sep</v>
      </c>
      <c r="E1185" s="1" t="str">
        <f>TEXT(FMData[[#This Row],[Show_Date]],"ddd")</f>
        <v>Sun</v>
      </c>
      <c r="F1185" t="s">
        <v>16</v>
      </c>
      <c r="G1185" t="s">
        <v>12</v>
      </c>
      <c r="H1185">
        <v>2</v>
      </c>
      <c r="I1185">
        <v>25</v>
      </c>
      <c r="J1185" t="s">
        <v>21</v>
      </c>
      <c r="K1185" t="s">
        <v>27</v>
      </c>
      <c r="L1185">
        <v>50</v>
      </c>
    </row>
    <row r="1186" spans="1:12" x14ac:dyDescent="0.3">
      <c r="A1186">
        <v>207</v>
      </c>
      <c r="B1186" t="s">
        <v>19</v>
      </c>
      <c r="C1186" s="1">
        <v>45855</v>
      </c>
      <c r="D1186" s="1" t="str">
        <f>TEXT(FMData[[#This Row],[Show_Date]],"mmm")</f>
        <v>Jul</v>
      </c>
      <c r="E1186" s="1" t="str">
        <f>TEXT(FMData[[#This Row],[Show_Date]],"ddd")</f>
        <v>Thu</v>
      </c>
      <c r="F1186" t="s">
        <v>11</v>
      </c>
      <c r="G1186" t="s">
        <v>17</v>
      </c>
      <c r="H1186">
        <v>5</v>
      </c>
      <c r="I1186">
        <v>12</v>
      </c>
      <c r="J1186" t="s">
        <v>23</v>
      </c>
      <c r="K1186" t="s">
        <v>18</v>
      </c>
      <c r="L1186">
        <v>60</v>
      </c>
    </row>
    <row r="1187" spans="1:12" x14ac:dyDescent="0.3">
      <c r="A1187">
        <v>640</v>
      </c>
      <c r="B1187" t="s">
        <v>19</v>
      </c>
      <c r="C1187" s="1">
        <v>45908</v>
      </c>
      <c r="D1187" s="1" t="str">
        <f>TEXT(FMData[[#This Row],[Show_Date]],"mmm")</f>
        <v>Sep</v>
      </c>
      <c r="E1187" s="1" t="str">
        <f>TEXT(FMData[[#This Row],[Show_Date]],"ddd")</f>
        <v>Mon</v>
      </c>
      <c r="F1187" t="s">
        <v>16</v>
      </c>
      <c r="G1187" t="s">
        <v>30</v>
      </c>
      <c r="H1187">
        <v>5</v>
      </c>
      <c r="I1187">
        <v>8</v>
      </c>
      <c r="J1187" t="s">
        <v>13</v>
      </c>
      <c r="K1187" t="s">
        <v>18</v>
      </c>
      <c r="L1187">
        <v>40</v>
      </c>
    </row>
    <row r="1188" spans="1:12" x14ac:dyDescent="0.3">
      <c r="A1188">
        <v>387</v>
      </c>
      <c r="B1188" t="s">
        <v>32</v>
      </c>
      <c r="C1188" s="1">
        <v>45926</v>
      </c>
      <c r="D1188" s="1" t="str">
        <f>TEXT(FMData[[#This Row],[Show_Date]],"mmm")</f>
        <v>Sep</v>
      </c>
      <c r="E1188" s="1" t="str">
        <f>TEXT(FMData[[#This Row],[Show_Date]],"ddd")</f>
        <v>Fri</v>
      </c>
      <c r="F1188" t="s">
        <v>20</v>
      </c>
      <c r="G1188" t="s">
        <v>17</v>
      </c>
      <c r="H1188">
        <v>2</v>
      </c>
      <c r="I1188">
        <v>12</v>
      </c>
      <c r="J1188" t="s">
        <v>21</v>
      </c>
      <c r="K1188" t="s">
        <v>18</v>
      </c>
      <c r="L1188">
        <v>24</v>
      </c>
    </row>
    <row r="1189" spans="1:12" x14ac:dyDescent="0.3">
      <c r="A1189">
        <v>1809</v>
      </c>
      <c r="B1189" t="s">
        <v>31</v>
      </c>
      <c r="C1189" s="1">
        <v>45914</v>
      </c>
      <c r="D1189" s="1" t="str">
        <f>TEXT(FMData[[#This Row],[Show_Date]],"mmm")</f>
        <v>Sep</v>
      </c>
      <c r="E1189" s="1" t="str">
        <f>TEXT(FMData[[#This Row],[Show_Date]],"ddd")</f>
        <v>Sun</v>
      </c>
      <c r="F1189" t="s">
        <v>33</v>
      </c>
      <c r="G1189" t="s">
        <v>17</v>
      </c>
      <c r="H1189">
        <v>3</v>
      </c>
      <c r="I1189">
        <v>12</v>
      </c>
      <c r="J1189" t="s">
        <v>23</v>
      </c>
      <c r="K1189" t="s">
        <v>18</v>
      </c>
      <c r="L1189">
        <v>36</v>
      </c>
    </row>
    <row r="1190" spans="1:12" x14ac:dyDescent="0.3">
      <c r="A1190">
        <v>540</v>
      </c>
      <c r="B1190" t="s">
        <v>26</v>
      </c>
      <c r="C1190" s="1">
        <v>45862</v>
      </c>
      <c r="D1190" s="1" t="str">
        <f>TEXT(FMData[[#This Row],[Show_Date]],"mmm")</f>
        <v>Jul</v>
      </c>
      <c r="E1190" s="1" t="str">
        <f>TEXT(FMData[[#This Row],[Show_Date]],"ddd")</f>
        <v>Thu</v>
      </c>
      <c r="F1190" t="s">
        <v>11</v>
      </c>
      <c r="G1190" t="s">
        <v>30</v>
      </c>
      <c r="H1190">
        <v>5</v>
      </c>
      <c r="I1190">
        <v>8</v>
      </c>
      <c r="J1190" t="s">
        <v>23</v>
      </c>
      <c r="K1190" t="s">
        <v>18</v>
      </c>
      <c r="L1190">
        <v>40</v>
      </c>
    </row>
    <row r="1191" spans="1:12" x14ac:dyDescent="0.3">
      <c r="A1191">
        <v>32</v>
      </c>
      <c r="B1191" t="s">
        <v>24</v>
      </c>
      <c r="C1191" s="1">
        <v>45923</v>
      </c>
      <c r="D1191" s="1" t="str">
        <f>TEXT(FMData[[#This Row],[Show_Date]],"mmm")</f>
        <v>Sep</v>
      </c>
      <c r="E1191" s="1" t="str">
        <f>TEXT(FMData[[#This Row],[Show_Date]],"ddd")</f>
        <v>Tue</v>
      </c>
      <c r="F1191" t="s">
        <v>33</v>
      </c>
      <c r="G1191" t="s">
        <v>12</v>
      </c>
      <c r="H1191">
        <v>2</v>
      </c>
      <c r="I1191">
        <v>25</v>
      </c>
      <c r="J1191" t="s">
        <v>21</v>
      </c>
      <c r="K1191" t="s">
        <v>27</v>
      </c>
      <c r="L1191">
        <v>50</v>
      </c>
    </row>
    <row r="1192" spans="1:12" x14ac:dyDescent="0.3">
      <c r="A1192">
        <v>936</v>
      </c>
      <c r="B1192" t="s">
        <v>24</v>
      </c>
      <c r="C1192" s="1">
        <v>45871</v>
      </c>
      <c r="D1192" s="1" t="str">
        <f>TEXT(FMData[[#This Row],[Show_Date]],"mmm")</f>
        <v>Aug</v>
      </c>
      <c r="E1192" s="1" t="str">
        <f>TEXT(FMData[[#This Row],[Show_Date]],"ddd")</f>
        <v>Sat</v>
      </c>
      <c r="F1192" t="s">
        <v>33</v>
      </c>
      <c r="G1192" t="s">
        <v>17</v>
      </c>
      <c r="H1192">
        <v>3</v>
      </c>
      <c r="I1192">
        <v>12</v>
      </c>
      <c r="J1192" t="s">
        <v>13</v>
      </c>
      <c r="K1192" t="s">
        <v>18</v>
      </c>
      <c r="L1192">
        <v>36</v>
      </c>
    </row>
    <row r="1193" spans="1:12" x14ac:dyDescent="0.3">
      <c r="A1193">
        <v>1851</v>
      </c>
      <c r="B1193" t="s">
        <v>32</v>
      </c>
      <c r="C1193" s="1">
        <v>45869</v>
      </c>
      <c r="D1193" s="1" t="str">
        <f>TEXT(FMData[[#This Row],[Show_Date]],"mmm")</f>
        <v>Jul</v>
      </c>
      <c r="E1193" s="1" t="str">
        <f>TEXT(FMData[[#This Row],[Show_Date]],"ddd")</f>
        <v>Thu</v>
      </c>
      <c r="F1193" t="s">
        <v>16</v>
      </c>
      <c r="G1193" t="s">
        <v>17</v>
      </c>
      <c r="H1193">
        <v>5</v>
      </c>
      <c r="I1193">
        <v>12</v>
      </c>
      <c r="J1193" t="s">
        <v>21</v>
      </c>
      <c r="K1193" t="s">
        <v>27</v>
      </c>
      <c r="L1193">
        <v>60</v>
      </c>
    </row>
    <row r="1194" spans="1:12" x14ac:dyDescent="0.3">
      <c r="A1194">
        <v>949</v>
      </c>
      <c r="B1194" t="s">
        <v>10</v>
      </c>
      <c r="C1194" s="1">
        <v>45921</v>
      </c>
      <c r="D1194" s="1" t="str">
        <f>TEXT(FMData[[#This Row],[Show_Date]],"mmm")</f>
        <v>Sep</v>
      </c>
      <c r="E1194" s="1" t="str">
        <f>TEXT(FMData[[#This Row],[Show_Date]],"ddd")</f>
        <v>Sun</v>
      </c>
      <c r="F1194" t="s">
        <v>20</v>
      </c>
      <c r="G1194" t="s">
        <v>17</v>
      </c>
      <c r="H1194">
        <v>2</v>
      </c>
      <c r="I1194">
        <v>12</v>
      </c>
      <c r="J1194" t="s">
        <v>23</v>
      </c>
      <c r="K1194" t="s">
        <v>25</v>
      </c>
      <c r="L1194">
        <v>24</v>
      </c>
    </row>
    <row r="1195" spans="1:12" x14ac:dyDescent="0.3">
      <c r="A1195">
        <v>11</v>
      </c>
      <c r="B1195" t="s">
        <v>32</v>
      </c>
      <c r="C1195" s="1">
        <v>45878</v>
      </c>
      <c r="D1195" s="1" t="str">
        <f>TEXT(FMData[[#This Row],[Show_Date]],"mmm")</f>
        <v>Aug</v>
      </c>
      <c r="E1195" s="1" t="str">
        <f>TEXT(FMData[[#This Row],[Show_Date]],"ddd")</f>
        <v>Sat</v>
      </c>
      <c r="F1195" t="s">
        <v>11</v>
      </c>
      <c r="G1195" t="s">
        <v>17</v>
      </c>
      <c r="H1195">
        <v>2</v>
      </c>
      <c r="I1195">
        <v>12</v>
      </c>
      <c r="J1195" t="s">
        <v>21</v>
      </c>
      <c r="K1195" t="s">
        <v>27</v>
      </c>
      <c r="L1195">
        <v>24</v>
      </c>
    </row>
    <row r="1196" spans="1:12" x14ac:dyDescent="0.3">
      <c r="A1196">
        <v>257</v>
      </c>
      <c r="B1196" t="s">
        <v>28</v>
      </c>
      <c r="C1196" s="1">
        <v>45873</v>
      </c>
      <c r="D1196" s="1" t="str">
        <f>TEXT(FMData[[#This Row],[Show_Date]],"mmm")</f>
        <v>Aug</v>
      </c>
      <c r="E1196" s="1" t="str">
        <f>TEXT(FMData[[#This Row],[Show_Date]],"ddd")</f>
        <v>Mon</v>
      </c>
      <c r="F1196" t="s">
        <v>11</v>
      </c>
      <c r="G1196" t="s">
        <v>12</v>
      </c>
      <c r="H1196">
        <v>3</v>
      </c>
      <c r="I1196">
        <v>25</v>
      </c>
      <c r="J1196" t="s">
        <v>23</v>
      </c>
      <c r="K1196" t="s">
        <v>14</v>
      </c>
      <c r="L1196">
        <v>75</v>
      </c>
    </row>
    <row r="1197" spans="1:12" x14ac:dyDescent="0.3">
      <c r="A1197">
        <v>1673</v>
      </c>
      <c r="B1197" t="s">
        <v>19</v>
      </c>
      <c r="C1197" s="1">
        <v>45913</v>
      </c>
      <c r="D1197" s="1" t="str">
        <f>TEXT(FMData[[#This Row],[Show_Date]],"mmm")</f>
        <v>Sep</v>
      </c>
      <c r="E1197" s="1" t="str">
        <f>TEXT(FMData[[#This Row],[Show_Date]],"ddd")</f>
        <v>Sat</v>
      </c>
      <c r="F1197" t="s">
        <v>11</v>
      </c>
      <c r="G1197" t="s">
        <v>30</v>
      </c>
      <c r="H1197">
        <v>3</v>
      </c>
      <c r="I1197">
        <v>8</v>
      </c>
      <c r="J1197" t="s">
        <v>21</v>
      </c>
      <c r="K1197" t="s">
        <v>27</v>
      </c>
      <c r="L1197">
        <v>24</v>
      </c>
    </row>
    <row r="1198" spans="1:12" x14ac:dyDescent="0.3">
      <c r="A1198">
        <v>1184</v>
      </c>
      <c r="B1198" t="s">
        <v>31</v>
      </c>
      <c r="C1198" s="1">
        <v>45893</v>
      </c>
      <c r="D1198" s="1" t="str">
        <f>TEXT(FMData[[#This Row],[Show_Date]],"mmm")</f>
        <v>Aug</v>
      </c>
      <c r="E1198" s="1" t="str">
        <f>TEXT(FMData[[#This Row],[Show_Date]],"ddd")</f>
        <v>Sun</v>
      </c>
      <c r="F1198" t="s">
        <v>16</v>
      </c>
      <c r="G1198" t="s">
        <v>17</v>
      </c>
      <c r="H1198">
        <v>1</v>
      </c>
      <c r="I1198">
        <v>12</v>
      </c>
      <c r="J1198" t="s">
        <v>21</v>
      </c>
      <c r="K1198" t="s">
        <v>14</v>
      </c>
      <c r="L1198">
        <v>12</v>
      </c>
    </row>
    <row r="1199" spans="1:12" x14ac:dyDescent="0.3">
      <c r="A1199">
        <v>1860</v>
      </c>
      <c r="B1199" t="s">
        <v>24</v>
      </c>
      <c r="C1199" s="1">
        <v>45928</v>
      </c>
      <c r="D1199" s="1" t="str">
        <f>TEXT(FMData[[#This Row],[Show_Date]],"mmm")</f>
        <v>Sep</v>
      </c>
      <c r="E1199" s="1" t="str">
        <f>TEXT(FMData[[#This Row],[Show_Date]],"ddd")</f>
        <v>Sun</v>
      </c>
      <c r="F1199" t="s">
        <v>33</v>
      </c>
      <c r="G1199" t="s">
        <v>22</v>
      </c>
      <c r="H1199">
        <v>3</v>
      </c>
      <c r="I1199">
        <v>20</v>
      </c>
      <c r="J1199" t="s">
        <v>21</v>
      </c>
      <c r="K1199" t="s">
        <v>14</v>
      </c>
      <c r="L1199">
        <v>60</v>
      </c>
    </row>
    <row r="1200" spans="1:12" x14ac:dyDescent="0.3">
      <c r="A1200">
        <v>5</v>
      </c>
      <c r="B1200" t="s">
        <v>32</v>
      </c>
      <c r="C1200" s="1">
        <v>45893</v>
      </c>
      <c r="D1200" s="1" t="str">
        <f>TEXT(FMData[[#This Row],[Show_Date]],"mmm")</f>
        <v>Aug</v>
      </c>
      <c r="E1200" s="1" t="str">
        <f>TEXT(FMData[[#This Row],[Show_Date]],"ddd")</f>
        <v>Sun</v>
      </c>
      <c r="F1200" t="s">
        <v>16</v>
      </c>
      <c r="G1200" t="s">
        <v>17</v>
      </c>
      <c r="H1200">
        <v>4</v>
      </c>
      <c r="I1200">
        <v>12</v>
      </c>
      <c r="J1200" t="s">
        <v>21</v>
      </c>
      <c r="K1200" t="s">
        <v>18</v>
      </c>
      <c r="L1200">
        <v>48</v>
      </c>
    </row>
    <row r="1201" spans="1:12" x14ac:dyDescent="0.3">
      <c r="A1201">
        <v>1963</v>
      </c>
      <c r="B1201" t="s">
        <v>26</v>
      </c>
      <c r="C1201" s="1">
        <v>45901</v>
      </c>
      <c r="D1201" s="1" t="str">
        <f>TEXT(FMData[[#This Row],[Show_Date]],"mmm")</f>
        <v>Sep</v>
      </c>
      <c r="E1201" s="1" t="str">
        <f>TEXT(FMData[[#This Row],[Show_Date]],"ddd")</f>
        <v>Mon</v>
      </c>
      <c r="F1201" t="s">
        <v>33</v>
      </c>
      <c r="G1201" t="s">
        <v>17</v>
      </c>
      <c r="H1201">
        <v>3</v>
      </c>
      <c r="I1201">
        <v>12</v>
      </c>
      <c r="J1201" t="s">
        <v>21</v>
      </c>
      <c r="K1201" t="s">
        <v>18</v>
      </c>
      <c r="L1201">
        <v>36</v>
      </c>
    </row>
    <row r="1202" spans="1:12" x14ac:dyDescent="0.3">
      <c r="A1202">
        <v>1559</v>
      </c>
      <c r="B1202" t="s">
        <v>28</v>
      </c>
      <c r="C1202" s="1">
        <v>45893</v>
      </c>
      <c r="D1202" s="1" t="str">
        <f>TEXT(FMData[[#This Row],[Show_Date]],"mmm")</f>
        <v>Aug</v>
      </c>
      <c r="E1202" s="1" t="str">
        <f>TEXT(FMData[[#This Row],[Show_Date]],"ddd")</f>
        <v>Sun</v>
      </c>
      <c r="F1202" t="s">
        <v>20</v>
      </c>
      <c r="G1202" t="s">
        <v>17</v>
      </c>
      <c r="H1202">
        <v>4</v>
      </c>
      <c r="I1202">
        <v>12</v>
      </c>
      <c r="J1202" t="s">
        <v>13</v>
      </c>
      <c r="K1202" t="s">
        <v>18</v>
      </c>
      <c r="L1202">
        <v>48</v>
      </c>
    </row>
    <row r="1203" spans="1:12" x14ac:dyDescent="0.3">
      <c r="A1203">
        <v>484</v>
      </c>
      <c r="B1203" t="s">
        <v>10</v>
      </c>
      <c r="C1203" s="1">
        <v>45913</v>
      </c>
      <c r="D1203" s="1" t="str">
        <f>TEXT(FMData[[#This Row],[Show_Date]],"mmm")</f>
        <v>Sep</v>
      </c>
      <c r="E1203" s="1" t="str">
        <f>TEXT(FMData[[#This Row],[Show_Date]],"ddd")</f>
        <v>Sat</v>
      </c>
      <c r="F1203" t="s">
        <v>16</v>
      </c>
      <c r="G1203" t="s">
        <v>17</v>
      </c>
      <c r="H1203">
        <v>3</v>
      </c>
      <c r="I1203">
        <v>12</v>
      </c>
      <c r="J1203" t="s">
        <v>13</v>
      </c>
      <c r="K1203" t="s">
        <v>18</v>
      </c>
      <c r="L1203">
        <v>36</v>
      </c>
    </row>
    <row r="1204" spans="1:12" x14ac:dyDescent="0.3">
      <c r="A1204">
        <v>1573</v>
      </c>
      <c r="B1204" t="s">
        <v>10</v>
      </c>
      <c r="C1204" s="1">
        <v>45863</v>
      </c>
      <c r="D1204" s="1" t="str">
        <f>TEXT(FMData[[#This Row],[Show_Date]],"mmm")</f>
        <v>Jul</v>
      </c>
      <c r="E1204" s="1" t="str">
        <f>TEXT(FMData[[#This Row],[Show_Date]],"ddd")</f>
        <v>Fri</v>
      </c>
      <c r="F1204" t="s">
        <v>16</v>
      </c>
      <c r="G1204" t="s">
        <v>22</v>
      </c>
      <c r="H1204">
        <v>5</v>
      </c>
      <c r="I1204">
        <v>20</v>
      </c>
      <c r="J1204" t="s">
        <v>21</v>
      </c>
      <c r="K1204" t="s">
        <v>25</v>
      </c>
      <c r="L1204">
        <v>100</v>
      </c>
    </row>
    <row r="1205" spans="1:12" x14ac:dyDescent="0.3">
      <c r="A1205">
        <v>1747</v>
      </c>
      <c r="B1205" t="s">
        <v>31</v>
      </c>
      <c r="C1205" s="1">
        <v>45871</v>
      </c>
      <c r="D1205" s="1" t="str">
        <f>TEXT(FMData[[#This Row],[Show_Date]],"mmm")</f>
        <v>Aug</v>
      </c>
      <c r="E1205" s="1" t="str">
        <f>TEXT(FMData[[#This Row],[Show_Date]],"ddd")</f>
        <v>Sat</v>
      </c>
      <c r="F1205" t="s">
        <v>16</v>
      </c>
      <c r="G1205" t="s">
        <v>30</v>
      </c>
      <c r="H1205">
        <v>1</v>
      </c>
      <c r="I1205">
        <v>8</v>
      </c>
      <c r="J1205" t="s">
        <v>13</v>
      </c>
      <c r="K1205" t="s">
        <v>14</v>
      </c>
      <c r="L1205">
        <v>8</v>
      </c>
    </row>
    <row r="1206" spans="1:12" x14ac:dyDescent="0.3">
      <c r="A1206">
        <v>608</v>
      </c>
      <c r="B1206" t="s">
        <v>19</v>
      </c>
      <c r="C1206" s="1">
        <v>45865</v>
      </c>
      <c r="D1206" s="1" t="str">
        <f>TEXT(FMData[[#This Row],[Show_Date]],"mmm")</f>
        <v>Jul</v>
      </c>
      <c r="E1206" s="1" t="str">
        <f>TEXT(FMData[[#This Row],[Show_Date]],"ddd")</f>
        <v>Sun</v>
      </c>
      <c r="F1206" t="s">
        <v>33</v>
      </c>
      <c r="G1206" t="s">
        <v>17</v>
      </c>
      <c r="H1206">
        <v>2</v>
      </c>
      <c r="I1206">
        <v>12</v>
      </c>
      <c r="J1206" t="s">
        <v>13</v>
      </c>
      <c r="K1206" t="s">
        <v>18</v>
      </c>
      <c r="L1206">
        <v>24</v>
      </c>
    </row>
    <row r="1207" spans="1:12" x14ac:dyDescent="0.3">
      <c r="A1207">
        <v>131</v>
      </c>
      <c r="B1207" t="s">
        <v>31</v>
      </c>
      <c r="C1207" s="1">
        <v>45839</v>
      </c>
      <c r="D1207" s="1" t="str">
        <f>TEXT(FMData[[#This Row],[Show_Date]],"mmm")</f>
        <v>Jul</v>
      </c>
      <c r="E1207" s="1" t="str">
        <f>TEXT(FMData[[#This Row],[Show_Date]],"ddd")</f>
        <v>Tue</v>
      </c>
      <c r="F1207" t="s">
        <v>33</v>
      </c>
      <c r="G1207" t="s">
        <v>17</v>
      </c>
      <c r="H1207">
        <v>1</v>
      </c>
      <c r="I1207">
        <v>12</v>
      </c>
      <c r="J1207" t="s">
        <v>13</v>
      </c>
      <c r="K1207" t="s">
        <v>18</v>
      </c>
      <c r="L1207">
        <v>12</v>
      </c>
    </row>
    <row r="1208" spans="1:12" x14ac:dyDescent="0.3">
      <c r="A1208">
        <v>1279</v>
      </c>
      <c r="B1208" t="s">
        <v>15</v>
      </c>
      <c r="C1208" s="1">
        <v>45851</v>
      </c>
      <c r="D1208" s="1" t="str">
        <f>TEXT(FMData[[#This Row],[Show_Date]],"mmm")</f>
        <v>Jul</v>
      </c>
      <c r="E1208" s="1" t="str">
        <f>TEXT(FMData[[#This Row],[Show_Date]],"ddd")</f>
        <v>Sun</v>
      </c>
      <c r="F1208" t="s">
        <v>16</v>
      </c>
      <c r="G1208" t="s">
        <v>17</v>
      </c>
      <c r="H1208">
        <v>1</v>
      </c>
      <c r="I1208">
        <v>12</v>
      </c>
      <c r="J1208" t="s">
        <v>23</v>
      </c>
      <c r="K1208" t="s">
        <v>14</v>
      </c>
      <c r="L1208">
        <v>12</v>
      </c>
    </row>
    <row r="1209" spans="1:12" x14ac:dyDescent="0.3">
      <c r="A1209">
        <v>875</v>
      </c>
      <c r="B1209" t="s">
        <v>26</v>
      </c>
      <c r="C1209" s="1">
        <v>45852</v>
      </c>
      <c r="D1209" s="1" t="str">
        <f>TEXT(FMData[[#This Row],[Show_Date]],"mmm")</f>
        <v>Jul</v>
      </c>
      <c r="E1209" s="1" t="str">
        <f>TEXT(FMData[[#This Row],[Show_Date]],"ddd")</f>
        <v>Mon</v>
      </c>
      <c r="F1209" t="s">
        <v>16</v>
      </c>
      <c r="G1209" t="s">
        <v>30</v>
      </c>
      <c r="H1209">
        <v>5</v>
      </c>
      <c r="I1209">
        <v>8</v>
      </c>
      <c r="J1209" t="s">
        <v>13</v>
      </c>
      <c r="K1209" t="s">
        <v>14</v>
      </c>
      <c r="L1209">
        <v>40</v>
      </c>
    </row>
    <row r="1210" spans="1:12" x14ac:dyDescent="0.3">
      <c r="A1210">
        <v>768</v>
      </c>
      <c r="B1210" t="s">
        <v>19</v>
      </c>
      <c r="C1210" s="1">
        <v>45843</v>
      </c>
      <c r="D1210" s="1" t="str">
        <f>TEXT(FMData[[#This Row],[Show_Date]],"mmm")</f>
        <v>Jul</v>
      </c>
      <c r="E1210" s="1" t="str">
        <f>TEXT(FMData[[#This Row],[Show_Date]],"ddd")</f>
        <v>Sat</v>
      </c>
      <c r="F1210" t="s">
        <v>11</v>
      </c>
      <c r="G1210" t="s">
        <v>17</v>
      </c>
      <c r="H1210">
        <v>3</v>
      </c>
      <c r="I1210">
        <v>12</v>
      </c>
      <c r="J1210" t="s">
        <v>13</v>
      </c>
      <c r="K1210" t="s">
        <v>14</v>
      </c>
      <c r="L1210">
        <v>36</v>
      </c>
    </row>
    <row r="1211" spans="1:12" x14ac:dyDescent="0.3">
      <c r="A1211">
        <v>1537</v>
      </c>
      <c r="B1211" t="s">
        <v>24</v>
      </c>
      <c r="C1211" s="1">
        <v>45871</v>
      </c>
      <c r="D1211" s="1" t="str">
        <f>TEXT(FMData[[#This Row],[Show_Date]],"mmm")</f>
        <v>Aug</v>
      </c>
      <c r="E1211" s="1" t="str">
        <f>TEXT(FMData[[#This Row],[Show_Date]],"ddd")</f>
        <v>Sat</v>
      </c>
      <c r="F1211" t="s">
        <v>33</v>
      </c>
      <c r="G1211" t="s">
        <v>17</v>
      </c>
      <c r="H1211">
        <v>3</v>
      </c>
      <c r="I1211">
        <v>12</v>
      </c>
      <c r="J1211" t="s">
        <v>23</v>
      </c>
      <c r="K1211" t="s">
        <v>18</v>
      </c>
      <c r="L1211">
        <v>36</v>
      </c>
    </row>
    <row r="1212" spans="1:12" x14ac:dyDescent="0.3">
      <c r="A1212">
        <v>602</v>
      </c>
      <c r="B1212" t="s">
        <v>19</v>
      </c>
      <c r="C1212" s="1">
        <v>45926</v>
      </c>
      <c r="D1212" s="1" t="str">
        <f>TEXT(FMData[[#This Row],[Show_Date]],"mmm")</f>
        <v>Sep</v>
      </c>
      <c r="E1212" s="1" t="str">
        <f>TEXT(FMData[[#This Row],[Show_Date]],"ddd")</f>
        <v>Fri</v>
      </c>
      <c r="F1212" t="s">
        <v>33</v>
      </c>
      <c r="G1212" t="s">
        <v>17</v>
      </c>
      <c r="H1212">
        <v>1</v>
      </c>
      <c r="I1212">
        <v>12</v>
      </c>
      <c r="J1212" t="s">
        <v>13</v>
      </c>
      <c r="K1212" t="s">
        <v>18</v>
      </c>
      <c r="L1212">
        <v>12</v>
      </c>
    </row>
    <row r="1213" spans="1:12" x14ac:dyDescent="0.3">
      <c r="A1213">
        <v>828</v>
      </c>
      <c r="B1213" t="s">
        <v>26</v>
      </c>
      <c r="C1213" s="1">
        <v>45887</v>
      </c>
      <c r="D1213" s="1" t="str">
        <f>TEXT(FMData[[#This Row],[Show_Date]],"mmm")</f>
        <v>Aug</v>
      </c>
      <c r="E1213" s="1" t="str">
        <f>TEXT(FMData[[#This Row],[Show_Date]],"ddd")</f>
        <v>Mon</v>
      </c>
      <c r="F1213" t="s">
        <v>33</v>
      </c>
      <c r="G1213" t="s">
        <v>17</v>
      </c>
      <c r="H1213">
        <v>4</v>
      </c>
      <c r="I1213">
        <v>12</v>
      </c>
      <c r="J1213" t="s">
        <v>13</v>
      </c>
      <c r="K1213" t="s">
        <v>18</v>
      </c>
      <c r="L1213">
        <v>48</v>
      </c>
    </row>
    <row r="1214" spans="1:12" x14ac:dyDescent="0.3">
      <c r="A1214">
        <v>1318</v>
      </c>
      <c r="B1214" t="s">
        <v>19</v>
      </c>
      <c r="C1214" s="1">
        <v>45858</v>
      </c>
      <c r="D1214" s="1" t="str">
        <f>TEXT(FMData[[#This Row],[Show_Date]],"mmm")</f>
        <v>Jul</v>
      </c>
      <c r="E1214" s="1" t="str">
        <f>TEXT(FMData[[#This Row],[Show_Date]],"ddd")</f>
        <v>Sun</v>
      </c>
      <c r="F1214" t="s">
        <v>20</v>
      </c>
      <c r="G1214" t="s">
        <v>17</v>
      </c>
      <c r="H1214">
        <v>2</v>
      </c>
      <c r="I1214">
        <v>12</v>
      </c>
      <c r="J1214" t="s">
        <v>23</v>
      </c>
      <c r="K1214" t="s">
        <v>18</v>
      </c>
      <c r="L1214">
        <v>24</v>
      </c>
    </row>
    <row r="1215" spans="1:12" x14ac:dyDescent="0.3">
      <c r="A1215">
        <v>727</v>
      </c>
      <c r="B1215" t="s">
        <v>32</v>
      </c>
      <c r="C1215" s="1">
        <v>45906</v>
      </c>
      <c r="D1215" s="1" t="str">
        <f>TEXT(FMData[[#This Row],[Show_Date]],"mmm")</f>
        <v>Sep</v>
      </c>
      <c r="E1215" s="1" t="str">
        <f>TEXT(FMData[[#This Row],[Show_Date]],"ddd")</f>
        <v>Sat</v>
      </c>
      <c r="F1215" t="s">
        <v>16</v>
      </c>
      <c r="G1215" t="s">
        <v>17</v>
      </c>
      <c r="H1215">
        <v>5</v>
      </c>
      <c r="I1215">
        <v>12</v>
      </c>
      <c r="J1215" t="s">
        <v>23</v>
      </c>
      <c r="K1215" t="s">
        <v>27</v>
      </c>
      <c r="L1215">
        <v>60</v>
      </c>
    </row>
    <row r="1216" spans="1:12" x14ac:dyDescent="0.3">
      <c r="A1216">
        <v>1469</v>
      </c>
      <c r="B1216" t="s">
        <v>31</v>
      </c>
      <c r="C1216" s="1">
        <v>45929</v>
      </c>
      <c r="D1216" s="1" t="str">
        <f>TEXT(FMData[[#This Row],[Show_Date]],"mmm")</f>
        <v>Sep</v>
      </c>
      <c r="E1216" s="1" t="str">
        <f>TEXT(FMData[[#This Row],[Show_Date]],"ddd")</f>
        <v>Mon</v>
      </c>
      <c r="F1216" t="s">
        <v>11</v>
      </c>
      <c r="G1216" t="s">
        <v>22</v>
      </c>
      <c r="H1216">
        <v>2</v>
      </c>
      <c r="I1216">
        <v>20</v>
      </c>
      <c r="J1216" t="s">
        <v>23</v>
      </c>
      <c r="K1216" t="s">
        <v>18</v>
      </c>
      <c r="L1216">
        <v>40</v>
      </c>
    </row>
    <row r="1217" spans="1:12" x14ac:dyDescent="0.3">
      <c r="A1217">
        <v>815</v>
      </c>
      <c r="B1217" t="s">
        <v>31</v>
      </c>
      <c r="C1217" s="1">
        <v>45915</v>
      </c>
      <c r="D1217" s="1" t="str">
        <f>TEXT(FMData[[#This Row],[Show_Date]],"mmm")</f>
        <v>Sep</v>
      </c>
      <c r="E1217" s="1" t="str">
        <f>TEXT(FMData[[#This Row],[Show_Date]],"ddd")</f>
        <v>Mon</v>
      </c>
      <c r="F1217" t="s">
        <v>16</v>
      </c>
      <c r="G1217" t="s">
        <v>12</v>
      </c>
      <c r="H1217">
        <v>3</v>
      </c>
      <c r="I1217">
        <v>25</v>
      </c>
      <c r="J1217" t="s">
        <v>21</v>
      </c>
      <c r="K1217" t="s">
        <v>18</v>
      </c>
      <c r="L1217">
        <v>75</v>
      </c>
    </row>
    <row r="1218" spans="1:12" x14ac:dyDescent="0.3">
      <c r="A1218">
        <v>300</v>
      </c>
      <c r="B1218" t="s">
        <v>19</v>
      </c>
      <c r="C1218" s="1">
        <v>45900</v>
      </c>
      <c r="D1218" s="1" t="str">
        <f>TEXT(FMData[[#This Row],[Show_Date]],"mmm")</f>
        <v>Aug</v>
      </c>
      <c r="E1218" s="1" t="str">
        <f>TEXT(FMData[[#This Row],[Show_Date]],"ddd")</f>
        <v>Sun</v>
      </c>
      <c r="F1218" t="s">
        <v>16</v>
      </c>
      <c r="G1218" t="s">
        <v>17</v>
      </c>
      <c r="H1218">
        <v>1</v>
      </c>
      <c r="I1218">
        <v>12</v>
      </c>
      <c r="J1218" t="s">
        <v>21</v>
      </c>
      <c r="K1218" t="s">
        <v>18</v>
      </c>
      <c r="L1218">
        <v>12</v>
      </c>
    </row>
    <row r="1219" spans="1:12" x14ac:dyDescent="0.3">
      <c r="A1219">
        <v>755</v>
      </c>
      <c r="B1219" t="s">
        <v>26</v>
      </c>
      <c r="C1219" s="1">
        <v>45879</v>
      </c>
      <c r="D1219" s="1" t="str">
        <f>TEXT(FMData[[#This Row],[Show_Date]],"mmm")</f>
        <v>Aug</v>
      </c>
      <c r="E1219" s="1" t="str">
        <f>TEXT(FMData[[#This Row],[Show_Date]],"ddd")</f>
        <v>Sun</v>
      </c>
      <c r="F1219" t="s">
        <v>16</v>
      </c>
      <c r="G1219" t="s">
        <v>29</v>
      </c>
      <c r="H1219">
        <v>3</v>
      </c>
      <c r="I1219">
        <v>30</v>
      </c>
      <c r="J1219" t="s">
        <v>23</v>
      </c>
      <c r="K1219" t="s">
        <v>18</v>
      </c>
      <c r="L1219">
        <v>90</v>
      </c>
    </row>
    <row r="1220" spans="1:12" x14ac:dyDescent="0.3">
      <c r="A1220">
        <v>1788</v>
      </c>
      <c r="B1220" t="s">
        <v>31</v>
      </c>
      <c r="C1220" s="1">
        <v>45900</v>
      </c>
      <c r="D1220" s="1" t="str">
        <f>TEXT(FMData[[#This Row],[Show_Date]],"mmm")</f>
        <v>Aug</v>
      </c>
      <c r="E1220" s="1" t="str">
        <f>TEXT(FMData[[#This Row],[Show_Date]],"ddd")</f>
        <v>Sun</v>
      </c>
      <c r="F1220" t="s">
        <v>33</v>
      </c>
      <c r="G1220" t="s">
        <v>17</v>
      </c>
      <c r="H1220">
        <v>4</v>
      </c>
      <c r="I1220">
        <v>12</v>
      </c>
      <c r="J1220" t="s">
        <v>13</v>
      </c>
      <c r="K1220" t="s">
        <v>18</v>
      </c>
      <c r="L1220">
        <v>48</v>
      </c>
    </row>
    <row r="1221" spans="1:12" x14ac:dyDescent="0.3">
      <c r="A1221">
        <v>1256</v>
      </c>
      <c r="B1221" t="s">
        <v>26</v>
      </c>
      <c r="C1221" s="1">
        <v>45911</v>
      </c>
      <c r="D1221" s="1" t="str">
        <f>TEXT(FMData[[#This Row],[Show_Date]],"mmm")</f>
        <v>Sep</v>
      </c>
      <c r="E1221" s="1" t="str">
        <f>TEXT(FMData[[#This Row],[Show_Date]],"ddd")</f>
        <v>Thu</v>
      </c>
      <c r="F1221" t="s">
        <v>20</v>
      </c>
      <c r="G1221" t="s">
        <v>17</v>
      </c>
      <c r="H1221">
        <v>2</v>
      </c>
      <c r="I1221">
        <v>12</v>
      </c>
      <c r="J1221" t="s">
        <v>21</v>
      </c>
      <c r="K1221" t="s">
        <v>18</v>
      </c>
      <c r="L1221">
        <v>24</v>
      </c>
    </row>
    <row r="1222" spans="1:12" x14ac:dyDescent="0.3">
      <c r="A1222">
        <v>565</v>
      </c>
      <c r="B1222" t="s">
        <v>31</v>
      </c>
      <c r="C1222" s="1">
        <v>45848</v>
      </c>
      <c r="D1222" s="1" t="str">
        <f>TEXT(FMData[[#This Row],[Show_Date]],"mmm")</f>
        <v>Jul</v>
      </c>
      <c r="E1222" s="1" t="str">
        <f>TEXT(FMData[[#This Row],[Show_Date]],"ddd")</f>
        <v>Thu</v>
      </c>
      <c r="F1222" t="s">
        <v>20</v>
      </c>
      <c r="G1222" t="s">
        <v>17</v>
      </c>
      <c r="H1222">
        <v>2</v>
      </c>
      <c r="I1222">
        <v>12</v>
      </c>
      <c r="J1222" t="s">
        <v>13</v>
      </c>
      <c r="K1222" t="s">
        <v>18</v>
      </c>
      <c r="L1222">
        <v>24</v>
      </c>
    </row>
    <row r="1223" spans="1:12" x14ac:dyDescent="0.3">
      <c r="A1223">
        <v>500</v>
      </c>
      <c r="B1223" t="s">
        <v>31</v>
      </c>
      <c r="C1223" s="1">
        <v>45874</v>
      </c>
      <c r="D1223" s="1" t="str">
        <f>TEXT(FMData[[#This Row],[Show_Date]],"mmm")</f>
        <v>Aug</v>
      </c>
      <c r="E1223" s="1" t="str">
        <f>TEXT(FMData[[#This Row],[Show_Date]],"ddd")</f>
        <v>Tue</v>
      </c>
      <c r="F1223" t="s">
        <v>16</v>
      </c>
      <c r="G1223" t="s">
        <v>17</v>
      </c>
      <c r="H1223">
        <v>1</v>
      </c>
      <c r="I1223">
        <v>12</v>
      </c>
      <c r="J1223" t="s">
        <v>21</v>
      </c>
      <c r="K1223" t="s">
        <v>18</v>
      </c>
      <c r="L1223">
        <v>12</v>
      </c>
    </row>
    <row r="1224" spans="1:12" x14ac:dyDescent="0.3">
      <c r="A1224">
        <v>669</v>
      </c>
      <c r="B1224" t="s">
        <v>15</v>
      </c>
      <c r="C1224" s="1">
        <v>45851</v>
      </c>
      <c r="D1224" s="1" t="str">
        <f>TEXT(FMData[[#This Row],[Show_Date]],"mmm")</f>
        <v>Jul</v>
      </c>
      <c r="E1224" s="1" t="str">
        <f>TEXT(FMData[[#This Row],[Show_Date]],"ddd")</f>
        <v>Sun</v>
      </c>
      <c r="F1224" t="s">
        <v>33</v>
      </c>
      <c r="G1224" t="s">
        <v>30</v>
      </c>
      <c r="H1224">
        <v>1</v>
      </c>
      <c r="I1224">
        <v>8</v>
      </c>
      <c r="J1224" t="s">
        <v>23</v>
      </c>
      <c r="K1224" t="s">
        <v>18</v>
      </c>
      <c r="L1224">
        <v>8</v>
      </c>
    </row>
    <row r="1225" spans="1:12" x14ac:dyDescent="0.3">
      <c r="A1225">
        <v>743</v>
      </c>
      <c r="B1225" t="s">
        <v>26</v>
      </c>
      <c r="C1225" s="1">
        <v>45893</v>
      </c>
      <c r="D1225" s="1" t="str">
        <f>TEXT(FMData[[#This Row],[Show_Date]],"mmm")</f>
        <v>Aug</v>
      </c>
      <c r="E1225" s="1" t="str">
        <f>TEXT(FMData[[#This Row],[Show_Date]],"ddd")</f>
        <v>Sun</v>
      </c>
      <c r="F1225" t="s">
        <v>11</v>
      </c>
      <c r="G1225" t="s">
        <v>17</v>
      </c>
      <c r="H1225">
        <v>4</v>
      </c>
      <c r="I1225">
        <v>12</v>
      </c>
      <c r="J1225" t="s">
        <v>21</v>
      </c>
      <c r="K1225" t="s">
        <v>18</v>
      </c>
      <c r="L1225">
        <v>48</v>
      </c>
    </row>
    <row r="1226" spans="1:12" x14ac:dyDescent="0.3">
      <c r="A1226">
        <v>14</v>
      </c>
      <c r="B1226" t="s">
        <v>32</v>
      </c>
      <c r="C1226" s="1">
        <v>45890</v>
      </c>
      <c r="D1226" s="1" t="str">
        <f>TEXT(FMData[[#This Row],[Show_Date]],"mmm")</f>
        <v>Aug</v>
      </c>
      <c r="E1226" s="1" t="str">
        <f>TEXT(FMData[[#This Row],[Show_Date]],"ddd")</f>
        <v>Thu</v>
      </c>
      <c r="F1226" t="s">
        <v>16</v>
      </c>
      <c r="G1226" t="s">
        <v>17</v>
      </c>
      <c r="H1226">
        <v>5</v>
      </c>
      <c r="I1226">
        <v>12</v>
      </c>
      <c r="J1226" t="s">
        <v>23</v>
      </c>
      <c r="K1226" t="s">
        <v>18</v>
      </c>
      <c r="L1226">
        <v>60</v>
      </c>
    </row>
    <row r="1227" spans="1:12" x14ac:dyDescent="0.3">
      <c r="A1227">
        <v>1660</v>
      </c>
      <c r="B1227" t="s">
        <v>19</v>
      </c>
      <c r="C1227" s="1">
        <v>45906</v>
      </c>
      <c r="D1227" s="1" t="str">
        <f>TEXT(FMData[[#This Row],[Show_Date]],"mmm")</f>
        <v>Sep</v>
      </c>
      <c r="E1227" s="1" t="str">
        <f>TEXT(FMData[[#This Row],[Show_Date]],"ddd")</f>
        <v>Sat</v>
      </c>
      <c r="F1227" t="s">
        <v>11</v>
      </c>
      <c r="G1227" t="s">
        <v>29</v>
      </c>
      <c r="H1227">
        <v>5</v>
      </c>
      <c r="I1227">
        <v>30</v>
      </c>
      <c r="J1227" t="s">
        <v>21</v>
      </c>
      <c r="K1227" t="s">
        <v>18</v>
      </c>
      <c r="L1227">
        <v>150</v>
      </c>
    </row>
    <row r="1228" spans="1:12" x14ac:dyDescent="0.3">
      <c r="A1228">
        <v>381</v>
      </c>
      <c r="B1228" t="s">
        <v>19</v>
      </c>
      <c r="C1228" s="1">
        <v>45907</v>
      </c>
      <c r="D1228" s="1" t="str">
        <f>TEXT(FMData[[#This Row],[Show_Date]],"mmm")</f>
        <v>Sep</v>
      </c>
      <c r="E1228" s="1" t="str">
        <f>TEXT(FMData[[#This Row],[Show_Date]],"ddd")</f>
        <v>Sun</v>
      </c>
      <c r="F1228" t="s">
        <v>20</v>
      </c>
      <c r="G1228" t="s">
        <v>22</v>
      </c>
      <c r="H1228">
        <v>3</v>
      </c>
      <c r="I1228">
        <v>20</v>
      </c>
      <c r="J1228" t="s">
        <v>23</v>
      </c>
      <c r="K1228" t="s">
        <v>14</v>
      </c>
      <c r="L1228">
        <v>60</v>
      </c>
    </row>
    <row r="1229" spans="1:12" x14ac:dyDescent="0.3">
      <c r="A1229">
        <v>375</v>
      </c>
      <c r="B1229" t="s">
        <v>24</v>
      </c>
      <c r="C1229" s="1">
        <v>45857</v>
      </c>
      <c r="D1229" s="1" t="str">
        <f>TEXT(FMData[[#This Row],[Show_Date]],"mmm")</f>
        <v>Jul</v>
      </c>
      <c r="E1229" s="1" t="str">
        <f>TEXT(FMData[[#This Row],[Show_Date]],"ddd")</f>
        <v>Sat</v>
      </c>
      <c r="F1229" t="s">
        <v>20</v>
      </c>
      <c r="G1229" t="s">
        <v>30</v>
      </c>
      <c r="H1229">
        <v>3</v>
      </c>
      <c r="I1229">
        <v>8</v>
      </c>
      <c r="J1229" t="s">
        <v>23</v>
      </c>
      <c r="K1229" t="s">
        <v>14</v>
      </c>
      <c r="L1229">
        <v>24</v>
      </c>
    </row>
    <row r="1230" spans="1:12" x14ac:dyDescent="0.3">
      <c r="A1230">
        <v>1194</v>
      </c>
      <c r="B1230" t="s">
        <v>19</v>
      </c>
      <c r="C1230" s="1">
        <v>45881</v>
      </c>
      <c r="D1230" s="1" t="str">
        <f>TEXT(FMData[[#This Row],[Show_Date]],"mmm")</f>
        <v>Aug</v>
      </c>
      <c r="E1230" s="1" t="str">
        <f>TEXT(FMData[[#This Row],[Show_Date]],"ddd")</f>
        <v>Tue</v>
      </c>
      <c r="F1230" t="s">
        <v>33</v>
      </c>
      <c r="G1230" t="s">
        <v>17</v>
      </c>
      <c r="H1230">
        <v>2</v>
      </c>
      <c r="I1230">
        <v>12</v>
      </c>
      <c r="J1230" t="s">
        <v>23</v>
      </c>
      <c r="K1230" t="s">
        <v>14</v>
      </c>
      <c r="L1230">
        <v>24</v>
      </c>
    </row>
    <row r="1231" spans="1:12" x14ac:dyDescent="0.3">
      <c r="A1231">
        <v>438</v>
      </c>
      <c r="B1231" t="s">
        <v>19</v>
      </c>
      <c r="C1231" s="1">
        <v>45900</v>
      </c>
      <c r="D1231" s="1" t="str">
        <f>TEXT(FMData[[#This Row],[Show_Date]],"mmm")</f>
        <v>Aug</v>
      </c>
      <c r="E1231" s="1" t="str">
        <f>TEXT(FMData[[#This Row],[Show_Date]],"ddd")</f>
        <v>Sun</v>
      </c>
      <c r="F1231" t="s">
        <v>11</v>
      </c>
      <c r="G1231" t="s">
        <v>17</v>
      </c>
      <c r="H1231">
        <v>3</v>
      </c>
      <c r="I1231">
        <v>12</v>
      </c>
      <c r="J1231" t="s">
        <v>13</v>
      </c>
      <c r="K1231" t="s">
        <v>18</v>
      </c>
      <c r="L1231">
        <v>36</v>
      </c>
    </row>
    <row r="1232" spans="1:12" x14ac:dyDescent="0.3">
      <c r="A1232">
        <v>304</v>
      </c>
      <c r="B1232" t="s">
        <v>10</v>
      </c>
      <c r="C1232" s="1">
        <v>45851</v>
      </c>
      <c r="D1232" s="1" t="str">
        <f>TEXT(FMData[[#This Row],[Show_Date]],"mmm")</f>
        <v>Jul</v>
      </c>
      <c r="E1232" s="1" t="str">
        <f>TEXT(FMData[[#This Row],[Show_Date]],"ddd")</f>
        <v>Sun</v>
      </c>
      <c r="F1232" t="s">
        <v>33</v>
      </c>
      <c r="G1232" t="s">
        <v>17</v>
      </c>
      <c r="H1232">
        <v>1</v>
      </c>
      <c r="I1232">
        <v>12</v>
      </c>
      <c r="J1232" t="s">
        <v>23</v>
      </c>
      <c r="K1232" t="s">
        <v>18</v>
      </c>
      <c r="L1232">
        <v>12</v>
      </c>
    </row>
    <row r="1233" spans="1:12" x14ac:dyDescent="0.3">
      <c r="A1233">
        <v>1261</v>
      </c>
      <c r="B1233" t="s">
        <v>28</v>
      </c>
      <c r="C1233" s="1">
        <v>45879</v>
      </c>
      <c r="D1233" s="1" t="str">
        <f>TEXT(FMData[[#This Row],[Show_Date]],"mmm")</f>
        <v>Aug</v>
      </c>
      <c r="E1233" s="1" t="str">
        <f>TEXT(FMData[[#This Row],[Show_Date]],"ddd")</f>
        <v>Sun</v>
      </c>
      <c r="F1233" t="s">
        <v>16</v>
      </c>
      <c r="G1233" t="s">
        <v>17</v>
      </c>
      <c r="H1233">
        <v>3</v>
      </c>
      <c r="I1233">
        <v>12</v>
      </c>
      <c r="J1233" t="s">
        <v>21</v>
      </c>
      <c r="K1233" t="s">
        <v>14</v>
      </c>
      <c r="L1233">
        <v>36</v>
      </c>
    </row>
    <row r="1234" spans="1:12" x14ac:dyDescent="0.3">
      <c r="A1234">
        <v>1817</v>
      </c>
      <c r="B1234" t="s">
        <v>26</v>
      </c>
      <c r="C1234" s="1">
        <v>45871</v>
      </c>
      <c r="D1234" s="1" t="str">
        <f>TEXT(FMData[[#This Row],[Show_Date]],"mmm")</f>
        <v>Aug</v>
      </c>
      <c r="E1234" s="1" t="str">
        <f>TEXT(FMData[[#This Row],[Show_Date]],"ddd")</f>
        <v>Sat</v>
      </c>
      <c r="F1234" t="s">
        <v>11</v>
      </c>
      <c r="G1234" t="s">
        <v>17</v>
      </c>
      <c r="H1234">
        <v>4</v>
      </c>
      <c r="I1234">
        <v>12</v>
      </c>
      <c r="J1234" t="s">
        <v>13</v>
      </c>
      <c r="K1234" t="s">
        <v>14</v>
      </c>
      <c r="L1234">
        <v>48</v>
      </c>
    </row>
    <row r="1235" spans="1:12" x14ac:dyDescent="0.3">
      <c r="A1235">
        <v>1019</v>
      </c>
      <c r="B1235" t="s">
        <v>19</v>
      </c>
      <c r="C1235" s="1">
        <v>45919</v>
      </c>
      <c r="D1235" s="1" t="str">
        <f>TEXT(FMData[[#This Row],[Show_Date]],"mmm")</f>
        <v>Sep</v>
      </c>
      <c r="E1235" s="1" t="str">
        <f>TEXT(FMData[[#This Row],[Show_Date]],"ddd")</f>
        <v>Fri</v>
      </c>
      <c r="F1235" t="s">
        <v>16</v>
      </c>
      <c r="G1235" t="s">
        <v>17</v>
      </c>
      <c r="H1235">
        <v>5</v>
      </c>
      <c r="I1235">
        <v>12</v>
      </c>
      <c r="J1235" t="s">
        <v>21</v>
      </c>
      <c r="K1235" t="s">
        <v>27</v>
      </c>
      <c r="L1235">
        <v>60</v>
      </c>
    </row>
    <row r="1236" spans="1:12" x14ac:dyDescent="0.3">
      <c r="A1236">
        <v>870</v>
      </c>
      <c r="B1236" t="s">
        <v>10</v>
      </c>
      <c r="C1236" s="1">
        <v>45850</v>
      </c>
      <c r="D1236" s="1" t="str">
        <f>TEXT(FMData[[#This Row],[Show_Date]],"mmm")</f>
        <v>Jul</v>
      </c>
      <c r="E1236" s="1" t="str">
        <f>TEXT(FMData[[#This Row],[Show_Date]],"ddd")</f>
        <v>Sat</v>
      </c>
      <c r="F1236" t="s">
        <v>11</v>
      </c>
      <c r="G1236" t="s">
        <v>17</v>
      </c>
      <c r="H1236">
        <v>1</v>
      </c>
      <c r="I1236">
        <v>12</v>
      </c>
      <c r="J1236" t="s">
        <v>23</v>
      </c>
      <c r="K1236" t="s">
        <v>27</v>
      </c>
      <c r="L1236">
        <v>12</v>
      </c>
    </row>
    <row r="1237" spans="1:12" x14ac:dyDescent="0.3">
      <c r="A1237">
        <v>1481</v>
      </c>
      <c r="B1237" t="s">
        <v>32</v>
      </c>
      <c r="C1237" s="1">
        <v>45920</v>
      </c>
      <c r="D1237" s="1" t="str">
        <f>TEXT(FMData[[#This Row],[Show_Date]],"mmm")</f>
        <v>Sep</v>
      </c>
      <c r="E1237" s="1" t="str">
        <f>TEXT(FMData[[#This Row],[Show_Date]],"ddd")</f>
        <v>Sat</v>
      </c>
      <c r="F1237" t="s">
        <v>20</v>
      </c>
      <c r="G1237" t="s">
        <v>17</v>
      </c>
      <c r="H1237">
        <v>2</v>
      </c>
      <c r="I1237">
        <v>12</v>
      </c>
      <c r="J1237" t="s">
        <v>21</v>
      </c>
      <c r="K1237" t="s">
        <v>14</v>
      </c>
      <c r="L1237">
        <v>24</v>
      </c>
    </row>
    <row r="1238" spans="1:12" x14ac:dyDescent="0.3">
      <c r="A1238">
        <v>1254</v>
      </c>
      <c r="B1238" t="s">
        <v>26</v>
      </c>
      <c r="C1238" s="1">
        <v>45876</v>
      </c>
      <c r="D1238" s="1" t="str">
        <f>TEXT(FMData[[#This Row],[Show_Date]],"mmm")</f>
        <v>Aug</v>
      </c>
      <c r="E1238" s="1" t="str">
        <f>TEXT(FMData[[#This Row],[Show_Date]],"ddd")</f>
        <v>Thu</v>
      </c>
      <c r="F1238" t="s">
        <v>11</v>
      </c>
      <c r="G1238" t="s">
        <v>17</v>
      </c>
      <c r="H1238">
        <v>3</v>
      </c>
      <c r="I1238">
        <v>12</v>
      </c>
      <c r="J1238" t="s">
        <v>13</v>
      </c>
      <c r="K1238" t="s">
        <v>25</v>
      </c>
      <c r="L1238">
        <v>36</v>
      </c>
    </row>
    <row r="1239" spans="1:12" x14ac:dyDescent="0.3">
      <c r="A1239">
        <v>1866</v>
      </c>
      <c r="B1239" t="s">
        <v>26</v>
      </c>
      <c r="C1239" s="1">
        <v>45914</v>
      </c>
      <c r="D1239" s="1" t="str">
        <f>TEXT(FMData[[#This Row],[Show_Date]],"mmm")</f>
        <v>Sep</v>
      </c>
      <c r="E1239" s="1" t="str">
        <f>TEXT(FMData[[#This Row],[Show_Date]],"ddd")</f>
        <v>Sun</v>
      </c>
      <c r="F1239" t="s">
        <v>16</v>
      </c>
      <c r="G1239" t="s">
        <v>17</v>
      </c>
      <c r="H1239">
        <v>4</v>
      </c>
      <c r="I1239">
        <v>12</v>
      </c>
      <c r="J1239" t="s">
        <v>13</v>
      </c>
      <c r="K1239" t="s">
        <v>14</v>
      </c>
      <c r="L1239">
        <v>48</v>
      </c>
    </row>
    <row r="1240" spans="1:12" x14ac:dyDescent="0.3">
      <c r="A1240">
        <v>1384</v>
      </c>
      <c r="B1240" t="s">
        <v>31</v>
      </c>
      <c r="C1240" s="1">
        <v>45864</v>
      </c>
      <c r="D1240" s="1" t="str">
        <f>TEXT(FMData[[#This Row],[Show_Date]],"mmm")</f>
        <v>Jul</v>
      </c>
      <c r="E1240" s="1" t="str">
        <f>TEXT(FMData[[#This Row],[Show_Date]],"ddd")</f>
        <v>Sat</v>
      </c>
      <c r="F1240" t="s">
        <v>11</v>
      </c>
      <c r="G1240" t="s">
        <v>17</v>
      </c>
      <c r="H1240">
        <v>2</v>
      </c>
      <c r="I1240">
        <v>12</v>
      </c>
      <c r="J1240" t="s">
        <v>13</v>
      </c>
      <c r="K1240" t="s">
        <v>25</v>
      </c>
      <c r="L1240">
        <v>24</v>
      </c>
    </row>
    <row r="1241" spans="1:12" x14ac:dyDescent="0.3">
      <c r="A1241">
        <v>280</v>
      </c>
      <c r="B1241" t="s">
        <v>26</v>
      </c>
      <c r="C1241" s="1">
        <v>45884</v>
      </c>
      <c r="D1241" s="1" t="str">
        <f>TEXT(FMData[[#This Row],[Show_Date]],"mmm")</f>
        <v>Aug</v>
      </c>
      <c r="E1241" s="1" t="str">
        <f>TEXT(FMData[[#This Row],[Show_Date]],"ddd")</f>
        <v>Fri</v>
      </c>
      <c r="F1241" t="s">
        <v>11</v>
      </c>
      <c r="G1241" t="s">
        <v>17</v>
      </c>
      <c r="H1241">
        <v>4</v>
      </c>
      <c r="I1241">
        <v>12</v>
      </c>
      <c r="J1241" t="s">
        <v>21</v>
      </c>
      <c r="K1241" t="s">
        <v>14</v>
      </c>
      <c r="L1241">
        <v>48</v>
      </c>
    </row>
    <row r="1242" spans="1:12" x14ac:dyDescent="0.3">
      <c r="A1242">
        <v>1503</v>
      </c>
      <c r="B1242" t="s">
        <v>10</v>
      </c>
      <c r="C1242" s="1">
        <v>45882</v>
      </c>
      <c r="D1242" s="1" t="str">
        <f>TEXT(FMData[[#This Row],[Show_Date]],"mmm")</f>
        <v>Aug</v>
      </c>
      <c r="E1242" s="1" t="str">
        <f>TEXT(FMData[[#This Row],[Show_Date]],"ddd")</f>
        <v>Wed</v>
      </c>
      <c r="F1242" t="s">
        <v>33</v>
      </c>
      <c r="G1242" t="s">
        <v>29</v>
      </c>
      <c r="H1242">
        <v>4</v>
      </c>
      <c r="I1242">
        <v>30</v>
      </c>
      <c r="J1242" t="s">
        <v>13</v>
      </c>
      <c r="K1242" t="s">
        <v>14</v>
      </c>
      <c r="L1242">
        <v>120</v>
      </c>
    </row>
    <row r="1243" spans="1:12" x14ac:dyDescent="0.3">
      <c r="A1243">
        <v>877</v>
      </c>
      <c r="B1243" t="s">
        <v>26</v>
      </c>
      <c r="C1243" s="1">
        <v>45908</v>
      </c>
      <c r="D1243" s="1" t="str">
        <f>TEXT(FMData[[#This Row],[Show_Date]],"mmm")</f>
        <v>Sep</v>
      </c>
      <c r="E1243" s="1" t="str">
        <f>TEXT(FMData[[#This Row],[Show_Date]],"ddd")</f>
        <v>Mon</v>
      </c>
      <c r="F1243" t="s">
        <v>20</v>
      </c>
      <c r="G1243" t="s">
        <v>17</v>
      </c>
      <c r="H1243">
        <v>5</v>
      </c>
      <c r="I1243">
        <v>12</v>
      </c>
      <c r="J1243" t="s">
        <v>23</v>
      </c>
      <c r="K1243" t="s">
        <v>14</v>
      </c>
      <c r="L1243">
        <v>60</v>
      </c>
    </row>
    <row r="1244" spans="1:12" x14ac:dyDescent="0.3">
      <c r="A1244">
        <v>1159</v>
      </c>
      <c r="B1244" t="s">
        <v>31</v>
      </c>
      <c r="C1244" s="1">
        <v>45902</v>
      </c>
      <c r="D1244" s="1" t="str">
        <f>TEXT(FMData[[#This Row],[Show_Date]],"mmm")</f>
        <v>Sep</v>
      </c>
      <c r="E1244" s="1" t="str">
        <f>TEXT(FMData[[#This Row],[Show_Date]],"ddd")</f>
        <v>Tue</v>
      </c>
      <c r="F1244" t="s">
        <v>16</v>
      </c>
      <c r="G1244" t="s">
        <v>22</v>
      </c>
      <c r="H1244">
        <v>4</v>
      </c>
      <c r="I1244">
        <v>20</v>
      </c>
      <c r="J1244" t="s">
        <v>13</v>
      </c>
      <c r="K1244" t="s">
        <v>14</v>
      </c>
      <c r="L1244">
        <v>80</v>
      </c>
    </row>
    <row r="1245" spans="1:12" x14ac:dyDescent="0.3">
      <c r="A1245">
        <v>238</v>
      </c>
      <c r="B1245" t="s">
        <v>10</v>
      </c>
      <c r="C1245" s="1">
        <v>45858</v>
      </c>
      <c r="D1245" s="1" t="str">
        <f>TEXT(FMData[[#This Row],[Show_Date]],"mmm")</f>
        <v>Jul</v>
      </c>
      <c r="E1245" s="1" t="str">
        <f>TEXT(FMData[[#This Row],[Show_Date]],"ddd")</f>
        <v>Sun</v>
      </c>
      <c r="F1245" t="s">
        <v>11</v>
      </c>
      <c r="G1245" t="s">
        <v>17</v>
      </c>
      <c r="H1245">
        <v>4</v>
      </c>
      <c r="I1245">
        <v>12</v>
      </c>
      <c r="J1245" t="s">
        <v>13</v>
      </c>
      <c r="K1245" t="s">
        <v>27</v>
      </c>
      <c r="L1245">
        <v>48</v>
      </c>
    </row>
    <row r="1246" spans="1:12" x14ac:dyDescent="0.3">
      <c r="A1246">
        <v>179</v>
      </c>
      <c r="B1246" t="s">
        <v>24</v>
      </c>
      <c r="C1246" s="1">
        <v>45871</v>
      </c>
      <c r="D1246" s="1" t="str">
        <f>TEXT(FMData[[#This Row],[Show_Date]],"mmm")</f>
        <v>Aug</v>
      </c>
      <c r="E1246" s="1" t="str">
        <f>TEXT(FMData[[#This Row],[Show_Date]],"ddd")</f>
        <v>Sat</v>
      </c>
      <c r="F1246" t="s">
        <v>11</v>
      </c>
      <c r="G1246" t="s">
        <v>30</v>
      </c>
      <c r="H1246">
        <v>5</v>
      </c>
      <c r="I1246">
        <v>8</v>
      </c>
      <c r="J1246" t="s">
        <v>13</v>
      </c>
      <c r="K1246" t="s">
        <v>27</v>
      </c>
      <c r="L1246">
        <v>40</v>
      </c>
    </row>
    <row r="1247" spans="1:12" x14ac:dyDescent="0.3">
      <c r="A1247">
        <v>1789</v>
      </c>
      <c r="B1247" t="s">
        <v>15</v>
      </c>
      <c r="C1247" s="1">
        <v>45905</v>
      </c>
      <c r="D1247" s="1" t="str">
        <f>TEXT(FMData[[#This Row],[Show_Date]],"mmm")</f>
        <v>Sep</v>
      </c>
      <c r="E1247" s="1" t="str">
        <f>TEXT(FMData[[#This Row],[Show_Date]],"ddd")</f>
        <v>Fri</v>
      </c>
      <c r="F1247" t="s">
        <v>20</v>
      </c>
      <c r="G1247" t="s">
        <v>17</v>
      </c>
      <c r="H1247">
        <v>2</v>
      </c>
      <c r="I1247">
        <v>12</v>
      </c>
      <c r="J1247" t="s">
        <v>21</v>
      </c>
      <c r="K1247" t="s">
        <v>14</v>
      </c>
      <c r="L1247">
        <v>24</v>
      </c>
    </row>
    <row r="1248" spans="1:12" x14ac:dyDescent="0.3">
      <c r="A1248">
        <v>1750</v>
      </c>
      <c r="B1248" t="s">
        <v>28</v>
      </c>
      <c r="C1248" s="1">
        <v>45930</v>
      </c>
      <c r="D1248" s="1" t="str">
        <f>TEXT(FMData[[#This Row],[Show_Date]],"mmm")</f>
        <v>Sep</v>
      </c>
      <c r="E1248" s="1" t="str">
        <f>TEXT(FMData[[#This Row],[Show_Date]],"ddd")</f>
        <v>Tue</v>
      </c>
      <c r="F1248" t="s">
        <v>20</v>
      </c>
      <c r="G1248" t="s">
        <v>22</v>
      </c>
      <c r="H1248">
        <v>4</v>
      </c>
      <c r="I1248">
        <v>20</v>
      </c>
      <c r="J1248" t="s">
        <v>23</v>
      </c>
      <c r="K1248" t="s">
        <v>18</v>
      </c>
      <c r="L1248">
        <v>80</v>
      </c>
    </row>
    <row r="1249" spans="1:12" x14ac:dyDescent="0.3">
      <c r="A1249">
        <v>1919</v>
      </c>
      <c r="B1249" t="s">
        <v>32</v>
      </c>
      <c r="C1249" s="1">
        <v>45840</v>
      </c>
      <c r="D1249" s="1" t="str">
        <f>TEXT(FMData[[#This Row],[Show_Date]],"mmm")</f>
        <v>Jul</v>
      </c>
      <c r="E1249" s="1" t="str">
        <f>TEXT(FMData[[#This Row],[Show_Date]],"ddd")</f>
        <v>Wed</v>
      </c>
      <c r="F1249" t="s">
        <v>16</v>
      </c>
      <c r="G1249" t="s">
        <v>30</v>
      </c>
      <c r="H1249">
        <v>5</v>
      </c>
      <c r="I1249">
        <v>8</v>
      </c>
      <c r="J1249" t="s">
        <v>23</v>
      </c>
      <c r="K1249" t="s">
        <v>27</v>
      </c>
      <c r="L1249">
        <v>40</v>
      </c>
    </row>
    <row r="1250" spans="1:12" x14ac:dyDescent="0.3">
      <c r="A1250">
        <v>1046</v>
      </c>
      <c r="B1250" t="s">
        <v>32</v>
      </c>
      <c r="C1250" s="1">
        <v>45866</v>
      </c>
      <c r="D1250" s="1" t="str">
        <f>TEXT(FMData[[#This Row],[Show_Date]],"mmm")</f>
        <v>Jul</v>
      </c>
      <c r="E1250" s="1" t="str">
        <f>TEXT(FMData[[#This Row],[Show_Date]],"ddd")</f>
        <v>Mon</v>
      </c>
      <c r="F1250" t="s">
        <v>11</v>
      </c>
      <c r="G1250" t="s">
        <v>30</v>
      </c>
      <c r="H1250">
        <v>1</v>
      </c>
      <c r="I1250">
        <v>8</v>
      </c>
      <c r="J1250" t="s">
        <v>13</v>
      </c>
      <c r="K1250" t="s">
        <v>25</v>
      </c>
      <c r="L1250">
        <v>8</v>
      </c>
    </row>
    <row r="1251" spans="1:12" x14ac:dyDescent="0.3">
      <c r="A1251">
        <v>1968</v>
      </c>
      <c r="B1251" t="s">
        <v>19</v>
      </c>
      <c r="C1251" s="1">
        <v>45921</v>
      </c>
      <c r="D1251" s="1" t="str">
        <f>TEXT(FMData[[#This Row],[Show_Date]],"mmm")</f>
        <v>Sep</v>
      </c>
      <c r="E1251" s="1" t="str">
        <f>TEXT(FMData[[#This Row],[Show_Date]],"ddd")</f>
        <v>Sun</v>
      </c>
      <c r="F1251" t="s">
        <v>16</v>
      </c>
      <c r="G1251" t="s">
        <v>17</v>
      </c>
      <c r="H1251">
        <v>1</v>
      </c>
      <c r="I1251">
        <v>12</v>
      </c>
      <c r="J1251" t="s">
        <v>13</v>
      </c>
      <c r="K1251" t="s">
        <v>27</v>
      </c>
      <c r="L1251">
        <v>12</v>
      </c>
    </row>
    <row r="1252" spans="1:12" x14ac:dyDescent="0.3">
      <c r="A1252">
        <v>1873</v>
      </c>
      <c r="B1252" t="s">
        <v>32</v>
      </c>
      <c r="C1252" s="1">
        <v>45921</v>
      </c>
      <c r="D1252" s="1" t="str">
        <f>TEXT(FMData[[#This Row],[Show_Date]],"mmm")</f>
        <v>Sep</v>
      </c>
      <c r="E1252" s="1" t="str">
        <f>TEXT(FMData[[#This Row],[Show_Date]],"ddd")</f>
        <v>Sun</v>
      </c>
      <c r="F1252" t="s">
        <v>11</v>
      </c>
      <c r="G1252" t="s">
        <v>17</v>
      </c>
      <c r="H1252">
        <v>5</v>
      </c>
      <c r="I1252">
        <v>12</v>
      </c>
      <c r="J1252" t="s">
        <v>21</v>
      </c>
      <c r="K1252" t="s">
        <v>14</v>
      </c>
      <c r="L1252">
        <v>60</v>
      </c>
    </row>
    <row r="1253" spans="1:12" x14ac:dyDescent="0.3">
      <c r="A1253">
        <v>689</v>
      </c>
      <c r="B1253" t="s">
        <v>28</v>
      </c>
      <c r="C1253" s="1">
        <v>45867</v>
      </c>
      <c r="D1253" s="1" t="str">
        <f>TEXT(FMData[[#This Row],[Show_Date]],"mmm")</f>
        <v>Jul</v>
      </c>
      <c r="E1253" s="1" t="str">
        <f>TEXT(FMData[[#This Row],[Show_Date]],"ddd")</f>
        <v>Tue</v>
      </c>
      <c r="F1253" t="s">
        <v>33</v>
      </c>
      <c r="G1253" t="s">
        <v>17</v>
      </c>
      <c r="H1253">
        <v>2</v>
      </c>
      <c r="I1253">
        <v>12</v>
      </c>
      <c r="J1253" t="s">
        <v>21</v>
      </c>
      <c r="K1253" t="s">
        <v>27</v>
      </c>
      <c r="L1253">
        <v>24</v>
      </c>
    </row>
    <row r="1254" spans="1:12" x14ac:dyDescent="0.3">
      <c r="A1254">
        <v>1415</v>
      </c>
      <c r="B1254" t="s">
        <v>26</v>
      </c>
      <c r="C1254" s="1">
        <v>45849</v>
      </c>
      <c r="D1254" s="1" t="str">
        <f>TEXT(FMData[[#This Row],[Show_Date]],"mmm")</f>
        <v>Jul</v>
      </c>
      <c r="E1254" s="1" t="str">
        <f>TEXT(FMData[[#This Row],[Show_Date]],"ddd")</f>
        <v>Fri</v>
      </c>
      <c r="F1254" t="s">
        <v>33</v>
      </c>
      <c r="G1254" t="s">
        <v>30</v>
      </c>
      <c r="H1254">
        <v>2</v>
      </c>
      <c r="I1254">
        <v>8</v>
      </c>
      <c r="J1254" t="s">
        <v>13</v>
      </c>
      <c r="K1254" t="s">
        <v>27</v>
      </c>
      <c r="L1254">
        <v>16</v>
      </c>
    </row>
    <row r="1255" spans="1:12" x14ac:dyDescent="0.3">
      <c r="A1255">
        <v>371</v>
      </c>
      <c r="B1255" t="s">
        <v>31</v>
      </c>
      <c r="C1255" s="1">
        <v>45842</v>
      </c>
      <c r="D1255" s="1" t="str">
        <f>TEXT(FMData[[#This Row],[Show_Date]],"mmm")</f>
        <v>Jul</v>
      </c>
      <c r="E1255" s="1" t="str">
        <f>TEXT(FMData[[#This Row],[Show_Date]],"ddd")</f>
        <v>Fri</v>
      </c>
      <c r="F1255" t="s">
        <v>16</v>
      </c>
      <c r="G1255" t="s">
        <v>30</v>
      </c>
      <c r="H1255">
        <v>2</v>
      </c>
      <c r="I1255">
        <v>8</v>
      </c>
      <c r="J1255" t="s">
        <v>13</v>
      </c>
      <c r="K1255" t="s">
        <v>14</v>
      </c>
      <c r="L1255">
        <v>16</v>
      </c>
    </row>
    <row r="1256" spans="1:12" x14ac:dyDescent="0.3">
      <c r="A1256">
        <v>1069</v>
      </c>
      <c r="B1256" t="s">
        <v>15</v>
      </c>
      <c r="C1256" s="1">
        <v>45896</v>
      </c>
      <c r="D1256" s="1" t="str">
        <f>TEXT(FMData[[#This Row],[Show_Date]],"mmm")</f>
        <v>Aug</v>
      </c>
      <c r="E1256" s="1" t="str">
        <f>TEXT(FMData[[#This Row],[Show_Date]],"ddd")</f>
        <v>Wed</v>
      </c>
      <c r="F1256" t="s">
        <v>16</v>
      </c>
      <c r="G1256" t="s">
        <v>17</v>
      </c>
      <c r="H1256">
        <v>1</v>
      </c>
      <c r="I1256">
        <v>12</v>
      </c>
      <c r="J1256" t="s">
        <v>21</v>
      </c>
      <c r="K1256" t="s">
        <v>14</v>
      </c>
      <c r="L1256">
        <v>12</v>
      </c>
    </row>
    <row r="1257" spans="1:12" x14ac:dyDescent="0.3">
      <c r="A1257">
        <v>530</v>
      </c>
      <c r="B1257" t="s">
        <v>26</v>
      </c>
      <c r="C1257" s="1">
        <v>45924</v>
      </c>
      <c r="D1257" s="1" t="str">
        <f>TEXT(FMData[[#This Row],[Show_Date]],"mmm")</f>
        <v>Sep</v>
      </c>
      <c r="E1257" s="1" t="str">
        <f>TEXT(FMData[[#This Row],[Show_Date]],"ddd")</f>
        <v>Wed</v>
      </c>
      <c r="F1257" t="s">
        <v>33</v>
      </c>
      <c r="G1257" t="s">
        <v>29</v>
      </c>
      <c r="H1257">
        <v>4</v>
      </c>
      <c r="I1257">
        <v>30</v>
      </c>
      <c r="J1257" t="s">
        <v>23</v>
      </c>
      <c r="K1257" t="s">
        <v>14</v>
      </c>
      <c r="L1257">
        <v>120</v>
      </c>
    </row>
    <row r="1258" spans="1:12" x14ac:dyDescent="0.3">
      <c r="A1258">
        <v>1361</v>
      </c>
      <c r="B1258" t="s">
        <v>10</v>
      </c>
      <c r="C1258" s="1">
        <v>45927</v>
      </c>
      <c r="D1258" s="1" t="str">
        <f>TEXT(FMData[[#This Row],[Show_Date]],"mmm")</f>
        <v>Sep</v>
      </c>
      <c r="E1258" s="1" t="str">
        <f>TEXT(FMData[[#This Row],[Show_Date]],"ddd")</f>
        <v>Sat</v>
      </c>
      <c r="F1258" t="s">
        <v>20</v>
      </c>
      <c r="G1258" t="s">
        <v>30</v>
      </c>
      <c r="H1258">
        <v>1</v>
      </c>
      <c r="I1258">
        <v>8</v>
      </c>
      <c r="J1258" t="s">
        <v>13</v>
      </c>
      <c r="K1258" t="s">
        <v>14</v>
      </c>
      <c r="L1258">
        <v>8</v>
      </c>
    </row>
    <row r="1259" spans="1:12" x14ac:dyDescent="0.3">
      <c r="A1259">
        <v>1096</v>
      </c>
      <c r="B1259" t="s">
        <v>26</v>
      </c>
      <c r="C1259" s="1">
        <v>45850</v>
      </c>
      <c r="D1259" s="1" t="str">
        <f>TEXT(FMData[[#This Row],[Show_Date]],"mmm")</f>
        <v>Jul</v>
      </c>
      <c r="E1259" s="1" t="str">
        <f>TEXT(FMData[[#This Row],[Show_Date]],"ddd")</f>
        <v>Sat</v>
      </c>
      <c r="F1259" t="s">
        <v>16</v>
      </c>
      <c r="G1259" t="s">
        <v>30</v>
      </c>
      <c r="H1259">
        <v>5</v>
      </c>
      <c r="I1259">
        <v>8</v>
      </c>
      <c r="J1259" t="s">
        <v>23</v>
      </c>
      <c r="K1259" t="s">
        <v>27</v>
      </c>
      <c r="L1259">
        <v>40</v>
      </c>
    </row>
    <row r="1260" spans="1:12" x14ac:dyDescent="0.3">
      <c r="A1260">
        <v>423</v>
      </c>
      <c r="B1260" t="s">
        <v>10</v>
      </c>
      <c r="C1260" s="1">
        <v>45921</v>
      </c>
      <c r="D1260" s="1" t="str">
        <f>TEXT(FMData[[#This Row],[Show_Date]],"mmm")</f>
        <v>Sep</v>
      </c>
      <c r="E1260" s="1" t="str">
        <f>TEXT(FMData[[#This Row],[Show_Date]],"ddd")</f>
        <v>Sun</v>
      </c>
      <c r="F1260" t="s">
        <v>33</v>
      </c>
      <c r="G1260" t="s">
        <v>30</v>
      </c>
      <c r="H1260">
        <v>2</v>
      </c>
      <c r="I1260">
        <v>8</v>
      </c>
      <c r="J1260" t="s">
        <v>23</v>
      </c>
      <c r="K1260" t="s">
        <v>25</v>
      </c>
      <c r="L1260">
        <v>16</v>
      </c>
    </row>
    <row r="1261" spans="1:12" x14ac:dyDescent="0.3">
      <c r="A1261">
        <v>227</v>
      </c>
      <c r="B1261" t="s">
        <v>15</v>
      </c>
      <c r="C1261" s="1">
        <v>45922</v>
      </c>
      <c r="D1261" s="1" t="str">
        <f>TEXT(FMData[[#This Row],[Show_Date]],"mmm")</f>
        <v>Sep</v>
      </c>
      <c r="E1261" s="1" t="str">
        <f>TEXT(FMData[[#This Row],[Show_Date]],"ddd")</f>
        <v>Mon</v>
      </c>
      <c r="F1261" t="s">
        <v>11</v>
      </c>
      <c r="G1261" t="s">
        <v>17</v>
      </c>
      <c r="H1261">
        <v>5</v>
      </c>
      <c r="I1261">
        <v>12</v>
      </c>
      <c r="J1261" t="s">
        <v>13</v>
      </c>
      <c r="K1261" t="s">
        <v>27</v>
      </c>
      <c r="L1261">
        <v>60</v>
      </c>
    </row>
    <row r="1262" spans="1:12" x14ac:dyDescent="0.3">
      <c r="A1262">
        <v>920</v>
      </c>
      <c r="B1262" t="s">
        <v>19</v>
      </c>
      <c r="C1262" s="1">
        <v>45864</v>
      </c>
      <c r="D1262" s="1" t="str">
        <f>TEXT(FMData[[#This Row],[Show_Date]],"mmm")</f>
        <v>Jul</v>
      </c>
      <c r="E1262" s="1" t="str">
        <f>TEXT(FMData[[#This Row],[Show_Date]],"ddd")</f>
        <v>Sat</v>
      </c>
      <c r="F1262" t="s">
        <v>20</v>
      </c>
      <c r="G1262" t="s">
        <v>17</v>
      </c>
      <c r="H1262">
        <v>3</v>
      </c>
      <c r="I1262">
        <v>12</v>
      </c>
      <c r="J1262" t="s">
        <v>23</v>
      </c>
      <c r="K1262" t="s">
        <v>18</v>
      </c>
      <c r="L1262">
        <v>36</v>
      </c>
    </row>
    <row r="1263" spans="1:12" x14ac:dyDescent="0.3">
      <c r="A1263">
        <v>1623</v>
      </c>
      <c r="B1263" t="s">
        <v>10</v>
      </c>
      <c r="C1263" s="1">
        <v>45873</v>
      </c>
      <c r="D1263" s="1" t="str">
        <f>TEXT(FMData[[#This Row],[Show_Date]],"mmm")</f>
        <v>Aug</v>
      </c>
      <c r="E1263" s="1" t="str">
        <f>TEXT(FMData[[#This Row],[Show_Date]],"ddd")</f>
        <v>Mon</v>
      </c>
      <c r="F1263" t="s">
        <v>16</v>
      </c>
      <c r="G1263" t="s">
        <v>17</v>
      </c>
      <c r="H1263">
        <v>4</v>
      </c>
      <c r="I1263">
        <v>12</v>
      </c>
      <c r="J1263" t="s">
        <v>23</v>
      </c>
      <c r="K1263" t="s">
        <v>18</v>
      </c>
      <c r="L1263">
        <v>48</v>
      </c>
    </row>
    <row r="1264" spans="1:12" x14ac:dyDescent="0.3">
      <c r="A1264">
        <v>554</v>
      </c>
      <c r="B1264" t="s">
        <v>31</v>
      </c>
      <c r="C1264" s="1">
        <v>45886</v>
      </c>
      <c r="D1264" s="1" t="str">
        <f>TEXT(FMData[[#This Row],[Show_Date]],"mmm")</f>
        <v>Aug</v>
      </c>
      <c r="E1264" s="1" t="str">
        <f>TEXT(FMData[[#This Row],[Show_Date]],"ddd")</f>
        <v>Sun</v>
      </c>
      <c r="F1264" t="s">
        <v>16</v>
      </c>
      <c r="G1264" t="s">
        <v>29</v>
      </c>
      <c r="H1264">
        <v>3</v>
      </c>
      <c r="I1264">
        <v>30</v>
      </c>
      <c r="J1264" t="s">
        <v>21</v>
      </c>
      <c r="K1264" t="s">
        <v>14</v>
      </c>
      <c r="L1264">
        <v>90</v>
      </c>
    </row>
    <row r="1265" spans="1:12" x14ac:dyDescent="0.3">
      <c r="A1265">
        <v>610</v>
      </c>
      <c r="B1265" t="s">
        <v>19</v>
      </c>
      <c r="C1265" s="1">
        <v>45844</v>
      </c>
      <c r="D1265" s="1" t="str">
        <f>TEXT(FMData[[#This Row],[Show_Date]],"mmm")</f>
        <v>Jul</v>
      </c>
      <c r="E1265" s="1" t="str">
        <f>TEXT(FMData[[#This Row],[Show_Date]],"ddd")</f>
        <v>Sun</v>
      </c>
      <c r="F1265" t="s">
        <v>16</v>
      </c>
      <c r="G1265" t="s">
        <v>17</v>
      </c>
      <c r="H1265">
        <v>3</v>
      </c>
      <c r="I1265">
        <v>12</v>
      </c>
      <c r="J1265" t="s">
        <v>13</v>
      </c>
      <c r="K1265" t="s">
        <v>27</v>
      </c>
      <c r="L1265">
        <v>36</v>
      </c>
    </row>
    <row r="1266" spans="1:12" x14ac:dyDescent="0.3">
      <c r="A1266">
        <v>1920</v>
      </c>
      <c r="B1266" t="s">
        <v>24</v>
      </c>
      <c r="C1266" s="1">
        <v>45880</v>
      </c>
      <c r="D1266" s="1" t="str">
        <f>TEXT(FMData[[#This Row],[Show_Date]],"mmm")</f>
        <v>Aug</v>
      </c>
      <c r="E1266" s="1" t="str">
        <f>TEXT(FMData[[#This Row],[Show_Date]],"ddd")</f>
        <v>Mon</v>
      </c>
      <c r="F1266" t="s">
        <v>11</v>
      </c>
      <c r="G1266" t="s">
        <v>22</v>
      </c>
      <c r="H1266">
        <v>3</v>
      </c>
      <c r="I1266">
        <v>20</v>
      </c>
      <c r="J1266" t="s">
        <v>13</v>
      </c>
      <c r="K1266" t="s">
        <v>27</v>
      </c>
      <c r="L1266">
        <v>60</v>
      </c>
    </row>
    <row r="1267" spans="1:12" x14ac:dyDescent="0.3">
      <c r="A1267">
        <v>1266</v>
      </c>
      <c r="B1267" t="s">
        <v>32</v>
      </c>
      <c r="C1267" s="1">
        <v>45916</v>
      </c>
      <c r="D1267" s="1" t="str">
        <f>TEXT(FMData[[#This Row],[Show_Date]],"mmm")</f>
        <v>Sep</v>
      </c>
      <c r="E1267" s="1" t="str">
        <f>TEXT(FMData[[#This Row],[Show_Date]],"ddd")</f>
        <v>Tue</v>
      </c>
      <c r="F1267" t="s">
        <v>16</v>
      </c>
      <c r="G1267" t="s">
        <v>17</v>
      </c>
      <c r="H1267">
        <v>5</v>
      </c>
      <c r="I1267">
        <v>12</v>
      </c>
      <c r="J1267" t="s">
        <v>23</v>
      </c>
      <c r="K1267" t="s">
        <v>18</v>
      </c>
      <c r="L1267">
        <v>60</v>
      </c>
    </row>
    <row r="1268" spans="1:12" x14ac:dyDescent="0.3">
      <c r="A1268">
        <v>99</v>
      </c>
      <c r="B1268" t="s">
        <v>10</v>
      </c>
      <c r="C1268" s="1">
        <v>45884</v>
      </c>
      <c r="D1268" s="1" t="str">
        <f>TEXT(FMData[[#This Row],[Show_Date]],"mmm")</f>
        <v>Aug</v>
      </c>
      <c r="E1268" s="1" t="str">
        <f>TEXT(FMData[[#This Row],[Show_Date]],"ddd")</f>
        <v>Fri</v>
      </c>
      <c r="F1268" t="s">
        <v>20</v>
      </c>
      <c r="G1268" t="s">
        <v>30</v>
      </c>
      <c r="H1268">
        <v>1</v>
      </c>
      <c r="I1268">
        <v>8</v>
      </c>
      <c r="J1268" t="s">
        <v>21</v>
      </c>
      <c r="K1268" t="s">
        <v>27</v>
      </c>
      <c r="L1268">
        <v>8</v>
      </c>
    </row>
    <row r="1269" spans="1:12" x14ac:dyDescent="0.3">
      <c r="A1269">
        <v>1768</v>
      </c>
      <c r="B1269" t="s">
        <v>24</v>
      </c>
      <c r="C1269" s="1">
        <v>45900</v>
      </c>
      <c r="D1269" s="1" t="str">
        <f>TEXT(FMData[[#This Row],[Show_Date]],"mmm")</f>
        <v>Aug</v>
      </c>
      <c r="E1269" s="1" t="str">
        <f>TEXT(FMData[[#This Row],[Show_Date]],"ddd")</f>
        <v>Sun</v>
      </c>
      <c r="F1269" t="s">
        <v>33</v>
      </c>
      <c r="G1269" t="s">
        <v>17</v>
      </c>
      <c r="H1269">
        <v>4</v>
      </c>
      <c r="I1269">
        <v>12</v>
      </c>
      <c r="J1269" t="s">
        <v>23</v>
      </c>
      <c r="K1269" t="s">
        <v>14</v>
      </c>
      <c r="L1269">
        <v>48</v>
      </c>
    </row>
    <row r="1270" spans="1:12" x14ac:dyDescent="0.3">
      <c r="A1270">
        <v>1458</v>
      </c>
      <c r="B1270" t="s">
        <v>31</v>
      </c>
      <c r="C1270" s="1">
        <v>45883</v>
      </c>
      <c r="D1270" s="1" t="str">
        <f>TEXT(FMData[[#This Row],[Show_Date]],"mmm")</f>
        <v>Aug</v>
      </c>
      <c r="E1270" s="1" t="str">
        <f>TEXT(FMData[[#This Row],[Show_Date]],"ddd")</f>
        <v>Thu</v>
      </c>
      <c r="F1270" t="s">
        <v>33</v>
      </c>
      <c r="G1270" t="s">
        <v>30</v>
      </c>
      <c r="H1270">
        <v>1</v>
      </c>
      <c r="I1270">
        <v>8</v>
      </c>
      <c r="J1270" t="s">
        <v>23</v>
      </c>
      <c r="K1270" t="s">
        <v>18</v>
      </c>
      <c r="L1270">
        <v>8</v>
      </c>
    </row>
    <row r="1271" spans="1:12" x14ac:dyDescent="0.3">
      <c r="A1271">
        <v>798</v>
      </c>
      <c r="B1271" t="s">
        <v>28</v>
      </c>
      <c r="C1271" s="1">
        <v>45911</v>
      </c>
      <c r="D1271" s="1" t="str">
        <f>TEXT(FMData[[#This Row],[Show_Date]],"mmm")</f>
        <v>Sep</v>
      </c>
      <c r="E1271" s="1" t="str">
        <f>TEXT(FMData[[#This Row],[Show_Date]],"ddd")</f>
        <v>Thu</v>
      </c>
      <c r="F1271" t="s">
        <v>16</v>
      </c>
      <c r="G1271" t="s">
        <v>12</v>
      </c>
      <c r="H1271">
        <v>3</v>
      </c>
      <c r="I1271">
        <v>25</v>
      </c>
      <c r="J1271" t="s">
        <v>23</v>
      </c>
      <c r="K1271" t="s">
        <v>27</v>
      </c>
      <c r="L1271">
        <v>75</v>
      </c>
    </row>
    <row r="1272" spans="1:12" x14ac:dyDescent="0.3">
      <c r="A1272">
        <v>991</v>
      </c>
      <c r="B1272" t="s">
        <v>26</v>
      </c>
      <c r="C1272" s="1">
        <v>45929</v>
      </c>
      <c r="D1272" s="1" t="str">
        <f>TEXT(FMData[[#This Row],[Show_Date]],"mmm")</f>
        <v>Sep</v>
      </c>
      <c r="E1272" s="1" t="str">
        <f>TEXT(FMData[[#This Row],[Show_Date]],"ddd")</f>
        <v>Mon</v>
      </c>
      <c r="F1272" t="s">
        <v>20</v>
      </c>
      <c r="G1272" t="s">
        <v>17</v>
      </c>
      <c r="H1272">
        <v>2</v>
      </c>
      <c r="I1272">
        <v>12</v>
      </c>
      <c r="J1272" t="s">
        <v>13</v>
      </c>
      <c r="K1272" t="s">
        <v>14</v>
      </c>
      <c r="L1272">
        <v>24</v>
      </c>
    </row>
    <row r="1273" spans="1:12" x14ac:dyDescent="0.3">
      <c r="A1273">
        <v>1777</v>
      </c>
      <c r="B1273" t="s">
        <v>26</v>
      </c>
      <c r="C1273" s="1">
        <v>45880</v>
      </c>
      <c r="D1273" s="1" t="str">
        <f>TEXT(FMData[[#This Row],[Show_Date]],"mmm")</f>
        <v>Aug</v>
      </c>
      <c r="E1273" s="1" t="str">
        <f>TEXT(FMData[[#This Row],[Show_Date]],"ddd")</f>
        <v>Mon</v>
      </c>
      <c r="F1273" t="s">
        <v>33</v>
      </c>
      <c r="G1273" t="s">
        <v>22</v>
      </c>
      <c r="H1273">
        <v>4</v>
      </c>
      <c r="I1273">
        <v>20</v>
      </c>
      <c r="J1273" t="s">
        <v>13</v>
      </c>
      <c r="K1273" t="s">
        <v>25</v>
      </c>
      <c r="L1273">
        <v>80</v>
      </c>
    </row>
    <row r="1274" spans="1:12" x14ac:dyDescent="0.3">
      <c r="A1274">
        <v>1672</v>
      </c>
      <c r="B1274" t="s">
        <v>15</v>
      </c>
      <c r="C1274" s="1">
        <v>45886</v>
      </c>
      <c r="D1274" s="1" t="str">
        <f>TEXT(FMData[[#This Row],[Show_Date]],"mmm")</f>
        <v>Aug</v>
      </c>
      <c r="E1274" s="1" t="str">
        <f>TEXT(FMData[[#This Row],[Show_Date]],"ddd")</f>
        <v>Sun</v>
      </c>
      <c r="F1274" t="s">
        <v>20</v>
      </c>
      <c r="G1274" t="s">
        <v>17</v>
      </c>
      <c r="H1274">
        <v>5</v>
      </c>
      <c r="I1274">
        <v>12</v>
      </c>
      <c r="J1274" t="s">
        <v>21</v>
      </c>
      <c r="K1274" t="s">
        <v>14</v>
      </c>
      <c r="L1274">
        <v>60</v>
      </c>
    </row>
    <row r="1275" spans="1:12" x14ac:dyDescent="0.3">
      <c r="A1275">
        <v>726</v>
      </c>
      <c r="B1275" t="s">
        <v>15</v>
      </c>
      <c r="C1275" s="1">
        <v>45872</v>
      </c>
      <c r="D1275" s="1" t="str">
        <f>TEXT(FMData[[#This Row],[Show_Date]],"mmm")</f>
        <v>Aug</v>
      </c>
      <c r="E1275" s="1" t="str">
        <f>TEXT(FMData[[#This Row],[Show_Date]],"ddd")</f>
        <v>Sun</v>
      </c>
      <c r="F1275" t="s">
        <v>20</v>
      </c>
      <c r="G1275" t="s">
        <v>17</v>
      </c>
      <c r="H1275">
        <v>4</v>
      </c>
      <c r="I1275">
        <v>12</v>
      </c>
      <c r="J1275" t="s">
        <v>23</v>
      </c>
      <c r="K1275" t="s">
        <v>18</v>
      </c>
      <c r="L1275">
        <v>48</v>
      </c>
    </row>
    <row r="1276" spans="1:12" x14ac:dyDescent="0.3">
      <c r="A1276">
        <v>1455</v>
      </c>
      <c r="B1276" t="s">
        <v>24</v>
      </c>
      <c r="C1276" s="1">
        <v>45866</v>
      </c>
      <c r="D1276" s="1" t="str">
        <f>TEXT(FMData[[#This Row],[Show_Date]],"mmm")</f>
        <v>Jul</v>
      </c>
      <c r="E1276" s="1" t="str">
        <f>TEXT(FMData[[#This Row],[Show_Date]],"ddd")</f>
        <v>Mon</v>
      </c>
      <c r="F1276" t="s">
        <v>11</v>
      </c>
      <c r="G1276" t="s">
        <v>29</v>
      </c>
      <c r="H1276">
        <v>5</v>
      </c>
      <c r="I1276">
        <v>30</v>
      </c>
      <c r="J1276" t="s">
        <v>23</v>
      </c>
      <c r="K1276" t="s">
        <v>18</v>
      </c>
      <c r="L1276">
        <v>150</v>
      </c>
    </row>
    <row r="1277" spans="1:12" x14ac:dyDescent="0.3">
      <c r="A1277">
        <v>398</v>
      </c>
      <c r="B1277" t="s">
        <v>10</v>
      </c>
      <c r="C1277" s="1">
        <v>45918</v>
      </c>
      <c r="D1277" s="1" t="str">
        <f>TEXT(FMData[[#This Row],[Show_Date]],"mmm")</f>
        <v>Sep</v>
      </c>
      <c r="E1277" s="1" t="str">
        <f>TEXT(FMData[[#This Row],[Show_Date]],"ddd")</f>
        <v>Thu</v>
      </c>
      <c r="F1277" t="s">
        <v>11</v>
      </c>
      <c r="G1277" t="s">
        <v>17</v>
      </c>
      <c r="H1277">
        <v>5</v>
      </c>
      <c r="I1277">
        <v>12</v>
      </c>
      <c r="J1277" t="s">
        <v>21</v>
      </c>
      <c r="K1277" t="s">
        <v>27</v>
      </c>
      <c r="L1277">
        <v>60</v>
      </c>
    </row>
    <row r="1278" spans="1:12" x14ac:dyDescent="0.3">
      <c r="A1278">
        <v>849</v>
      </c>
      <c r="B1278" t="s">
        <v>28</v>
      </c>
      <c r="C1278" s="1">
        <v>45853</v>
      </c>
      <c r="D1278" s="1" t="str">
        <f>TEXT(FMData[[#This Row],[Show_Date]],"mmm")</f>
        <v>Jul</v>
      </c>
      <c r="E1278" s="1" t="str">
        <f>TEXT(FMData[[#This Row],[Show_Date]],"ddd")</f>
        <v>Tue</v>
      </c>
      <c r="F1278" t="s">
        <v>33</v>
      </c>
      <c r="G1278" t="s">
        <v>12</v>
      </c>
      <c r="H1278">
        <v>4</v>
      </c>
      <c r="I1278">
        <v>25</v>
      </c>
      <c r="J1278" t="s">
        <v>23</v>
      </c>
      <c r="K1278" t="s">
        <v>25</v>
      </c>
      <c r="L1278">
        <v>100</v>
      </c>
    </row>
    <row r="1279" spans="1:12" x14ac:dyDescent="0.3">
      <c r="A1279">
        <v>1363</v>
      </c>
      <c r="B1279" t="s">
        <v>24</v>
      </c>
      <c r="C1279" s="1">
        <v>45899</v>
      </c>
      <c r="D1279" s="1" t="str">
        <f>TEXT(FMData[[#This Row],[Show_Date]],"mmm")</f>
        <v>Aug</v>
      </c>
      <c r="E1279" s="1" t="str">
        <f>TEXT(FMData[[#This Row],[Show_Date]],"ddd")</f>
        <v>Sat</v>
      </c>
      <c r="F1279" t="s">
        <v>16</v>
      </c>
      <c r="G1279" t="s">
        <v>30</v>
      </c>
      <c r="H1279">
        <v>5</v>
      </c>
      <c r="I1279">
        <v>8</v>
      </c>
      <c r="J1279" t="s">
        <v>23</v>
      </c>
      <c r="K1279" t="s">
        <v>27</v>
      </c>
      <c r="L1279">
        <v>40</v>
      </c>
    </row>
    <row r="1280" spans="1:12" x14ac:dyDescent="0.3">
      <c r="A1280">
        <v>937</v>
      </c>
      <c r="B1280" t="s">
        <v>10</v>
      </c>
      <c r="C1280" s="1">
        <v>45920</v>
      </c>
      <c r="D1280" s="1" t="str">
        <f>TEXT(FMData[[#This Row],[Show_Date]],"mmm")</f>
        <v>Sep</v>
      </c>
      <c r="E1280" s="1" t="str">
        <f>TEXT(FMData[[#This Row],[Show_Date]],"ddd")</f>
        <v>Sat</v>
      </c>
      <c r="F1280" t="s">
        <v>16</v>
      </c>
      <c r="G1280" t="s">
        <v>30</v>
      </c>
      <c r="H1280">
        <v>5</v>
      </c>
      <c r="I1280">
        <v>8</v>
      </c>
      <c r="J1280" t="s">
        <v>21</v>
      </c>
      <c r="K1280" t="s">
        <v>14</v>
      </c>
      <c r="L1280">
        <v>40</v>
      </c>
    </row>
    <row r="1281" spans="1:12" x14ac:dyDescent="0.3">
      <c r="A1281">
        <v>166</v>
      </c>
      <c r="B1281" t="s">
        <v>24</v>
      </c>
      <c r="C1281" s="1">
        <v>45902</v>
      </c>
      <c r="D1281" s="1" t="str">
        <f>TEXT(FMData[[#This Row],[Show_Date]],"mmm")</f>
        <v>Sep</v>
      </c>
      <c r="E1281" s="1" t="str">
        <f>TEXT(FMData[[#This Row],[Show_Date]],"ddd")</f>
        <v>Tue</v>
      </c>
      <c r="F1281" t="s">
        <v>11</v>
      </c>
      <c r="G1281" t="s">
        <v>29</v>
      </c>
      <c r="H1281">
        <v>4</v>
      </c>
      <c r="I1281">
        <v>30</v>
      </c>
      <c r="J1281" t="s">
        <v>23</v>
      </c>
      <c r="K1281" t="s">
        <v>27</v>
      </c>
      <c r="L1281">
        <v>120</v>
      </c>
    </row>
    <row r="1282" spans="1:12" x14ac:dyDescent="0.3">
      <c r="A1282">
        <v>348</v>
      </c>
      <c r="B1282" t="s">
        <v>31</v>
      </c>
      <c r="C1282" s="1">
        <v>45881</v>
      </c>
      <c r="D1282" s="1" t="str">
        <f>TEXT(FMData[[#This Row],[Show_Date]],"mmm")</f>
        <v>Aug</v>
      </c>
      <c r="E1282" s="1" t="str">
        <f>TEXT(FMData[[#This Row],[Show_Date]],"ddd")</f>
        <v>Tue</v>
      </c>
      <c r="F1282" t="s">
        <v>20</v>
      </c>
      <c r="G1282" t="s">
        <v>17</v>
      </c>
      <c r="H1282">
        <v>2</v>
      </c>
      <c r="I1282">
        <v>12</v>
      </c>
      <c r="J1282" t="s">
        <v>13</v>
      </c>
      <c r="K1282" t="s">
        <v>14</v>
      </c>
      <c r="L1282">
        <v>24</v>
      </c>
    </row>
    <row r="1283" spans="1:12" x14ac:dyDescent="0.3">
      <c r="A1283">
        <v>1829</v>
      </c>
      <c r="B1283" t="s">
        <v>10</v>
      </c>
      <c r="C1283" s="1">
        <v>45923</v>
      </c>
      <c r="D1283" s="1" t="str">
        <f>TEXT(FMData[[#This Row],[Show_Date]],"mmm")</f>
        <v>Sep</v>
      </c>
      <c r="E1283" s="1" t="str">
        <f>TEXT(FMData[[#This Row],[Show_Date]],"ddd")</f>
        <v>Tue</v>
      </c>
      <c r="F1283" t="s">
        <v>33</v>
      </c>
      <c r="G1283" t="s">
        <v>22</v>
      </c>
      <c r="H1283">
        <v>4</v>
      </c>
      <c r="I1283">
        <v>20</v>
      </c>
      <c r="J1283" t="s">
        <v>23</v>
      </c>
      <c r="K1283" t="s">
        <v>25</v>
      </c>
      <c r="L1283">
        <v>80</v>
      </c>
    </row>
    <row r="1284" spans="1:12" x14ac:dyDescent="0.3">
      <c r="A1284">
        <v>900</v>
      </c>
      <c r="B1284" t="s">
        <v>32</v>
      </c>
      <c r="C1284" s="1">
        <v>45844</v>
      </c>
      <c r="D1284" s="1" t="str">
        <f>TEXT(FMData[[#This Row],[Show_Date]],"mmm")</f>
        <v>Jul</v>
      </c>
      <c r="E1284" s="1" t="str">
        <f>TEXT(FMData[[#This Row],[Show_Date]],"ddd")</f>
        <v>Sun</v>
      </c>
      <c r="F1284" t="s">
        <v>20</v>
      </c>
      <c r="G1284" t="s">
        <v>17</v>
      </c>
      <c r="H1284">
        <v>2</v>
      </c>
      <c r="I1284">
        <v>12</v>
      </c>
      <c r="J1284" t="s">
        <v>21</v>
      </c>
      <c r="K1284" t="s">
        <v>27</v>
      </c>
      <c r="L1284">
        <v>24</v>
      </c>
    </row>
    <row r="1285" spans="1:12" x14ac:dyDescent="0.3">
      <c r="A1285">
        <v>213</v>
      </c>
      <c r="B1285" t="s">
        <v>15</v>
      </c>
      <c r="C1285" s="1">
        <v>45843</v>
      </c>
      <c r="D1285" s="1" t="str">
        <f>TEXT(FMData[[#This Row],[Show_Date]],"mmm")</f>
        <v>Jul</v>
      </c>
      <c r="E1285" s="1" t="str">
        <f>TEXT(FMData[[#This Row],[Show_Date]],"ddd")</f>
        <v>Sat</v>
      </c>
      <c r="F1285" t="s">
        <v>20</v>
      </c>
      <c r="G1285" t="s">
        <v>17</v>
      </c>
      <c r="H1285">
        <v>4</v>
      </c>
      <c r="I1285">
        <v>12</v>
      </c>
      <c r="J1285" t="s">
        <v>23</v>
      </c>
      <c r="K1285" t="s">
        <v>14</v>
      </c>
      <c r="L1285">
        <v>48</v>
      </c>
    </row>
    <row r="1286" spans="1:12" x14ac:dyDescent="0.3">
      <c r="A1286">
        <v>421</v>
      </c>
      <c r="B1286" t="s">
        <v>26</v>
      </c>
      <c r="C1286" s="1">
        <v>45841</v>
      </c>
      <c r="D1286" s="1" t="str">
        <f>TEXT(FMData[[#This Row],[Show_Date]],"mmm")</f>
        <v>Jul</v>
      </c>
      <c r="E1286" s="1" t="str">
        <f>TEXT(FMData[[#This Row],[Show_Date]],"ddd")</f>
        <v>Thu</v>
      </c>
      <c r="F1286" t="s">
        <v>33</v>
      </c>
      <c r="G1286" t="s">
        <v>17</v>
      </c>
      <c r="H1286">
        <v>3</v>
      </c>
      <c r="I1286">
        <v>12</v>
      </c>
      <c r="J1286" t="s">
        <v>23</v>
      </c>
      <c r="K1286" t="s">
        <v>27</v>
      </c>
      <c r="L1286">
        <v>36</v>
      </c>
    </row>
    <row r="1287" spans="1:12" x14ac:dyDescent="0.3">
      <c r="A1287">
        <v>134</v>
      </c>
      <c r="B1287" t="s">
        <v>15</v>
      </c>
      <c r="C1287" s="1">
        <v>45842</v>
      </c>
      <c r="D1287" s="1" t="str">
        <f>TEXT(FMData[[#This Row],[Show_Date]],"mmm")</f>
        <v>Jul</v>
      </c>
      <c r="E1287" s="1" t="str">
        <f>TEXT(FMData[[#This Row],[Show_Date]],"ddd")</f>
        <v>Fri</v>
      </c>
      <c r="F1287" t="s">
        <v>33</v>
      </c>
      <c r="G1287" t="s">
        <v>12</v>
      </c>
      <c r="H1287">
        <v>4</v>
      </c>
      <c r="I1287">
        <v>25</v>
      </c>
      <c r="J1287" t="s">
        <v>23</v>
      </c>
      <c r="K1287" t="s">
        <v>18</v>
      </c>
      <c r="L1287">
        <v>100</v>
      </c>
    </row>
    <row r="1288" spans="1:12" x14ac:dyDescent="0.3">
      <c r="A1288">
        <v>592</v>
      </c>
      <c r="B1288" t="s">
        <v>19</v>
      </c>
      <c r="C1288" s="1">
        <v>45871</v>
      </c>
      <c r="D1288" s="1" t="str">
        <f>TEXT(FMData[[#This Row],[Show_Date]],"mmm")</f>
        <v>Aug</v>
      </c>
      <c r="E1288" s="1" t="str">
        <f>TEXT(FMData[[#This Row],[Show_Date]],"ddd")</f>
        <v>Sat</v>
      </c>
      <c r="F1288" t="s">
        <v>20</v>
      </c>
      <c r="G1288" t="s">
        <v>22</v>
      </c>
      <c r="H1288">
        <v>5</v>
      </c>
      <c r="I1288">
        <v>20</v>
      </c>
      <c r="J1288" t="s">
        <v>21</v>
      </c>
      <c r="K1288" t="s">
        <v>18</v>
      </c>
      <c r="L1288">
        <v>100</v>
      </c>
    </row>
    <row r="1289" spans="1:12" x14ac:dyDescent="0.3">
      <c r="A1289">
        <v>948</v>
      </c>
      <c r="B1289" t="s">
        <v>19</v>
      </c>
      <c r="C1289" s="1">
        <v>45851</v>
      </c>
      <c r="D1289" s="1" t="str">
        <f>TEXT(FMData[[#This Row],[Show_Date]],"mmm")</f>
        <v>Jul</v>
      </c>
      <c r="E1289" s="1" t="str">
        <f>TEXT(FMData[[#This Row],[Show_Date]],"ddd")</f>
        <v>Sun</v>
      </c>
      <c r="F1289" t="s">
        <v>20</v>
      </c>
      <c r="G1289" t="s">
        <v>12</v>
      </c>
      <c r="H1289">
        <v>2</v>
      </c>
      <c r="I1289">
        <v>25</v>
      </c>
      <c r="J1289" t="s">
        <v>23</v>
      </c>
      <c r="K1289" t="s">
        <v>14</v>
      </c>
      <c r="L1289">
        <v>50</v>
      </c>
    </row>
    <row r="1290" spans="1:12" x14ac:dyDescent="0.3">
      <c r="A1290">
        <v>1048</v>
      </c>
      <c r="B1290" t="s">
        <v>24</v>
      </c>
      <c r="C1290" s="1">
        <v>45893</v>
      </c>
      <c r="D1290" s="1" t="str">
        <f>TEXT(FMData[[#This Row],[Show_Date]],"mmm")</f>
        <v>Aug</v>
      </c>
      <c r="E1290" s="1" t="str">
        <f>TEXT(FMData[[#This Row],[Show_Date]],"ddd")</f>
        <v>Sun</v>
      </c>
      <c r="F1290" t="s">
        <v>20</v>
      </c>
      <c r="G1290" t="s">
        <v>17</v>
      </c>
      <c r="H1290">
        <v>5</v>
      </c>
      <c r="I1290">
        <v>12</v>
      </c>
      <c r="J1290" t="s">
        <v>21</v>
      </c>
      <c r="K1290" t="s">
        <v>27</v>
      </c>
      <c r="L1290">
        <v>60</v>
      </c>
    </row>
    <row r="1291" spans="1:12" x14ac:dyDescent="0.3">
      <c r="A1291">
        <v>857</v>
      </c>
      <c r="B1291" t="s">
        <v>32</v>
      </c>
      <c r="C1291" s="1">
        <v>45879</v>
      </c>
      <c r="D1291" s="1" t="str">
        <f>TEXT(FMData[[#This Row],[Show_Date]],"mmm")</f>
        <v>Aug</v>
      </c>
      <c r="E1291" s="1" t="str">
        <f>TEXT(FMData[[#This Row],[Show_Date]],"ddd")</f>
        <v>Sun</v>
      </c>
      <c r="F1291" t="s">
        <v>20</v>
      </c>
      <c r="G1291" t="s">
        <v>17</v>
      </c>
      <c r="H1291">
        <v>5</v>
      </c>
      <c r="I1291">
        <v>12</v>
      </c>
      <c r="J1291" t="s">
        <v>21</v>
      </c>
      <c r="K1291" t="s">
        <v>14</v>
      </c>
      <c r="L1291">
        <v>60</v>
      </c>
    </row>
    <row r="1292" spans="1:12" x14ac:dyDescent="0.3">
      <c r="A1292">
        <v>571</v>
      </c>
      <c r="B1292" t="s">
        <v>10</v>
      </c>
      <c r="C1292" s="1">
        <v>45901</v>
      </c>
      <c r="D1292" s="1" t="str">
        <f>TEXT(FMData[[#This Row],[Show_Date]],"mmm")</f>
        <v>Sep</v>
      </c>
      <c r="E1292" s="1" t="str">
        <f>TEXT(FMData[[#This Row],[Show_Date]],"ddd")</f>
        <v>Mon</v>
      </c>
      <c r="F1292" t="s">
        <v>20</v>
      </c>
      <c r="G1292" t="s">
        <v>17</v>
      </c>
      <c r="H1292">
        <v>1</v>
      </c>
      <c r="I1292">
        <v>12</v>
      </c>
      <c r="J1292" t="s">
        <v>13</v>
      </c>
      <c r="K1292" t="s">
        <v>25</v>
      </c>
      <c r="L1292">
        <v>12</v>
      </c>
    </row>
    <row r="1293" spans="1:12" x14ac:dyDescent="0.3">
      <c r="A1293">
        <v>157</v>
      </c>
      <c r="B1293" t="s">
        <v>28</v>
      </c>
      <c r="C1293" s="1">
        <v>45865</v>
      </c>
      <c r="D1293" s="1" t="str">
        <f>TEXT(FMData[[#This Row],[Show_Date]],"mmm")</f>
        <v>Jul</v>
      </c>
      <c r="E1293" s="1" t="str">
        <f>TEXT(FMData[[#This Row],[Show_Date]],"ddd")</f>
        <v>Sun</v>
      </c>
      <c r="F1293" t="s">
        <v>16</v>
      </c>
      <c r="G1293" t="s">
        <v>17</v>
      </c>
      <c r="H1293">
        <v>4</v>
      </c>
      <c r="I1293">
        <v>12</v>
      </c>
      <c r="J1293" t="s">
        <v>21</v>
      </c>
      <c r="K1293" t="s">
        <v>14</v>
      </c>
      <c r="L1293">
        <v>48</v>
      </c>
    </row>
    <row r="1294" spans="1:12" x14ac:dyDescent="0.3">
      <c r="A1294">
        <v>1562</v>
      </c>
      <c r="B1294" t="s">
        <v>31</v>
      </c>
      <c r="C1294" s="1">
        <v>45928</v>
      </c>
      <c r="D1294" s="1" t="str">
        <f>TEXT(FMData[[#This Row],[Show_Date]],"mmm")</f>
        <v>Sep</v>
      </c>
      <c r="E1294" s="1" t="str">
        <f>TEXT(FMData[[#This Row],[Show_Date]],"ddd")</f>
        <v>Sun</v>
      </c>
      <c r="F1294" t="s">
        <v>16</v>
      </c>
      <c r="G1294" t="s">
        <v>22</v>
      </c>
      <c r="H1294">
        <v>1</v>
      </c>
      <c r="I1294">
        <v>20</v>
      </c>
      <c r="J1294" t="s">
        <v>21</v>
      </c>
      <c r="K1294" t="s">
        <v>25</v>
      </c>
      <c r="L1294">
        <v>20</v>
      </c>
    </row>
    <row r="1295" spans="1:12" x14ac:dyDescent="0.3">
      <c r="A1295">
        <v>1838</v>
      </c>
      <c r="B1295" t="s">
        <v>31</v>
      </c>
      <c r="C1295" s="1">
        <v>45894</v>
      </c>
      <c r="D1295" s="1" t="str">
        <f>TEXT(FMData[[#This Row],[Show_Date]],"mmm")</f>
        <v>Aug</v>
      </c>
      <c r="E1295" s="1" t="str">
        <f>TEXT(FMData[[#This Row],[Show_Date]],"ddd")</f>
        <v>Mon</v>
      </c>
      <c r="F1295" t="s">
        <v>20</v>
      </c>
      <c r="G1295" t="s">
        <v>17</v>
      </c>
      <c r="H1295">
        <v>1</v>
      </c>
      <c r="I1295">
        <v>12</v>
      </c>
      <c r="J1295" t="s">
        <v>13</v>
      </c>
      <c r="K1295" t="s">
        <v>14</v>
      </c>
      <c r="L1295">
        <v>12</v>
      </c>
    </row>
    <row r="1296" spans="1:12" x14ac:dyDescent="0.3">
      <c r="A1296">
        <v>1689</v>
      </c>
      <c r="B1296" t="s">
        <v>24</v>
      </c>
      <c r="C1296" s="1">
        <v>45879</v>
      </c>
      <c r="D1296" s="1" t="str">
        <f>TEXT(FMData[[#This Row],[Show_Date]],"mmm")</f>
        <v>Aug</v>
      </c>
      <c r="E1296" s="1" t="str">
        <f>TEXT(FMData[[#This Row],[Show_Date]],"ddd")</f>
        <v>Sun</v>
      </c>
      <c r="F1296" t="s">
        <v>20</v>
      </c>
      <c r="G1296" t="s">
        <v>17</v>
      </c>
      <c r="H1296">
        <v>3</v>
      </c>
      <c r="I1296">
        <v>12</v>
      </c>
      <c r="J1296" t="s">
        <v>21</v>
      </c>
      <c r="K1296" t="s">
        <v>27</v>
      </c>
      <c r="L1296">
        <v>36</v>
      </c>
    </row>
    <row r="1297" spans="1:12" x14ac:dyDescent="0.3">
      <c r="A1297">
        <v>1542</v>
      </c>
      <c r="B1297" t="s">
        <v>28</v>
      </c>
      <c r="C1297" s="1">
        <v>45901</v>
      </c>
      <c r="D1297" s="1" t="str">
        <f>TEXT(FMData[[#This Row],[Show_Date]],"mmm")</f>
        <v>Sep</v>
      </c>
      <c r="E1297" s="1" t="str">
        <f>TEXT(FMData[[#This Row],[Show_Date]],"ddd")</f>
        <v>Mon</v>
      </c>
      <c r="F1297" t="s">
        <v>20</v>
      </c>
      <c r="G1297" t="s">
        <v>22</v>
      </c>
      <c r="H1297">
        <v>4</v>
      </c>
      <c r="I1297">
        <v>20</v>
      </c>
      <c r="J1297" t="s">
        <v>21</v>
      </c>
      <c r="K1297" t="s">
        <v>25</v>
      </c>
      <c r="L1297">
        <v>80</v>
      </c>
    </row>
    <row r="1298" spans="1:12" x14ac:dyDescent="0.3">
      <c r="A1298">
        <v>1517</v>
      </c>
      <c r="B1298" t="s">
        <v>28</v>
      </c>
      <c r="C1298" s="1">
        <v>45910</v>
      </c>
      <c r="D1298" s="1" t="str">
        <f>TEXT(FMData[[#This Row],[Show_Date]],"mmm")</f>
        <v>Sep</v>
      </c>
      <c r="E1298" s="1" t="str">
        <f>TEXT(FMData[[#This Row],[Show_Date]],"ddd")</f>
        <v>Wed</v>
      </c>
      <c r="F1298" t="s">
        <v>11</v>
      </c>
      <c r="G1298" t="s">
        <v>17</v>
      </c>
      <c r="H1298">
        <v>3</v>
      </c>
      <c r="I1298">
        <v>12</v>
      </c>
      <c r="J1298" t="s">
        <v>23</v>
      </c>
      <c r="K1298" t="s">
        <v>18</v>
      </c>
      <c r="L1298">
        <v>36</v>
      </c>
    </row>
    <row r="1299" spans="1:12" x14ac:dyDescent="0.3">
      <c r="A1299">
        <v>1420</v>
      </c>
      <c r="B1299" t="s">
        <v>24</v>
      </c>
      <c r="C1299" s="1">
        <v>45892</v>
      </c>
      <c r="D1299" s="1" t="str">
        <f>TEXT(FMData[[#This Row],[Show_Date]],"mmm")</f>
        <v>Aug</v>
      </c>
      <c r="E1299" s="1" t="str">
        <f>TEXT(FMData[[#This Row],[Show_Date]],"ddd")</f>
        <v>Sat</v>
      </c>
      <c r="F1299" t="s">
        <v>11</v>
      </c>
      <c r="G1299" t="s">
        <v>17</v>
      </c>
      <c r="H1299">
        <v>4</v>
      </c>
      <c r="I1299">
        <v>12</v>
      </c>
      <c r="J1299" t="s">
        <v>23</v>
      </c>
      <c r="K1299" t="s">
        <v>27</v>
      </c>
      <c r="L1299">
        <v>48</v>
      </c>
    </row>
    <row r="1300" spans="1:12" x14ac:dyDescent="0.3">
      <c r="A1300">
        <v>780</v>
      </c>
      <c r="B1300" t="s">
        <v>32</v>
      </c>
      <c r="C1300" s="1">
        <v>45854</v>
      </c>
      <c r="D1300" s="1" t="str">
        <f>TEXT(FMData[[#This Row],[Show_Date]],"mmm")</f>
        <v>Jul</v>
      </c>
      <c r="E1300" s="1" t="str">
        <f>TEXT(FMData[[#This Row],[Show_Date]],"ddd")</f>
        <v>Wed</v>
      </c>
      <c r="F1300" t="s">
        <v>11</v>
      </c>
      <c r="G1300" t="s">
        <v>17</v>
      </c>
      <c r="H1300">
        <v>2</v>
      </c>
      <c r="I1300">
        <v>12</v>
      </c>
      <c r="J1300" t="s">
        <v>23</v>
      </c>
      <c r="K1300" t="s">
        <v>18</v>
      </c>
      <c r="L1300">
        <v>24</v>
      </c>
    </row>
    <row r="1301" spans="1:12" x14ac:dyDescent="0.3">
      <c r="A1301">
        <v>1105</v>
      </c>
      <c r="B1301" t="s">
        <v>10</v>
      </c>
      <c r="C1301" s="1">
        <v>45887</v>
      </c>
      <c r="D1301" s="1" t="str">
        <f>TEXT(FMData[[#This Row],[Show_Date]],"mmm")</f>
        <v>Aug</v>
      </c>
      <c r="E1301" s="1" t="str">
        <f>TEXT(FMData[[#This Row],[Show_Date]],"ddd")</f>
        <v>Mon</v>
      </c>
      <c r="F1301" t="s">
        <v>20</v>
      </c>
      <c r="G1301" t="s">
        <v>17</v>
      </c>
      <c r="H1301">
        <v>3</v>
      </c>
      <c r="I1301">
        <v>12</v>
      </c>
      <c r="J1301" t="s">
        <v>23</v>
      </c>
      <c r="K1301" t="s">
        <v>27</v>
      </c>
      <c r="L1301">
        <v>36</v>
      </c>
    </row>
    <row r="1302" spans="1:12" x14ac:dyDescent="0.3">
      <c r="A1302">
        <v>1451</v>
      </c>
      <c r="B1302" t="s">
        <v>19</v>
      </c>
      <c r="C1302" s="1">
        <v>45854</v>
      </c>
      <c r="D1302" s="1" t="str">
        <f>TEXT(FMData[[#This Row],[Show_Date]],"mmm")</f>
        <v>Jul</v>
      </c>
      <c r="E1302" s="1" t="str">
        <f>TEXT(FMData[[#This Row],[Show_Date]],"ddd")</f>
        <v>Wed</v>
      </c>
      <c r="F1302" t="s">
        <v>16</v>
      </c>
      <c r="G1302" t="s">
        <v>17</v>
      </c>
      <c r="H1302">
        <v>2</v>
      </c>
      <c r="I1302">
        <v>12</v>
      </c>
      <c r="J1302" t="s">
        <v>21</v>
      </c>
      <c r="K1302" t="s">
        <v>14</v>
      </c>
      <c r="L1302">
        <v>24</v>
      </c>
    </row>
    <row r="1303" spans="1:12" x14ac:dyDescent="0.3">
      <c r="A1303">
        <v>1140</v>
      </c>
      <c r="B1303" t="s">
        <v>24</v>
      </c>
      <c r="C1303" s="1">
        <v>45907</v>
      </c>
      <c r="D1303" s="1" t="str">
        <f>TEXT(FMData[[#This Row],[Show_Date]],"mmm")</f>
        <v>Sep</v>
      </c>
      <c r="E1303" s="1" t="str">
        <f>TEXT(FMData[[#This Row],[Show_Date]],"ddd")</f>
        <v>Sun</v>
      </c>
      <c r="F1303" t="s">
        <v>11</v>
      </c>
      <c r="G1303" t="s">
        <v>17</v>
      </c>
      <c r="H1303">
        <v>5</v>
      </c>
      <c r="I1303">
        <v>12</v>
      </c>
      <c r="J1303" t="s">
        <v>21</v>
      </c>
      <c r="K1303" t="s">
        <v>14</v>
      </c>
      <c r="L1303">
        <v>60</v>
      </c>
    </row>
    <row r="1304" spans="1:12" x14ac:dyDescent="0.3">
      <c r="A1304">
        <v>1896</v>
      </c>
      <c r="B1304" t="s">
        <v>28</v>
      </c>
      <c r="C1304" s="1">
        <v>45873</v>
      </c>
      <c r="D1304" s="1" t="str">
        <f>TEXT(FMData[[#This Row],[Show_Date]],"mmm")</f>
        <v>Aug</v>
      </c>
      <c r="E1304" s="1" t="str">
        <f>TEXT(FMData[[#This Row],[Show_Date]],"ddd")</f>
        <v>Mon</v>
      </c>
      <c r="F1304" t="s">
        <v>20</v>
      </c>
      <c r="G1304" t="s">
        <v>22</v>
      </c>
      <c r="H1304">
        <v>2</v>
      </c>
      <c r="I1304">
        <v>20</v>
      </c>
      <c r="J1304" t="s">
        <v>23</v>
      </c>
      <c r="K1304" t="s">
        <v>27</v>
      </c>
      <c r="L1304">
        <v>40</v>
      </c>
    </row>
    <row r="1305" spans="1:12" x14ac:dyDescent="0.3">
      <c r="A1305">
        <v>1296</v>
      </c>
      <c r="B1305" t="s">
        <v>26</v>
      </c>
      <c r="C1305" s="1">
        <v>45853</v>
      </c>
      <c r="D1305" s="1" t="str">
        <f>TEXT(FMData[[#This Row],[Show_Date]],"mmm")</f>
        <v>Jul</v>
      </c>
      <c r="E1305" s="1" t="str">
        <f>TEXT(FMData[[#This Row],[Show_Date]],"ddd")</f>
        <v>Tue</v>
      </c>
      <c r="F1305" t="s">
        <v>16</v>
      </c>
      <c r="G1305" t="s">
        <v>17</v>
      </c>
      <c r="H1305">
        <v>2</v>
      </c>
      <c r="I1305">
        <v>12</v>
      </c>
      <c r="J1305" t="s">
        <v>13</v>
      </c>
      <c r="K1305" t="s">
        <v>27</v>
      </c>
      <c r="L1305">
        <v>24</v>
      </c>
    </row>
    <row r="1306" spans="1:12" x14ac:dyDescent="0.3">
      <c r="A1306">
        <v>821</v>
      </c>
      <c r="B1306" t="s">
        <v>28</v>
      </c>
      <c r="C1306" s="1">
        <v>45878</v>
      </c>
      <c r="D1306" s="1" t="str">
        <f>TEXT(FMData[[#This Row],[Show_Date]],"mmm")</f>
        <v>Aug</v>
      </c>
      <c r="E1306" s="1" t="str">
        <f>TEXT(FMData[[#This Row],[Show_Date]],"ddd")</f>
        <v>Sat</v>
      </c>
      <c r="F1306" t="s">
        <v>16</v>
      </c>
      <c r="G1306" t="s">
        <v>29</v>
      </c>
      <c r="H1306">
        <v>1</v>
      </c>
      <c r="I1306">
        <v>30</v>
      </c>
      <c r="J1306" t="s">
        <v>13</v>
      </c>
      <c r="K1306" t="s">
        <v>27</v>
      </c>
      <c r="L1306">
        <v>30</v>
      </c>
    </row>
    <row r="1307" spans="1:12" x14ac:dyDescent="0.3">
      <c r="A1307">
        <v>418</v>
      </c>
      <c r="B1307" t="s">
        <v>26</v>
      </c>
      <c r="C1307" s="1">
        <v>45915</v>
      </c>
      <c r="D1307" s="1" t="str">
        <f>TEXT(FMData[[#This Row],[Show_Date]],"mmm")</f>
        <v>Sep</v>
      </c>
      <c r="E1307" s="1" t="str">
        <f>TEXT(FMData[[#This Row],[Show_Date]],"ddd")</f>
        <v>Mon</v>
      </c>
      <c r="F1307" t="s">
        <v>20</v>
      </c>
      <c r="G1307" t="s">
        <v>17</v>
      </c>
      <c r="H1307">
        <v>4</v>
      </c>
      <c r="I1307">
        <v>12</v>
      </c>
      <c r="J1307" t="s">
        <v>23</v>
      </c>
      <c r="K1307" t="s">
        <v>27</v>
      </c>
      <c r="L1307">
        <v>48</v>
      </c>
    </row>
    <row r="1308" spans="1:12" x14ac:dyDescent="0.3">
      <c r="A1308">
        <v>1898</v>
      </c>
      <c r="B1308" t="s">
        <v>32</v>
      </c>
      <c r="C1308" s="1">
        <v>45881</v>
      </c>
      <c r="D1308" s="1" t="str">
        <f>TEXT(FMData[[#This Row],[Show_Date]],"mmm")</f>
        <v>Aug</v>
      </c>
      <c r="E1308" s="1" t="str">
        <f>TEXT(FMData[[#This Row],[Show_Date]],"ddd")</f>
        <v>Tue</v>
      </c>
      <c r="F1308" t="s">
        <v>33</v>
      </c>
      <c r="G1308" t="s">
        <v>22</v>
      </c>
      <c r="H1308">
        <v>1</v>
      </c>
      <c r="I1308">
        <v>20</v>
      </c>
      <c r="J1308" t="s">
        <v>23</v>
      </c>
      <c r="K1308" t="s">
        <v>25</v>
      </c>
      <c r="L1308">
        <v>20</v>
      </c>
    </row>
    <row r="1309" spans="1:12" x14ac:dyDescent="0.3">
      <c r="A1309">
        <v>1327</v>
      </c>
      <c r="B1309" t="s">
        <v>24</v>
      </c>
      <c r="C1309" s="1">
        <v>45885</v>
      </c>
      <c r="D1309" s="1" t="str">
        <f>TEXT(FMData[[#This Row],[Show_Date]],"mmm")</f>
        <v>Aug</v>
      </c>
      <c r="E1309" s="1" t="str">
        <f>TEXT(FMData[[#This Row],[Show_Date]],"ddd")</f>
        <v>Sat</v>
      </c>
      <c r="F1309" t="s">
        <v>11</v>
      </c>
      <c r="G1309" t="s">
        <v>22</v>
      </c>
      <c r="H1309">
        <v>1</v>
      </c>
      <c r="I1309">
        <v>20</v>
      </c>
      <c r="J1309" t="s">
        <v>13</v>
      </c>
      <c r="K1309" t="s">
        <v>27</v>
      </c>
      <c r="L1309">
        <v>20</v>
      </c>
    </row>
    <row r="1310" spans="1:12" x14ac:dyDescent="0.3">
      <c r="A1310">
        <v>108</v>
      </c>
      <c r="B1310" t="s">
        <v>31</v>
      </c>
      <c r="C1310" s="1">
        <v>45882</v>
      </c>
      <c r="D1310" s="1" t="str">
        <f>TEXT(FMData[[#This Row],[Show_Date]],"mmm")</f>
        <v>Aug</v>
      </c>
      <c r="E1310" s="1" t="str">
        <f>TEXT(FMData[[#This Row],[Show_Date]],"ddd")</f>
        <v>Wed</v>
      </c>
      <c r="F1310" t="s">
        <v>11</v>
      </c>
      <c r="G1310" t="s">
        <v>29</v>
      </c>
      <c r="H1310">
        <v>2</v>
      </c>
      <c r="I1310">
        <v>30</v>
      </c>
      <c r="J1310" t="s">
        <v>21</v>
      </c>
      <c r="K1310" t="s">
        <v>25</v>
      </c>
      <c r="L1310">
        <v>60</v>
      </c>
    </row>
    <row r="1311" spans="1:12" x14ac:dyDescent="0.3">
      <c r="A1311">
        <v>559</v>
      </c>
      <c r="B1311" t="s">
        <v>19</v>
      </c>
      <c r="C1311" s="1">
        <v>45886</v>
      </c>
      <c r="D1311" s="1" t="str">
        <f>TEXT(FMData[[#This Row],[Show_Date]],"mmm")</f>
        <v>Aug</v>
      </c>
      <c r="E1311" s="1" t="str">
        <f>TEXT(FMData[[#This Row],[Show_Date]],"ddd")</f>
        <v>Sun</v>
      </c>
      <c r="F1311" t="s">
        <v>16</v>
      </c>
      <c r="G1311" t="s">
        <v>17</v>
      </c>
      <c r="H1311">
        <v>4</v>
      </c>
      <c r="I1311">
        <v>12</v>
      </c>
      <c r="J1311" t="s">
        <v>13</v>
      </c>
      <c r="K1311" t="s">
        <v>14</v>
      </c>
      <c r="L1311">
        <v>48</v>
      </c>
    </row>
    <row r="1312" spans="1:12" x14ac:dyDescent="0.3">
      <c r="A1312">
        <v>368</v>
      </c>
      <c r="B1312" t="s">
        <v>26</v>
      </c>
      <c r="C1312" s="1">
        <v>45908</v>
      </c>
      <c r="D1312" s="1" t="str">
        <f>TEXT(FMData[[#This Row],[Show_Date]],"mmm")</f>
        <v>Sep</v>
      </c>
      <c r="E1312" s="1" t="str">
        <f>TEXT(FMData[[#This Row],[Show_Date]],"ddd")</f>
        <v>Mon</v>
      </c>
      <c r="F1312" t="s">
        <v>33</v>
      </c>
      <c r="G1312" t="s">
        <v>12</v>
      </c>
      <c r="H1312">
        <v>5</v>
      </c>
      <c r="I1312">
        <v>25</v>
      </c>
      <c r="J1312" t="s">
        <v>13</v>
      </c>
      <c r="K1312" t="s">
        <v>14</v>
      </c>
      <c r="L1312">
        <v>125</v>
      </c>
    </row>
    <row r="1313" spans="1:12" x14ac:dyDescent="0.3">
      <c r="A1313">
        <v>1055</v>
      </c>
      <c r="B1313" t="s">
        <v>24</v>
      </c>
      <c r="C1313" s="1">
        <v>45909</v>
      </c>
      <c r="D1313" s="1" t="str">
        <f>TEXT(FMData[[#This Row],[Show_Date]],"mmm")</f>
        <v>Sep</v>
      </c>
      <c r="E1313" s="1" t="str">
        <f>TEXT(FMData[[#This Row],[Show_Date]],"ddd")</f>
        <v>Tue</v>
      </c>
      <c r="F1313" t="s">
        <v>11</v>
      </c>
      <c r="G1313" t="s">
        <v>30</v>
      </c>
      <c r="H1313">
        <v>1</v>
      </c>
      <c r="I1313">
        <v>8</v>
      </c>
      <c r="J1313" t="s">
        <v>13</v>
      </c>
      <c r="K1313" t="s">
        <v>18</v>
      </c>
      <c r="L1313">
        <v>8</v>
      </c>
    </row>
    <row r="1314" spans="1:12" x14ac:dyDescent="0.3">
      <c r="A1314">
        <v>417</v>
      </c>
      <c r="B1314" t="s">
        <v>15</v>
      </c>
      <c r="C1314" s="1">
        <v>45909</v>
      </c>
      <c r="D1314" s="1" t="str">
        <f>TEXT(FMData[[#This Row],[Show_Date]],"mmm")</f>
        <v>Sep</v>
      </c>
      <c r="E1314" s="1" t="str">
        <f>TEXT(FMData[[#This Row],[Show_Date]],"ddd")</f>
        <v>Tue</v>
      </c>
      <c r="F1314" t="s">
        <v>20</v>
      </c>
      <c r="G1314" t="s">
        <v>17</v>
      </c>
      <c r="H1314">
        <v>5</v>
      </c>
      <c r="I1314">
        <v>12</v>
      </c>
      <c r="J1314" t="s">
        <v>21</v>
      </c>
      <c r="K1314" t="s">
        <v>14</v>
      </c>
      <c r="L1314">
        <v>60</v>
      </c>
    </row>
    <row r="1315" spans="1:12" x14ac:dyDescent="0.3">
      <c r="A1315">
        <v>373</v>
      </c>
      <c r="B1315" t="s">
        <v>26</v>
      </c>
      <c r="C1315" s="1">
        <v>45913</v>
      </c>
      <c r="D1315" s="1" t="str">
        <f>TEXT(FMData[[#This Row],[Show_Date]],"mmm")</f>
        <v>Sep</v>
      </c>
      <c r="E1315" s="1" t="str">
        <f>TEXT(FMData[[#This Row],[Show_Date]],"ddd")</f>
        <v>Sat</v>
      </c>
      <c r="F1315" t="s">
        <v>16</v>
      </c>
      <c r="G1315" t="s">
        <v>30</v>
      </c>
      <c r="H1315">
        <v>3</v>
      </c>
      <c r="I1315">
        <v>8</v>
      </c>
      <c r="J1315" t="s">
        <v>23</v>
      </c>
      <c r="K1315" t="s">
        <v>27</v>
      </c>
      <c r="L1315">
        <v>24</v>
      </c>
    </row>
    <row r="1316" spans="1:12" x14ac:dyDescent="0.3">
      <c r="A1316">
        <v>1944</v>
      </c>
      <c r="B1316" t="s">
        <v>10</v>
      </c>
      <c r="C1316" s="1">
        <v>45850</v>
      </c>
      <c r="D1316" s="1" t="str">
        <f>TEXT(FMData[[#This Row],[Show_Date]],"mmm")</f>
        <v>Jul</v>
      </c>
      <c r="E1316" s="1" t="str">
        <f>TEXT(FMData[[#This Row],[Show_Date]],"ddd")</f>
        <v>Sat</v>
      </c>
      <c r="F1316" t="s">
        <v>20</v>
      </c>
      <c r="G1316" t="s">
        <v>17</v>
      </c>
      <c r="H1316">
        <v>2</v>
      </c>
      <c r="I1316">
        <v>12</v>
      </c>
      <c r="J1316" t="s">
        <v>23</v>
      </c>
      <c r="K1316" t="s">
        <v>27</v>
      </c>
      <c r="L1316">
        <v>24</v>
      </c>
    </row>
    <row r="1317" spans="1:12" x14ac:dyDescent="0.3">
      <c r="A1317">
        <v>247</v>
      </c>
      <c r="B1317" t="s">
        <v>24</v>
      </c>
      <c r="C1317" s="1">
        <v>45850</v>
      </c>
      <c r="D1317" s="1" t="str">
        <f>TEXT(FMData[[#This Row],[Show_Date]],"mmm")</f>
        <v>Jul</v>
      </c>
      <c r="E1317" s="1" t="str">
        <f>TEXT(FMData[[#This Row],[Show_Date]],"ddd")</f>
        <v>Sat</v>
      </c>
      <c r="F1317" t="s">
        <v>33</v>
      </c>
      <c r="G1317" t="s">
        <v>17</v>
      </c>
      <c r="H1317">
        <v>5</v>
      </c>
      <c r="I1317">
        <v>12</v>
      </c>
      <c r="J1317" t="s">
        <v>13</v>
      </c>
      <c r="K1317" t="s">
        <v>27</v>
      </c>
      <c r="L1317">
        <v>60</v>
      </c>
    </row>
    <row r="1318" spans="1:12" x14ac:dyDescent="0.3">
      <c r="A1318">
        <v>1511</v>
      </c>
      <c r="B1318" t="s">
        <v>28</v>
      </c>
      <c r="C1318" s="1">
        <v>45885</v>
      </c>
      <c r="D1318" s="1" t="str">
        <f>TEXT(FMData[[#This Row],[Show_Date]],"mmm")</f>
        <v>Aug</v>
      </c>
      <c r="E1318" s="1" t="str">
        <f>TEXT(FMData[[#This Row],[Show_Date]],"ddd")</f>
        <v>Sat</v>
      </c>
      <c r="F1318" t="s">
        <v>20</v>
      </c>
      <c r="G1318" t="s">
        <v>17</v>
      </c>
      <c r="H1318">
        <v>3</v>
      </c>
      <c r="I1318">
        <v>12</v>
      </c>
      <c r="J1318" t="s">
        <v>23</v>
      </c>
      <c r="K1318" t="s">
        <v>25</v>
      </c>
      <c r="L1318">
        <v>36</v>
      </c>
    </row>
    <row r="1319" spans="1:12" x14ac:dyDescent="0.3">
      <c r="A1319">
        <v>731</v>
      </c>
      <c r="B1319" t="s">
        <v>32</v>
      </c>
      <c r="C1319" s="1">
        <v>45850</v>
      </c>
      <c r="D1319" s="1" t="str">
        <f>TEXT(FMData[[#This Row],[Show_Date]],"mmm")</f>
        <v>Jul</v>
      </c>
      <c r="E1319" s="1" t="str">
        <f>TEXT(FMData[[#This Row],[Show_Date]],"ddd")</f>
        <v>Sat</v>
      </c>
      <c r="F1319" t="s">
        <v>11</v>
      </c>
      <c r="G1319" t="s">
        <v>30</v>
      </c>
      <c r="H1319">
        <v>4</v>
      </c>
      <c r="I1319">
        <v>8</v>
      </c>
      <c r="J1319" t="s">
        <v>13</v>
      </c>
      <c r="K1319" t="s">
        <v>18</v>
      </c>
      <c r="L1319">
        <v>32</v>
      </c>
    </row>
    <row r="1320" spans="1:12" x14ac:dyDescent="0.3">
      <c r="A1320">
        <v>1423</v>
      </c>
      <c r="B1320" t="s">
        <v>32</v>
      </c>
      <c r="C1320" s="1">
        <v>45912</v>
      </c>
      <c r="D1320" s="1" t="str">
        <f>TEXT(FMData[[#This Row],[Show_Date]],"mmm")</f>
        <v>Sep</v>
      </c>
      <c r="E1320" s="1" t="str">
        <f>TEXT(FMData[[#This Row],[Show_Date]],"ddd")</f>
        <v>Fri</v>
      </c>
      <c r="F1320" t="s">
        <v>11</v>
      </c>
      <c r="G1320" t="s">
        <v>30</v>
      </c>
      <c r="H1320">
        <v>5</v>
      </c>
      <c r="I1320">
        <v>8</v>
      </c>
      <c r="J1320" t="s">
        <v>21</v>
      </c>
      <c r="K1320" t="s">
        <v>27</v>
      </c>
      <c r="L1320">
        <v>40</v>
      </c>
    </row>
    <row r="1321" spans="1:12" x14ac:dyDescent="0.3">
      <c r="A1321">
        <v>619</v>
      </c>
      <c r="B1321" t="s">
        <v>28</v>
      </c>
      <c r="C1321" s="1">
        <v>45844</v>
      </c>
      <c r="D1321" s="1" t="str">
        <f>TEXT(FMData[[#This Row],[Show_Date]],"mmm")</f>
        <v>Jul</v>
      </c>
      <c r="E1321" s="1" t="str">
        <f>TEXT(FMData[[#This Row],[Show_Date]],"ddd")</f>
        <v>Sun</v>
      </c>
      <c r="F1321" t="s">
        <v>11</v>
      </c>
      <c r="G1321" t="s">
        <v>22</v>
      </c>
      <c r="H1321">
        <v>1</v>
      </c>
      <c r="I1321">
        <v>20</v>
      </c>
      <c r="J1321" t="s">
        <v>23</v>
      </c>
      <c r="K1321" t="s">
        <v>14</v>
      </c>
      <c r="L1321">
        <v>20</v>
      </c>
    </row>
    <row r="1322" spans="1:12" x14ac:dyDescent="0.3">
      <c r="A1322">
        <v>218</v>
      </c>
      <c r="B1322" t="s">
        <v>15</v>
      </c>
      <c r="C1322" s="1">
        <v>45910</v>
      </c>
      <c r="D1322" s="1" t="str">
        <f>TEXT(FMData[[#This Row],[Show_Date]],"mmm")</f>
        <v>Sep</v>
      </c>
      <c r="E1322" s="1" t="str">
        <f>TEXT(FMData[[#This Row],[Show_Date]],"ddd")</f>
        <v>Wed</v>
      </c>
      <c r="F1322" t="s">
        <v>33</v>
      </c>
      <c r="G1322" t="s">
        <v>17</v>
      </c>
      <c r="H1322">
        <v>3</v>
      </c>
      <c r="I1322">
        <v>12</v>
      </c>
      <c r="J1322" t="s">
        <v>13</v>
      </c>
      <c r="K1322" t="s">
        <v>25</v>
      </c>
      <c r="L1322">
        <v>36</v>
      </c>
    </row>
    <row r="1323" spans="1:12" x14ac:dyDescent="0.3">
      <c r="A1323">
        <v>57</v>
      </c>
      <c r="B1323" t="s">
        <v>19</v>
      </c>
      <c r="C1323" s="1">
        <v>45873</v>
      </c>
      <c r="D1323" s="1" t="str">
        <f>TEXT(FMData[[#This Row],[Show_Date]],"mmm")</f>
        <v>Aug</v>
      </c>
      <c r="E1323" s="1" t="str">
        <f>TEXT(FMData[[#This Row],[Show_Date]],"ddd")</f>
        <v>Mon</v>
      </c>
      <c r="F1323" t="s">
        <v>20</v>
      </c>
      <c r="G1323" t="s">
        <v>17</v>
      </c>
      <c r="H1323">
        <v>3</v>
      </c>
      <c r="I1323">
        <v>12</v>
      </c>
      <c r="J1323" t="s">
        <v>23</v>
      </c>
      <c r="K1323" t="s">
        <v>27</v>
      </c>
      <c r="L1323">
        <v>36</v>
      </c>
    </row>
    <row r="1324" spans="1:12" x14ac:dyDescent="0.3">
      <c r="A1324">
        <v>1534</v>
      </c>
      <c r="B1324" t="s">
        <v>15</v>
      </c>
      <c r="C1324" s="1">
        <v>45891</v>
      </c>
      <c r="D1324" s="1" t="str">
        <f>TEXT(FMData[[#This Row],[Show_Date]],"mmm")</f>
        <v>Aug</v>
      </c>
      <c r="E1324" s="1" t="str">
        <f>TEXT(FMData[[#This Row],[Show_Date]],"ddd")</f>
        <v>Fri</v>
      </c>
      <c r="F1324" t="s">
        <v>20</v>
      </c>
      <c r="G1324" t="s">
        <v>17</v>
      </c>
      <c r="H1324">
        <v>2</v>
      </c>
      <c r="I1324">
        <v>12</v>
      </c>
      <c r="J1324" t="s">
        <v>13</v>
      </c>
      <c r="K1324" t="s">
        <v>18</v>
      </c>
      <c r="L1324">
        <v>24</v>
      </c>
    </row>
    <row r="1325" spans="1:12" x14ac:dyDescent="0.3">
      <c r="A1325">
        <v>1746</v>
      </c>
      <c r="B1325" t="s">
        <v>26</v>
      </c>
      <c r="C1325" s="1">
        <v>45877</v>
      </c>
      <c r="D1325" s="1" t="str">
        <f>TEXT(FMData[[#This Row],[Show_Date]],"mmm")</f>
        <v>Aug</v>
      </c>
      <c r="E1325" s="1" t="str">
        <f>TEXT(FMData[[#This Row],[Show_Date]],"ddd")</f>
        <v>Fri</v>
      </c>
      <c r="F1325" t="s">
        <v>11</v>
      </c>
      <c r="G1325" t="s">
        <v>17</v>
      </c>
      <c r="H1325">
        <v>3</v>
      </c>
      <c r="I1325">
        <v>12</v>
      </c>
      <c r="J1325" t="s">
        <v>23</v>
      </c>
      <c r="K1325" t="s">
        <v>25</v>
      </c>
      <c r="L1325">
        <v>36</v>
      </c>
    </row>
    <row r="1326" spans="1:12" x14ac:dyDescent="0.3">
      <c r="A1326">
        <v>459</v>
      </c>
      <c r="B1326" t="s">
        <v>32</v>
      </c>
      <c r="C1326" s="1">
        <v>45862</v>
      </c>
      <c r="D1326" s="1" t="str">
        <f>TEXT(FMData[[#This Row],[Show_Date]],"mmm")</f>
        <v>Jul</v>
      </c>
      <c r="E1326" s="1" t="str">
        <f>TEXT(FMData[[#This Row],[Show_Date]],"ddd")</f>
        <v>Thu</v>
      </c>
      <c r="F1326" t="s">
        <v>33</v>
      </c>
      <c r="G1326" t="s">
        <v>17</v>
      </c>
      <c r="H1326">
        <v>5</v>
      </c>
      <c r="I1326">
        <v>12</v>
      </c>
      <c r="J1326" t="s">
        <v>21</v>
      </c>
      <c r="K1326" t="s">
        <v>18</v>
      </c>
      <c r="L1326">
        <v>60</v>
      </c>
    </row>
    <row r="1327" spans="1:12" x14ac:dyDescent="0.3">
      <c r="A1327">
        <v>1386</v>
      </c>
      <c r="B1327" t="s">
        <v>31</v>
      </c>
      <c r="C1327" s="1">
        <v>45862</v>
      </c>
      <c r="D1327" s="1" t="str">
        <f>TEXT(FMData[[#This Row],[Show_Date]],"mmm")</f>
        <v>Jul</v>
      </c>
      <c r="E1327" s="1" t="str">
        <f>TEXT(FMData[[#This Row],[Show_Date]],"ddd")</f>
        <v>Thu</v>
      </c>
      <c r="F1327" t="s">
        <v>20</v>
      </c>
      <c r="G1327" t="s">
        <v>22</v>
      </c>
      <c r="H1327">
        <v>2</v>
      </c>
      <c r="I1327">
        <v>20</v>
      </c>
      <c r="J1327" t="s">
        <v>21</v>
      </c>
      <c r="K1327" t="s">
        <v>14</v>
      </c>
      <c r="L1327">
        <v>40</v>
      </c>
    </row>
    <row r="1328" spans="1:12" x14ac:dyDescent="0.3">
      <c r="A1328">
        <v>584</v>
      </c>
      <c r="B1328" t="s">
        <v>26</v>
      </c>
      <c r="C1328" s="1">
        <v>45903</v>
      </c>
      <c r="D1328" s="1" t="str">
        <f>TEXT(FMData[[#This Row],[Show_Date]],"mmm")</f>
        <v>Sep</v>
      </c>
      <c r="E1328" s="1" t="str">
        <f>TEXT(FMData[[#This Row],[Show_Date]],"ddd")</f>
        <v>Wed</v>
      </c>
      <c r="F1328" t="s">
        <v>20</v>
      </c>
      <c r="G1328" t="s">
        <v>17</v>
      </c>
      <c r="H1328">
        <v>4</v>
      </c>
      <c r="I1328">
        <v>12</v>
      </c>
      <c r="J1328" t="s">
        <v>13</v>
      </c>
      <c r="K1328" t="s">
        <v>25</v>
      </c>
      <c r="L1328">
        <v>48</v>
      </c>
    </row>
    <row r="1329" spans="1:12" x14ac:dyDescent="0.3">
      <c r="A1329">
        <v>1284</v>
      </c>
      <c r="B1329" t="s">
        <v>24</v>
      </c>
      <c r="C1329" s="1">
        <v>45914</v>
      </c>
      <c r="D1329" s="1" t="str">
        <f>TEXT(FMData[[#This Row],[Show_Date]],"mmm")</f>
        <v>Sep</v>
      </c>
      <c r="E1329" s="1" t="str">
        <f>TEXT(FMData[[#This Row],[Show_Date]],"ddd")</f>
        <v>Sun</v>
      </c>
      <c r="F1329" t="s">
        <v>20</v>
      </c>
      <c r="G1329" t="s">
        <v>22</v>
      </c>
      <c r="H1329">
        <v>4</v>
      </c>
      <c r="I1329">
        <v>20</v>
      </c>
      <c r="J1329" t="s">
        <v>21</v>
      </c>
      <c r="K1329" t="s">
        <v>18</v>
      </c>
      <c r="L1329">
        <v>80</v>
      </c>
    </row>
    <row r="1330" spans="1:12" x14ac:dyDescent="0.3">
      <c r="A1330">
        <v>511</v>
      </c>
      <c r="B1330" t="s">
        <v>24</v>
      </c>
      <c r="C1330" s="1">
        <v>45866</v>
      </c>
      <c r="D1330" s="1" t="str">
        <f>TEXT(FMData[[#This Row],[Show_Date]],"mmm")</f>
        <v>Jul</v>
      </c>
      <c r="E1330" s="1" t="str">
        <f>TEXT(FMData[[#This Row],[Show_Date]],"ddd")</f>
        <v>Mon</v>
      </c>
      <c r="F1330" t="s">
        <v>16</v>
      </c>
      <c r="G1330" t="s">
        <v>17</v>
      </c>
      <c r="H1330">
        <v>1</v>
      </c>
      <c r="I1330">
        <v>12</v>
      </c>
      <c r="J1330" t="s">
        <v>13</v>
      </c>
      <c r="K1330" t="s">
        <v>18</v>
      </c>
      <c r="L1330">
        <v>12</v>
      </c>
    </row>
    <row r="1331" spans="1:12" x14ac:dyDescent="0.3">
      <c r="A1331">
        <v>701</v>
      </c>
      <c r="B1331" t="s">
        <v>26</v>
      </c>
      <c r="C1331" s="1">
        <v>45899</v>
      </c>
      <c r="D1331" s="1" t="str">
        <f>TEXT(FMData[[#This Row],[Show_Date]],"mmm")</f>
        <v>Aug</v>
      </c>
      <c r="E1331" s="1" t="str">
        <f>TEXT(FMData[[#This Row],[Show_Date]],"ddd")</f>
        <v>Sat</v>
      </c>
      <c r="F1331" t="s">
        <v>33</v>
      </c>
      <c r="G1331" t="s">
        <v>12</v>
      </c>
      <c r="H1331">
        <v>3</v>
      </c>
      <c r="I1331">
        <v>25</v>
      </c>
      <c r="J1331" t="s">
        <v>13</v>
      </c>
      <c r="K1331" t="s">
        <v>14</v>
      </c>
      <c r="L1331">
        <v>75</v>
      </c>
    </row>
    <row r="1332" spans="1:12" x14ac:dyDescent="0.3">
      <c r="A1332">
        <v>170</v>
      </c>
      <c r="B1332" t="s">
        <v>10</v>
      </c>
      <c r="C1332" s="1">
        <v>45854</v>
      </c>
      <c r="D1332" s="1" t="str">
        <f>TEXT(FMData[[#This Row],[Show_Date]],"mmm")</f>
        <v>Jul</v>
      </c>
      <c r="E1332" s="1" t="str">
        <f>TEXT(FMData[[#This Row],[Show_Date]],"ddd")</f>
        <v>Wed</v>
      </c>
      <c r="F1332" t="s">
        <v>16</v>
      </c>
      <c r="G1332" t="s">
        <v>17</v>
      </c>
      <c r="H1332">
        <v>3</v>
      </c>
      <c r="I1332">
        <v>12</v>
      </c>
      <c r="J1332" t="s">
        <v>21</v>
      </c>
      <c r="K1332" t="s">
        <v>27</v>
      </c>
      <c r="L1332">
        <v>36</v>
      </c>
    </row>
    <row r="1333" spans="1:12" x14ac:dyDescent="0.3">
      <c r="A1333">
        <v>581</v>
      </c>
      <c r="B1333" t="s">
        <v>10</v>
      </c>
      <c r="C1333" s="1">
        <v>45851</v>
      </c>
      <c r="D1333" s="1" t="str">
        <f>TEXT(FMData[[#This Row],[Show_Date]],"mmm")</f>
        <v>Jul</v>
      </c>
      <c r="E1333" s="1" t="str">
        <f>TEXT(FMData[[#This Row],[Show_Date]],"ddd")</f>
        <v>Sun</v>
      </c>
      <c r="F1333" t="s">
        <v>20</v>
      </c>
      <c r="G1333" t="s">
        <v>17</v>
      </c>
      <c r="H1333">
        <v>2</v>
      </c>
      <c r="I1333">
        <v>12</v>
      </c>
      <c r="J1333" t="s">
        <v>23</v>
      </c>
      <c r="K1333" t="s">
        <v>27</v>
      </c>
      <c r="L1333">
        <v>24</v>
      </c>
    </row>
    <row r="1334" spans="1:12" x14ac:dyDescent="0.3">
      <c r="A1334">
        <v>1935</v>
      </c>
      <c r="B1334" t="s">
        <v>28</v>
      </c>
      <c r="C1334" s="1">
        <v>45843</v>
      </c>
      <c r="D1334" s="1" t="str">
        <f>TEXT(FMData[[#This Row],[Show_Date]],"mmm")</f>
        <v>Jul</v>
      </c>
      <c r="E1334" s="1" t="str">
        <f>TEXT(FMData[[#This Row],[Show_Date]],"ddd")</f>
        <v>Sat</v>
      </c>
      <c r="F1334" t="s">
        <v>33</v>
      </c>
      <c r="G1334" t="s">
        <v>17</v>
      </c>
      <c r="H1334">
        <v>4</v>
      </c>
      <c r="I1334">
        <v>12</v>
      </c>
      <c r="J1334" t="s">
        <v>21</v>
      </c>
      <c r="K1334" t="s">
        <v>27</v>
      </c>
      <c r="L1334">
        <v>48</v>
      </c>
    </row>
    <row r="1335" spans="1:12" x14ac:dyDescent="0.3">
      <c r="A1335">
        <v>1278</v>
      </c>
      <c r="B1335" t="s">
        <v>28</v>
      </c>
      <c r="C1335" s="1">
        <v>45903</v>
      </c>
      <c r="D1335" s="1" t="str">
        <f>TEXT(FMData[[#This Row],[Show_Date]],"mmm")</f>
        <v>Sep</v>
      </c>
      <c r="E1335" s="1" t="str">
        <f>TEXT(FMData[[#This Row],[Show_Date]],"ddd")</f>
        <v>Wed</v>
      </c>
      <c r="F1335" t="s">
        <v>16</v>
      </c>
      <c r="G1335" t="s">
        <v>17</v>
      </c>
      <c r="H1335">
        <v>2</v>
      </c>
      <c r="I1335">
        <v>12</v>
      </c>
      <c r="J1335" t="s">
        <v>13</v>
      </c>
      <c r="K1335" t="s">
        <v>18</v>
      </c>
      <c r="L1335">
        <v>24</v>
      </c>
    </row>
    <row r="1336" spans="1:12" x14ac:dyDescent="0.3">
      <c r="A1336">
        <v>574</v>
      </c>
      <c r="B1336" t="s">
        <v>26</v>
      </c>
      <c r="C1336" s="1">
        <v>45901</v>
      </c>
      <c r="D1336" s="1" t="str">
        <f>TEXT(FMData[[#This Row],[Show_Date]],"mmm")</f>
        <v>Sep</v>
      </c>
      <c r="E1336" s="1" t="str">
        <f>TEXT(FMData[[#This Row],[Show_Date]],"ddd")</f>
        <v>Mon</v>
      </c>
      <c r="F1336" t="s">
        <v>33</v>
      </c>
      <c r="G1336" t="s">
        <v>17</v>
      </c>
      <c r="H1336">
        <v>3</v>
      </c>
      <c r="I1336">
        <v>12</v>
      </c>
      <c r="J1336" t="s">
        <v>23</v>
      </c>
      <c r="K1336" t="s">
        <v>18</v>
      </c>
      <c r="L1336">
        <v>36</v>
      </c>
    </row>
    <row r="1337" spans="1:12" x14ac:dyDescent="0.3">
      <c r="A1337">
        <v>40</v>
      </c>
      <c r="B1337" t="s">
        <v>32</v>
      </c>
      <c r="C1337" s="1">
        <v>45839</v>
      </c>
      <c r="D1337" s="1" t="str">
        <f>TEXT(FMData[[#This Row],[Show_Date]],"mmm")</f>
        <v>Jul</v>
      </c>
      <c r="E1337" s="1" t="str">
        <f>TEXT(FMData[[#This Row],[Show_Date]],"ddd")</f>
        <v>Tue</v>
      </c>
      <c r="F1337" t="s">
        <v>11</v>
      </c>
      <c r="G1337" t="s">
        <v>17</v>
      </c>
      <c r="H1337">
        <v>5</v>
      </c>
      <c r="I1337">
        <v>12</v>
      </c>
      <c r="J1337" t="s">
        <v>21</v>
      </c>
      <c r="K1337" t="s">
        <v>14</v>
      </c>
      <c r="L1337">
        <v>60</v>
      </c>
    </row>
    <row r="1338" spans="1:12" x14ac:dyDescent="0.3">
      <c r="A1338">
        <v>664</v>
      </c>
      <c r="B1338" t="s">
        <v>10</v>
      </c>
      <c r="C1338" s="1">
        <v>45864</v>
      </c>
      <c r="D1338" s="1" t="str">
        <f>TEXT(FMData[[#This Row],[Show_Date]],"mmm")</f>
        <v>Jul</v>
      </c>
      <c r="E1338" s="1" t="str">
        <f>TEXT(FMData[[#This Row],[Show_Date]],"ddd")</f>
        <v>Sat</v>
      </c>
      <c r="F1338" t="s">
        <v>11</v>
      </c>
      <c r="G1338" t="s">
        <v>30</v>
      </c>
      <c r="H1338">
        <v>5</v>
      </c>
      <c r="I1338">
        <v>8</v>
      </c>
      <c r="J1338" t="s">
        <v>21</v>
      </c>
      <c r="K1338" t="s">
        <v>25</v>
      </c>
      <c r="L1338">
        <v>40</v>
      </c>
    </row>
    <row r="1339" spans="1:12" x14ac:dyDescent="0.3">
      <c r="A1339">
        <v>339</v>
      </c>
      <c r="B1339" t="s">
        <v>31</v>
      </c>
      <c r="C1339" s="1">
        <v>45865</v>
      </c>
      <c r="D1339" s="1" t="str">
        <f>TEXT(FMData[[#This Row],[Show_Date]],"mmm")</f>
        <v>Jul</v>
      </c>
      <c r="E1339" s="1" t="str">
        <f>TEXT(FMData[[#This Row],[Show_Date]],"ddd")</f>
        <v>Sun</v>
      </c>
      <c r="F1339" t="s">
        <v>16</v>
      </c>
      <c r="G1339" t="s">
        <v>17</v>
      </c>
      <c r="H1339">
        <v>2</v>
      </c>
      <c r="I1339">
        <v>12</v>
      </c>
      <c r="J1339" t="s">
        <v>13</v>
      </c>
      <c r="K1339" t="s">
        <v>14</v>
      </c>
      <c r="L1339">
        <v>24</v>
      </c>
    </row>
    <row r="1340" spans="1:12" x14ac:dyDescent="0.3">
      <c r="A1340">
        <v>1118</v>
      </c>
      <c r="B1340" t="s">
        <v>15</v>
      </c>
      <c r="C1340" s="1">
        <v>45917</v>
      </c>
      <c r="D1340" s="1" t="str">
        <f>TEXT(FMData[[#This Row],[Show_Date]],"mmm")</f>
        <v>Sep</v>
      </c>
      <c r="E1340" s="1" t="str">
        <f>TEXT(FMData[[#This Row],[Show_Date]],"ddd")</f>
        <v>Wed</v>
      </c>
      <c r="F1340" t="s">
        <v>20</v>
      </c>
      <c r="G1340" t="s">
        <v>17</v>
      </c>
      <c r="H1340">
        <v>1</v>
      </c>
      <c r="I1340">
        <v>12</v>
      </c>
      <c r="J1340" t="s">
        <v>13</v>
      </c>
      <c r="K1340" t="s">
        <v>27</v>
      </c>
      <c r="L1340">
        <v>12</v>
      </c>
    </row>
    <row r="1341" spans="1:12" x14ac:dyDescent="0.3">
      <c r="A1341">
        <v>933</v>
      </c>
      <c r="B1341" t="s">
        <v>24</v>
      </c>
      <c r="C1341" s="1">
        <v>45912</v>
      </c>
      <c r="D1341" s="1" t="str">
        <f>TEXT(FMData[[#This Row],[Show_Date]],"mmm")</f>
        <v>Sep</v>
      </c>
      <c r="E1341" s="1" t="str">
        <f>TEXT(FMData[[#This Row],[Show_Date]],"ddd")</f>
        <v>Fri</v>
      </c>
      <c r="F1341" t="s">
        <v>33</v>
      </c>
      <c r="G1341" t="s">
        <v>17</v>
      </c>
      <c r="H1341">
        <v>5</v>
      </c>
      <c r="I1341">
        <v>12</v>
      </c>
      <c r="J1341" t="s">
        <v>13</v>
      </c>
      <c r="K1341" t="s">
        <v>27</v>
      </c>
      <c r="L1341">
        <v>60</v>
      </c>
    </row>
    <row r="1342" spans="1:12" x14ac:dyDescent="0.3">
      <c r="A1342">
        <v>521</v>
      </c>
      <c r="B1342" t="s">
        <v>19</v>
      </c>
      <c r="C1342" s="1">
        <v>45924</v>
      </c>
      <c r="D1342" s="1" t="str">
        <f>TEXT(FMData[[#This Row],[Show_Date]],"mmm")</f>
        <v>Sep</v>
      </c>
      <c r="E1342" s="1" t="str">
        <f>TEXT(FMData[[#This Row],[Show_Date]],"ddd")</f>
        <v>Wed</v>
      </c>
      <c r="F1342" t="s">
        <v>33</v>
      </c>
      <c r="G1342" t="s">
        <v>30</v>
      </c>
      <c r="H1342">
        <v>4</v>
      </c>
      <c r="I1342">
        <v>8</v>
      </c>
      <c r="J1342" t="s">
        <v>23</v>
      </c>
      <c r="K1342" t="s">
        <v>14</v>
      </c>
      <c r="L1342">
        <v>32</v>
      </c>
    </row>
    <row r="1343" spans="1:12" x14ac:dyDescent="0.3">
      <c r="A1343">
        <v>72</v>
      </c>
      <c r="B1343" t="s">
        <v>26</v>
      </c>
      <c r="C1343" s="1">
        <v>45910</v>
      </c>
      <c r="D1343" s="1" t="str">
        <f>TEXT(FMData[[#This Row],[Show_Date]],"mmm")</f>
        <v>Sep</v>
      </c>
      <c r="E1343" s="1" t="str">
        <f>TEXT(FMData[[#This Row],[Show_Date]],"ddd")</f>
        <v>Wed</v>
      </c>
      <c r="F1343" t="s">
        <v>11</v>
      </c>
      <c r="G1343" t="s">
        <v>12</v>
      </c>
      <c r="H1343">
        <v>4</v>
      </c>
      <c r="I1343">
        <v>25</v>
      </c>
      <c r="J1343" t="s">
        <v>23</v>
      </c>
      <c r="K1343" t="s">
        <v>14</v>
      </c>
      <c r="L1343">
        <v>100</v>
      </c>
    </row>
    <row r="1344" spans="1:12" x14ac:dyDescent="0.3">
      <c r="A1344">
        <v>1932</v>
      </c>
      <c r="B1344" t="s">
        <v>31</v>
      </c>
      <c r="C1344" s="1">
        <v>45892</v>
      </c>
      <c r="D1344" s="1" t="str">
        <f>TEXT(FMData[[#This Row],[Show_Date]],"mmm")</f>
        <v>Aug</v>
      </c>
      <c r="E1344" s="1" t="str">
        <f>TEXT(FMData[[#This Row],[Show_Date]],"ddd")</f>
        <v>Sat</v>
      </c>
      <c r="F1344" t="s">
        <v>33</v>
      </c>
      <c r="G1344" t="s">
        <v>17</v>
      </c>
      <c r="H1344">
        <v>1</v>
      </c>
      <c r="I1344">
        <v>12</v>
      </c>
      <c r="J1344" t="s">
        <v>23</v>
      </c>
      <c r="K1344" t="s">
        <v>25</v>
      </c>
      <c r="L1344">
        <v>12</v>
      </c>
    </row>
    <row r="1345" spans="1:12" x14ac:dyDescent="0.3">
      <c r="A1345">
        <v>382</v>
      </c>
      <c r="B1345" t="s">
        <v>10</v>
      </c>
      <c r="C1345" s="1">
        <v>45844</v>
      </c>
      <c r="D1345" s="1" t="str">
        <f>TEXT(FMData[[#This Row],[Show_Date]],"mmm")</f>
        <v>Jul</v>
      </c>
      <c r="E1345" s="1" t="str">
        <f>TEXT(FMData[[#This Row],[Show_Date]],"ddd")</f>
        <v>Sun</v>
      </c>
      <c r="F1345" t="s">
        <v>33</v>
      </c>
      <c r="G1345" t="s">
        <v>22</v>
      </c>
      <c r="H1345">
        <v>3</v>
      </c>
      <c r="I1345">
        <v>20</v>
      </c>
      <c r="J1345" t="s">
        <v>21</v>
      </c>
      <c r="K1345" t="s">
        <v>18</v>
      </c>
      <c r="L1345">
        <v>60</v>
      </c>
    </row>
    <row r="1346" spans="1:12" x14ac:dyDescent="0.3">
      <c r="A1346">
        <v>1886</v>
      </c>
      <c r="B1346" t="s">
        <v>10</v>
      </c>
      <c r="C1346" s="1">
        <v>45845</v>
      </c>
      <c r="D1346" s="1" t="str">
        <f>TEXT(FMData[[#This Row],[Show_Date]],"mmm")</f>
        <v>Jul</v>
      </c>
      <c r="E1346" s="1" t="str">
        <f>TEXT(FMData[[#This Row],[Show_Date]],"ddd")</f>
        <v>Mon</v>
      </c>
      <c r="F1346" t="s">
        <v>20</v>
      </c>
      <c r="G1346" t="s">
        <v>29</v>
      </c>
      <c r="H1346">
        <v>4</v>
      </c>
      <c r="I1346">
        <v>30</v>
      </c>
      <c r="J1346" t="s">
        <v>21</v>
      </c>
      <c r="K1346" t="s">
        <v>25</v>
      </c>
      <c r="L1346">
        <v>120</v>
      </c>
    </row>
    <row r="1347" spans="1:12" x14ac:dyDescent="0.3">
      <c r="A1347">
        <v>347</v>
      </c>
      <c r="B1347" t="s">
        <v>32</v>
      </c>
      <c r="C1347" s="1">
        <v>45864</v>
      </c>
      <c r="D1347" s="1" t="str">
        <f>TEXT(FMData[[#This Row],[Show_Date]],"mmm")</f>
        <v>Jul</v>
      </c>
      <c r="E1347" s="1" t="str">
        <f>TEXT(FMData[[#This Row],[Show_Date]],"ddd")</f>
        <v>Sat</v>
      </c>
      <c r="F1347" t="s">
        <v>11</v>
      </c>
      <c r="G1347" t="s">
        <v>30</v>
      </c>
      <c r="H1347">
        <v>5</v>
      </c>
      <c r="I1347">
        <v>8</v>
      </c>
      <c r="J1347" t="s">
        <v>23</v>
      </c>
      <c r="K1347" t="s">
        <v>18</v>
      </c>
      <c r="L1347">
        <v>40</v>
      </c>
    </row>
    <row r="1348" spans="1:12" x14ac:dyDescent="0.3">
      <c r="A1348">
        <v>575</v>
      </c>
      <c r="B1348" t="s">
        <v>28</v>
      </c>
      <c r="C1348" s="1">
        <v>45871</v>
      </c>
      <c r="D1348" s="1" t="str">
        <f>TEXT(FMData[[#This Row],[Show_Date]],"mmm")</f>
        <v>Aug</v>
      </c>
      <c r="E1348" s="1" t="str">
        <f>TEXT(FMData[[#This Row],[Show_Date]],"ddd")</f>
        <v>Sat</v>
      </c>
      <c r="F1348" t="s">
        <v>33</v>
      </c>
      <c r="G1348" t="s">
        <v>17</v>
      </c>
      <c r="H1348">
        <v>4</v>
      </c>
      <c r="I1348">
        <v>12</v>
      </c>
      <c r="J1348" t="s">
        <v>23</v>
      </c>
      <c r="K1348" t="s">
        <v>14</v>
      </c>
      <c r="L1348">
        <v>48</v>
      </c>
    </row>
    <row r="1349" spans="1:12" x14ac:dyDescent="0.3">
      <c r="A1349">
        <v>1474</v>
      </c>
      <c r="B1349" t="s">
        <v>26</v>
      </c>
      <c r="C1349" s="1">
        <v>45880</v>
      </c>
      <c r="D1349" s="1" t="str">
        <f>TEXT(FMData[[#This Row],[Show_Date]],"mmm")</f>
        <v>Aug</v>
      </c>
      <c r="E1349" s="1" t="str">
        <f>TEXT(FMData[[#This Row],[Show_Date]],"ddd")</f>
        <v>Mon</v>
      </c>
      <c r="F1349" t="s">
        <v>16</v>
      </c>
      <c r="G1349" t="s">
        <v>30</v>
      </c>
      <c r="H1349">
        <v>4</v>
      </c>
      <c r="I1349">
        <v>8</v>
      </c>
      <c r="J1349" t="s">
        <v>21</v>
      </c>
      <c r="K1349" t="s">
        <v>18</v>
      </c>
      <c r="L1349">
        <v>32</v>
      </c>
    </row>
    <row r="1350" spans="1:12" x14ac:dyDescent="0.3">
      <c r="A1350">
        <v>475</v>
      </c>
      <c r="B1350" t="s">
        <v>32</v>
      </c>
      <c r="C1350" s="1">
        <v>45863</v>
      </c>
      <c r="D1350" s="1" t="str">
        <f>TEXT(FMData[[#This Row],[Show_Date]],"mmm")</f>
        <v>Jul</v>
      </c>
      <c r="E1350" s="1" t="str">
        <f>TEXT(FMData[[#This Row],[Show_Date]],"ddd")</f>
        <v>Fri</v>
      </c>
      <c r="F1350" t="s">
        <v>16</v>
      </c>
      <c r="G1350" t="s">
        <v>12</v>
      </c>
      <c r="H1350">
        <v>3</v>
      </c>
      <c r="I1350">
        <v>25</v>
      </c>
      <c r="J1350" t="s">
        <v>21</v>
      </c>
      <c r="K1350" t="s">
        <v>25</v>
      </c>
      <c r="L1350">
        <v>75</v>
      </c>
    </row>
    <row r="1351" spans="1:12" x14ac:dyDescent="0.3">
      <c r="A1351">
        <v>601</v>
      </c>
      <c r="B1351" t="s">
        <v>15</v>
      </c>
      <c r="C1351" s="1">
        <v>45872</v>
      </c>
      <c r="D1351" s="1" t="str">
        <f>TEXT(FMData[[#This Row],[Show_Date]],"mmm")</f>
        <v>Aug</v>
      </c>
      <c r="E1351" s="1" t="str">
        <f>TEXT(FMData[[#This Row],[Show_Date]],"ddd")</f>
        <v>Sun</v>
      </c>
      <c r="F1351" t="s">
        <v>20</v>
      </c>
      <c r="G1351" t="s">
        <v>12</v>
      </c>
      <c r="H1351">
        <v>2</v>
      </c>
      <c r="I1351">
        <v>25</v>
      </c>
      <c r="J1351" t="s">
        <v>21</v>
      </c>
      <c r="K1351" t="s">
        <v>14</v>
      </c>
      <c r="L1351">
        <v>50</v>
      </c>
    </row>
    <row r="1352" spans="1:12" x14ac:dyDescent="0.3">
      <c r="A1352">
        <v>311</v>
      </c>
      <c r="B1352" t="s">
        <v>19</v>
      </c>
      <c r="C1352" s="1">
        <v>45845</v>
      </c>
      <c r="D1352" s="1" t="str">
        <f>TEXT(FMData[[#This Row],[Show_Date]],"mmm")</f>
        <v>Jul</v>
      </c>
      <c r="E1352" s="1" t="str">
        <f>TEXT(FMData[[#This Row],[Show_Date]],"ddd")</f>
        <v>Mon</v>
      </c>
      <c r="F1352" t="s">
        <v>20</v>
      </c>
      <c r="G1352" t="s">
        <v>12</v>
      </c>
      <c r="H1352">
        <v>4</v>
      </c>
      <c r="I1352">
        <v>25</v>
      </c>
      <c r="J1352" t="s">
        <v>21</v>
      </c>
      <c r="K1352" t="s">
        <v>25</v>
      </c>
      <c r="L1352">
        <v>100</v>
      </c>
    </row>
    <row r="1353" spans="1:12" x14ac:dyDescent="0.3">
      <c r="A1353">
        <v>1486</v>
      </c>
      <c r="B1353" t="s">
        <v>28</v>
      </c>
      <c r="C1353" s="1">
        <v>45879</v>
      </c>
      <c r="D1353" s="1" t="str">
        <f>TEXT(FMData[[#This Row],[Show_Date]],"mmm")</f>
        <v>Aug</v>
      </c>
      <c r="E1353" s="1" t="str">
        <f>TEXT(FMData[[#This Row],[Show_Date]],"ddd")</f>
        <v>Sun</v>
      </c>
      <c r="F1353" t="s">
        <v>33</v>
      </c>
      <c r="G1353" t="s">
        <v>12</v>
      </c>
      <c r="H1353">
        <v>3</v>
      </c>
      <c r="I1353">
        <v>25</v>
      </c>
      <c r="J1353" t="s">
        <v>13</v>
      </c>
      <c r="K1353" t="s">
        <v>14</v>
      </c>
      <c r="L1353">
        <v>75</v>
      </c>
    </row>
    <row r="1354" spans="1:12" x14ac:dyDescent="0.3">
      <c r="A1354">
        <v>1521</v>
      </c>
      <c r="B1354" t="s">
        <v>10</v>
      </c>
      <c r="C1354" s="1">
        <v>45890</v>
      </c>
      <c r="D1354" s="1" t="str">
        <f>TEXT(FMData[[#This Row],[Show_Date]],"mmm")</f>
        <v>Aug</v>
      </c>
      <c r="E1354" s="1" t="str">
        <f>TEXT(FMData[[#This Row],[Show_Date]],"ddd")</f>
        <v>Thu</v>
      </c>
      <c r="F1354" t="s">
        <v>11</v>
      </c>
      <c r="G1354" t="s">
        <v>17</v>
      </c>
      <c r="H1354">
        <v>4</v>
      </c>
      <c r="I1354">
        <v>12</v>
      </c>
      <c r="J1354" t="s">
        <v>13</v>
      </c>
      <c r="K1354" t="s">
        <v>25</v>
      </c>
      <c r="L1354">
        <v>48</v>
      </c>
    </row>
    <row r="1355" spans="1:12" x14ac:dyDescent="0.3">
      <c r="A1355">
        <v>323</v>
      </c>
      <c r="B1355" t="s">
        <v>31</v>
      </c>
      <c r="C1355" s="1">
        <v>45927</v>
      </c>
      <c r="D1355" s="1" t="str">
        <f>TEXT(FMData[[#This Row],[Show_Date]],"mmm")</f>
        <v>Sep</v>
      </c>
      <c r="E1355" s="1" t="str">
        <f>TEXT(FMData[[#This Row],[Show_Date]],"ddd")</f>
        <v>Sat</v>
      </c>
      <c r="F1355" t="s">
        <v>20</v>
      </c>
      <c r="G1355" t="s">
        <v>12</v>
      </c>
      <c r="H1355">
        <v>4</v>
      </c>
      <c r="I1355">
        <v>25</v>
      </c>
      <c r="J1355" t="s">
        <v>21</v>
      </c>
      <c r="K1355" t="s">
        <v>27</v>
      </c>
      <c r="L1355">
        <v>100</v>
      </c>
    </row>
    <row r="1356" spans="1:12" x14ac:dyDescent="0.3">
      <c r="A1356">
        <v>146</v>
      </c>
      <c r="B1356" t="s">
        <v>28</v>
      </c>
      <c r="C1356" s="1">
        <v>45920</v>
      </c>
      <c r="D1356" s="1" t="str">
        <f>TEXT(FMData[[#This Row],[Show_Date]],"mmm")</f>
        <v>Sep</v>
      </c>
      <c r="E1356" s="1" t="str">
        <f>TEXT(FMData[[#This Row],[Show_Date]],"ddd")</f>
        <v>Sat</v>
      </c>
      <c r="F1356" t="s">
        <v>16</v>
      </c>
      <c r="G1356" t="s">
        <v>22</v>
      </c>
      <c r="H1356">
        <v>5</v>
      </c>
      <c r="I1356">
        <v>20</v>
      </c>
      <c r="J1356" t="s">
        <v>23</v>
      </c>
      <c r="K1356" t="s">
        <v>18</v>
      </c>
      <c r="L1356">
        <v>100</v>
      </c>
    </row>
    <row r="1357" spans="1:12" x14ac:dyDescent="0.3">
      <c r="A1357">
        <v>653</v>
      </c>
      <c r="B1357" t="s">
        <v>28</v>
      </c>
      <c r="C1357" s="1">
        <v>45903</v>
      </c>
      <c r="D1357" s="1" t="str">
        <f>TEXT(FMData[[#This Row],[Show_Date]],"mmm")</f>
        <v>Sep</v>
      </c>
      <c r="E1357" s="1" t="str">
        <f>TEXT(FMData[[#This Row],[Show_Date]],"ddd")</f>
        <v>Wed</v>
      </c>
      <c r="F1357" t="s">
        <v>16</v>
      </c>
      <c r="G1357" t="s">
        <v>17</v>
      </c>
      <c r="H1357">
        <v>3</v>
      </c>
      <c r="I1357">
        <v>12</v>
      </c>
      <c r="J1357" t="s">
        <v>23</v>
      </c>
      <c r="K1357" t="s">
        <v>25</v>
      </c>
      <c r="L1357">
        <v>36</v>
      </c>
    </row>
    <row r="1358" spans="1:12" x14ac:dyDescent="0.3">
      <c r="A1358">
        <v>682</v>
      </c>
      <c r="B1358" t="s">
        <v>15</v>
      </c>
      <c r="C1358" s="1">
        <v>45872</v>
      </c>
      <c r="D1358" s="1" t="str">
        <f>TEXT(FMData[[#This Row],[Show_Date]],"mmm")</f>
        <v>Aug</v>
      </c>
      <c r="E1358" s="1" t="str">
        <f>TEXT(FMData[[#This Row],[Show_Date]],"ddd")</f>
        <v>Sun</v>
      </c>
      <c r="F1358" t="s">
        <v>11</v>
      </c>
      <c r="G1358" t="s">
        <v>22</v>
      </c>
      <c r="H1358">
        <v>2</v>
      </c>
      <c r="I1358">
        <v>20</v>
      </c>
      <c r="J1358" t="s">
        <v>13</v>
      </c>
      <c r="K1358" t="s">
        <v>25</v>
      </c>
      <c r="L1358">
        <v>40</v>
      </c>
    </row>
    <row r="1359" spans="1:12" x14ac:dyDescent="0.3">
      <c r="A1359">
        <v>343</v>
      </c>
      <c r="B1359" t="s">
        <v>32</v>
      </c>
      <c r="C1359" s="1">
        <v>45852</v>
      </c>
      <c r="D1359" s="1" t="str">
        <f>TEXT(FMData[[#This Row],[Show_Date]],"mmm")</f>
        <v>Jul</v>
      </c>
      <c r="E1359" s="1" t="str">
        <f>TEXT(FMData[[#This Row],[Show_Date]],"ddd")</f>
        <v>Mon</v>
      </c>
      <c r="F1359" t="s">
        <v>33</v>
      </c>
      <c r="G1359" t="s">
        <v>17</v>
      </c>
      <c r="H1359">
        <v>1</v>
      </c>
      <c r="I1359">
        <v>12</v>
      </c>
      <c r="J1359" t="s">
        <v>23</v>
      </c>
      <c r="K1359" t="s">
        <v>25</v>
      </c>
      <c r="L1359">
        <v>12</v>
      </c>
    </row>
    <row r="1360" spans="1:12" x14ac:dyDescent="0.3">
      <c r="A1360">
        <v>707</v>
      </c>
      <c r="B1360" t="s">
        <v>31</v>
      </c>
      <c r="C1360" s="1">
        <v>45867</v>
      </c>
      <c r="D1360" s="1" t="str">
        <f>TEXT(FMData[[#This Row],[Show_Date]],"mmm")</f>
        <v>Jul</v>
      </c>
      <c r="E1360" s="1" t="str">
        <f>TEXT(FMData[[#This Row],[Show_Date]],"ddd")</f>
        <v>Tue</v>
      </c>
      <c r="F1360" t="s">
        <v>33</v>
      </c>
      <c r="G1360" t="s">
        <v>17</v>
      </c>
      <c r="H1360">
        <v>2</v>
      </c>
      <c r="I1360">
        <v>12</v>
      </c>
      <c r="J1360" t="s">
        <v>13</v>
      </c>
      <c r="K1360" t="s">
        <v>14</v>
      </c>
      <c r="L1360">
        <v>24</v>
      </c>
    </row>
    <row r="1361" spans="1:12" x14ac:dyDescent="0.3">
      <c r="A1361">
        <v>415</v>
      </c>
      <c r="B1361" t="s">
        <v>32</v>
      </c>
      <c r="C1361" s="1">
        <v>45909</v>
      </c>
      <c r="D1361" s="1" t="str">
        <f>TEXT(FMData[[#This Row],[Show_Date]],"mmm")</f>
        <v>Sep</v>
      </c>
      <c r="E1361" s="1" t="str">
        <f>TEXT(FMData[[#This Row],[Show_Date]],"ddd")</f>
        <v>Tue</v>
      </c>
      <c r="F1361" t="s">
        <v>20</v>
      </c>
      <c r="G1361" t="s">
        <v>12</v>
      </c>
      <c r="H1361">
        <v>3</v>
      </c>
      <c r="I1361">
        <v>25</v>
      </c>
      <c r="J1361" t="s">
        <v>13</v>
      </c>
      <c r="K1361" t="s">
        <v>25</v>
      </c>
      <c r="L1361">
        <v>75</v>
      </c>
    </row>
    <row r="1362" spans="1:12" x14ac:dyDescent="0.3">
      <c r="A1362">
        <v>1767</v>
      </c>
      <c r="B1362" t="s">
        <v>10</v>
      </c>
      <c r="C1362" s="1">
        <v>45872</v>
      </c>
      <c r="D1362" s="1" t="str">
        <f>TEXT(FMData[[#This Row],[Show_Date]],"mmm")</f>
        <v>Aug</v>
      </c>
      <c r="E1362" s="1" t="str">
        <f>TEXT(FMData[[#This Row],[Show_Date]],"ddd")</f>
        <v>Sun</v>
      </c>
      <c r="F1362" t="s">
        <v>16</v>
      </c>
      <c r="G1362" t="s">
        <v>12</v>
      </c>
      <c r="H1362">
        <v>4</v>
      </c>
      <c r="I1362">
        <v>25</v>
      </c>
      <c r="J1362" t="s">
        <v>13</v>
      </c>
      <c r="K1362" t="s">
        <v>14</v>
      </c>
      <c r="L1362">
        <v>100</v>
      </c>
    </row>
    <row r="1363" spans="1:12" x14ac:dyDescent="0.3">
      <c r="A1363">
        <v>662</v>
      </c>
      <c r="B1363" t="s">
        <v>32</v>
      </c>
      <c r="C1363" s="1">
        <v>45900</v>
      </c>
      <c r="D1363" s="1" t="str">
        <f>TEXT(FMData[[#This Row],[Show_Date]],"mmm")</f>
        <v>Aug</v>
      </c>
      <c r="E1363" s="1" t="str">
        <f>TEXT(FMData[[#This Row],[Show_Date]],"ddd")</f>
        <v>Sun</v>
      </c>
      <c r="F1363" t="s">
        <v>20</v>
      </c>
      <c r="G1363" t="s">
        <v>22</v>
      </c>
      <c r="H1363">
        <v>1</v>
      </c>
      <c r="I1363">
        <v>20</v>
      </c>
      <c r="J1363" t="s">
        <v>23</v>
      </c>
      <c r="K1363" t="s">
        <v>25</v>
      </c>
      <c r="L1363">
        <v>20</v>
      </c>
    </row>
    <row r="1364" spans="1:12" x14ac:dyDescent="0.3">
      <c r="A1364">
        <v>1281</v>
      </c>
      <c r="B1364" t="s">
        <v>26</v>
      </c>
      <c r="C1364" s="1">
        <v>45881</v>
      </c>
      <c r="D1364" s="1" t="str">
        <f>TEXT(FMData[[#This Row],[Show_Date]],"mmm")</f>
        <v>Aug</v>
      </c>
      <c r="E1364" s="1" t="str">
        <f>TEXT(FMData[[#This Row],[Show_Date]],"ddd")</f>
        <v>Tue</v>
      </c>
      <c r="F1364" t="s">
        <v>16</v>
      </c>
      <c r="G1364" t="s">
        <v>17</v>
      </c>
      <c r="H1364">
        <v>3</v>
      </c>
      <c r="I1364">
        <v>12</v>
      </c>
      <c r="J1364" t="s">
        <v>13</v>
      </c>
      <c r="K1364" t="s">
        <v>14</v>
      </c>
      <c r="L1364">
        <v>36</v>
      </c>
    </row>
    <row r="1365" spans="1:12" x14ac:dyDescent="0.3">
      <c r="A1365">
        <v>972</v>
      </c>
      <c r="B1365" t="s">
        <v>28</v>
      </c>
      <c r="C1365" s="1">
        <v>45920</v>
      </c>
      <c r="D1365" s="1" t="str">
        <f>TEXT(FMData[[#This Row],[Show_Date]],"mmm")</f>
        <v>Sep</v>
      </c>
      <c r="E1365" s="1" t="str">
        <f>TEXT(FMData[[#This Row],[Show_Date]],"ddd")</f>
        <v>Sat</v>
      </c>
      <c r="F1365" t="s">
        <v>20</v>
      </c>
      <c r="G1365" t="s">
        <v>17</v>
      </c>
      <c r="H1365">
        <v>4</v>
      </c>
      <c r="I1365">
        <v>12</v>
      </c>
      <c r="J1365" t="s">
        <v>21</v>
      </c>
      <c r="K1365" t="s">
        <v>14</v>
      </c>
      <c r="L1365">
        <v>48</v>
      </c>
    </row>
    <row r="1366" spans="1:12" x14ac:dyDescent="0.3">
      <c r="A1366">
        <v>1029</v>
      </c>
      <c r="B1366" t="s">
        <v>15</v>
      </c>
      <c r="C1366" s="1">
        <v>45882</v>
      </c>
      <c r="D1366" s="1" t="str">
        <f>TEXT(FMData[[#This Row],[Show_Date]],"mmm")</f>
        <v>Aug</v>
      </c>
      <c r="E1366" s="1" t="str">
        <f>TEXT(FMData[[#This Row],[Show_Date]],"ddd")</f>
        <v>Wed</v>
      </c>
      <c r="F1366" t="s">
        <v>11</v>
      </c>
      <c r="G1366" t="s">
        <v>30</v>
      </c>
      <c r="H1366">
        <v>1</v>
      </c>
      <c r="I1366">
        <v>8</v>
      </c>
      <c r="J1366" t="s">
        <v>13</v>
      </c>
      <c r="K1366" t="s">
        <v>27</v>
      </c>
      <c r="L1366">
        <v>8</v>
      </c>
    </row>
    <row r="1367" spans="1:12" x14ac:dyDescent="0.3">
      <c r="A1367">
        <v>1844</v>
      </c>
      <c r="B1367" t="s">
        <v>32</v>
      </c>
      <c r="C1367" s="1">
        <v>45850</v>
      </c>
      <c r="D1367" s="1" t="str">
        <f>TEXT(FMData[[#This Row],[Show_Date]],"mmm")</f>
        <v>Jul</v>
      </c>
      <c r="E1367" s="1" t="str">
        <f>TEXT(FMData[[#This Row],[Show_Date]],"ddd")</f>
        <v>Sat</v>
      </c>
      <c r="F1367" t="s">
        <v>20</v>
      </c>
      <c r="G1367" t="s">
        <v>17</v>
      </c>
      <c r="H1367">
        <v>4</v>
      </c>
      <c r="I1367">
        <v>12</v>
      </c>
      <c r="J1367" t="s">
        <v>23</v>
      </c>
      <c r="K1367" t="s">
        <v>14</v>
      </c>
      <c r="L1367">
        <v>48</v>
      </c>
    </row>
    <row r="1368" spans="1:12" x14ac:dyDescent="0.3">
      <c r="A1368">
        <v>1904</v>
      </c>
      <c r="B1368" t="s">
        <v>15</v>
      </c>
      <c r="C1368" s="1">
        <v>45874</v>
      </c>
      <c r="D1368" s="1" t="str">
        <f>TEXT(FMData[[#This Row],[Show_Date]],"mmm")</f>
        <v>Aug</v>
      </c>
      <c r="E1368" s="1" t="str">
        <f>TEXT(FMData[[#This Row],[Show_Date]],"ddd")</f>
        <v>Tue</v>
      </c>
      <c r="F1368" t="s">
        <v>33</v>
      </c>
      <c r="G1368" t="s">
        <v>17</v>
      </c>
      <c r="H1368">
        <v>3</v>
      </c>
      <c r="I1368">
        <v>12</v>
      </c>
      <c r="J1368" t="s">
        <v>23</v>
      </c>
      <c r="K1368" t="s">
        <v>14</v>
      </c>
      <c r="L1368">
        <v>36</v>
      </c>
    </row>
    <row r="1369" spans="1:12" x14ac:dyDescent="0.3">
      <c r="A1369">
        <v>137</v>
      </c>
      <c r="B1369" t="s">
        <v>24</v>
      </c>
      <c r="C1369" s="1">
        <v>45844</v>
      </c>
      <c r="D1369" s="1" t="str">
        <f>TEXT(FMData[[#This Row],[Show_Date]],"mmm")</f>
        <v>Jul</v>
      </c>
      <c r="E1369" s="1" t="str">
        <f>TEXT(FMData[[#This Row],[Show_Date]],"ddd")</f>
        <v>Sun</v>
      </c>
      <c r="F1369" t="s">
        <v>20</v>
      </c>
      <c r="G1369" t="s">
        <v>17</v>
      </c>
      <c r="H1369">
        <v>3</v>
      </c>
      <c r="I1369">
        <v>12</v>
      </c>
      <c r="J1369" t="s">
        <v>13</v>
      </c>
      <c r="K1369" t="s">
        <v>14</v>
      </c>
      <c r="L1369">
        <v>36</v>
      </c>
    </row>
    <row r="1370" spans="1:12" x14ac:dyDescent="0.3">
      <c r="A1370">
        <v>1202</v>
      </c>
      <c r="B1370" t="s">
        <v>26</v>
      </c>
      <c r="C1370" s="1">
        <v>45844</v>
      </c>
      <c r="D1370" s="1" t="str">
        <f>TEXT(FMData[[#This Row],[Show_Date]],"mmm")</f>
        <v>Jul</v>
      </c>
      <c r="E1370" s="1" t="str">
        <f>TEXT(FMData[[#This Row],[Show_Date]],"ddd")</f>
        <v>Sun</v>
      </c>
      <c r="F1370" t="s">
        <v>33</v>
      </c>
      <c r="G1370" t="s">
        <v>12</v>
      </c>
      <c r="H1370">
        <v>4</v>
      </c>
      <c r="I1370">
        <v>25</v>
      </c>
      <c r="J1370" t="s">
        <v>13</v>
      </c>
      <c r="K1370" t="s">
        <v>27</v>
      </c>
      <c r="L1370">
        <v>100</v>
      </c>
    </row>
    <row r="1371" spans="1:12" x14ac:dyDescent="0.3">
      <c r="A1371">
        <v>680</v>
      </c>
      <c r="B1371" t="s">
        <v>26</v>
      </c>
      <c r="C1371" s="1">
        <v>45865</v>
      </c>
      <c r="D1371" s="1" t="str">
        <f>TEXT(FMData[[#This Row],[Show_Date]],"mmm")</f>
        <v>Jul</v>
      </c>
      <c r="E1371" s="1" t="str">
        <f>TEXT(FMData[[#This Row],[Show_Date]],"ddd")</f>
        <v>Sun</v>
      </c>
      <c r="F1371" t="s">
        <v>11</v>
      </c>
      <c r="G1371" t="s">
        <v>12</v>
      </c>
      <c r="H1371">
        <v>5</v>
      </c>
      <c r="I1371">
        <v>25</v>
      </c>
      <c r="J1371" t="s">
        <v>13</v>
      </c>
      <c r="K1371" t="s">
        <v>18</v>
      </c>
      <c r="L1371">
        <v>125</v>
      </c>
    </row>
    <row r="1372" spans="1:12" x14ac:dyDescent="0.3">
      <c r="A1372">
        <v>867</v>
      </c>
      <c r="B1372" t="s">
        <v>15</v>
      </c>
      <c r="C1372" s="1">
        <v>45907</v>
      </c>
      <c r="D1372" s="1" t="str">
        <f>TEXT(FMData[[#This Row],[Show_Date]],"mmm")</f>
        <v>Sep</v>
      </c>
      <c r="E1372" s="1" t="str">
        <f>TEXT(FMData[[#This Row],[Show_Date]],"ddd")</f>
        <v>Sun</v>
      </c>
      <c r="F1372" t="s">
        <v>16</v>
      </c>
      <c r="G1372" t="s">
        <v>12</v>
      </c>
      <c r="H1372">
        <v>1</v>
      </c>
      <c r="I1372">
        <v>25</v>
      </c>
      <c r="J1372" t="s">
        <v>21</v>
      </c>
      <c r="K1372" t="s">
        <v>14</v>
      </c>
      <c r="L1372">
        <v>25</v>
      </c>
    </row>
    <row r="1373" spans="1:12" x14ac:dyDescent="0.3">
      <c r="A1373">
        <v>140</v>
      </c>
      <c r="B1373" t="s">
        <v>24</v>
      </c>
      <c r="C1373" s="1">
        <v>45914</v>
      </c>
      <c r="D1373" s="1" t="str">
        <f>TEXT(FMData[[#This Row],[Show_Date]],"mmm")</f>
        <v>Sep</v>
      </c>
      <c r="E1373" s="1" t="str">
        <f>TEXT(FMData[[#This Row],[Show_Date]],"ddd")</f>
        <v>Sun</v>
      </c>
      <c r="F1373" t="s">
        <v>20</v>
      </c>
      <c r="G1373" t="s">
        <v>22</v>
      </c>
      <c r="H1373">
        <v>3</v>
      </c>
      <c r="I1373">
        <v>20</v>
      </c>
      <c r="J1373" t="s">
        <v>13</v>
      </c>
      <c r="K1373" t="s">
        <v>25</v>
      </c>
      <c r="L1373">
        <v>60</v>
      </c>
    </row>
    <row r="1374" spans="1:12" x14ac:dyDescent="0.3">
      <c r="A1374">
        <v>37</v>
      </c>
      <c r="B1374" t="s">
        <v>31</v>
      </c>
      <c r="C1374" s="1">
        <v>45900</v>
      </c>
      <c r="D1374" s="1" t="str">
        <f>TEXT(FMData[[#This Row],[Show_Date]],"mmm")</f>
        <v>Aug</v>
      </c>
      <c r="E1374" s="1" t="str">
        <f>TEXT(FMData[[#This Row],[Show_Date]],"ddd")</f>
        <v>Sun</v>
      </c>
      <c r="F1374" t="s">
        <v>20</v>
      </c>
      <c r="G1374" t="s">
        <v>17</v>
      </c>
      <c r="H1374">
        <v>5</v>
      </c>
      <c r="I1374">
        <v>12</v>
      </c>
      <c r="J1374" t="s">
        <v>21</v>
      </c>
      <c r="K1374" t="s">
        <v>27</v>
      </c>
      <c r="L1374">
        <v>60</v>
      </c>
    </row>
    <row r="1375" spans="1:12" x14ac:dyDescent="0.3">
      <c r="A1375">
        <v>1444</v>
      </c>
      <c r="B1375" t="s">
        <v>32</v>
      </c>
      <c r="C1375" s="1">
        <v>45867</v>
      </c>
      <c r="D1375" s="1" t="str">
        <f>TEXT(FMData[[#This Row],[Show_Date]],"mmm")</f>
        <v>Jul</v>
      </c>
      <c r="E1375" s="1" t="str">
        <f>TEXT(FMData[[#This Row],[Show_Date]],"ddd")</f>
        <v>Tue</v>
      </c>
      <c r="F1375" t="s">
        <v>16</v>
      </c>
      <c r="G1375" t="s">
        <v>29</v>
      </c>
      <c r="H1375">
        <v>3</v>
      </c>
      <c r="I1375">
        <v>30</v>
      </c>
      <c r="J1375" t="s">
        <v>13</v>
      </c>
      <c r="K1375" t="s">
        <v>14</v>
      </c>
      <c r="L1375">
        <v>90</v>
      </c>
    </row>
    <row r="1376" spans="1:12" x14ac:dyDescent="0.3">
      <c r="A1376">
        <v>92</v>
      </c>
      <c r="B1376" t="s">
        <v>31</v>
      </c>
      <c r="C1376" s="1">
        <v>45890</v>
      </c>
      <c r="D1376" s="1" t="str">
        <f>TEXT(FMData[[#This Row],[Show_Date]],"mmm")</f>
        <v>Aug</v>
      </c>
      <c r="E1376" s="1" t="str">
        <f>TEXT(FMData[[#This Row],[Show_Date]],"ddd")</f>
        <v>Thu</v>
      </c>
      <c r="F1376" t="s">
        <v>16</v>
      </c>
      <c r="G1376" t="s">
        <v>29</v>
      </c>
      <c r="H1376">
        <v>3</v>
      </c>
      <c r="I1376">
        <v>30</v>
      </c>
      <c r="J1376" t="s">
        <v>23</v>
      </c>
      <c r="K1376" t="s">
        <v>27</v>
      </c>
      <c r="L1376">
        <v>90</v>
      </c>
    </row>
    <row r="1377" spans="1:12" x14ac:dyDescent="0.3">
      <c r="A1377">
        <v>1945</v>
      </c>
      <c r="B1377" t="s">
        <v>15</v>
      </c>
      <c r="C1377" s="1">
        <v>45919</v>
      </c>
      <c r="D1377" s="1" t="str">
        <f>TEXT(FMData[[#This Row],[Show_Date]],"mmm")</f>
        <v>Sep</v>
      </c>
      <c r="E1377" s="1" t="str">
        <f>TEXT(FMData[[#This Row],[Show_Date]],"ddd")</f>
        <v>Fri</v>
      </c>
      <c r="F1377" t="s">
        <v>33</v>
      </c>
      <c r="G1377" t="s">
        <v>17</v>
      </c>
      <c r="H1377">
        <v>2</v>
      </c>
      <c r="I1377">
        <v>12</v>
      </c>
      <c r="J1377" t="s">
        <v>23</v>
      </c>
      <c r="K1377" t="s">
        <v>18</v>
      </c>
      <c r="L1377">
        <v>24</v>
      </c>
    </row>
    <row r="1378" spans="1:12" x14ac:dyDescent="0.3">
      <c r="A1378">
        <v>1109</v>
      </c>
      <c r="B1378" t="s">
        <v>10</v>
      </c>
      <c r="C1378" s="1">
        <v>45843</v>
      </c>
      <c r="D1378" s="1" t="str">
        <f>TEXT(FMData[[#This Row],[Show_Date]],"mmm")</f>
        <v>Jul</v>
      </c>
      <c r="E1378" s="1" t="str">
        <f>TEXT(FMData[[#This Row],[Show_Date]],"ddd")</f>
        <v>Sat</v>
      </c>
      <c r="F1378" t="s">
        <v>33</v>
      </c>
      <c r="G1378" t="s">
        <v>12</v>
      </c>
      <c r="H1378">
        <v>1</v>
      </c>
      <c r="I1378">
        <v>25</v>
      </c>
      <c r="J1378" t="s">
        <v>23</v>
      </c>
      <c r="K1378" t="s">
        <v>18</v>
      </c>
      <c r="L1378">
        <v>25</v>
      </c>
    </row>
    <row r="1379" spans="1:12" x14ac:dyDescent="0.3">
      <c r="A1379">
        <v>1903</v>
      </c>
      <c r="B1379" t="s">
        <v>24</v>
      </c>
      <c r="C1379" s="1">
        <v>45873</v>
      </c>
      <c r="D1379" s="1" t="str">
        <f>TEXT(FMData[[#This Row],[Show_Date]],"mmm")</f>
        <v>Aug</v>
      </c>
      <c r="E1379" s="1" t="str">
        <f>TEXT(FMData[[#This Row],[Show_Date]],"ddd")</f>
        <v>Mon</v>
      </c>
      <c r="F1379" t="s">
        <v>16</v>
      </c>
      <c r="G1379" t="s">
        <v>29</v>
      </c>
      <c r="H1379">
        <v>5</v>
      </c>
      <c r="I1379">
        <v>30</v>
      </c>
      <c r="J1379" t="s">
        <v>21</v>
      </c>
      <c r="K1379" t="s">
        <v>25</v>
      </c>
      <c r="L1379">
        <v>150</v>
      </c>
    </row>
    <row r="1380" spans="1:12" x14ac:dyDescent="0.3">
      <c r="A1380">
        <v>1954</v>
      </c>
      <c r="B1380" t="s">
        <v>31</v>
      </c>
      <c r="C1380" s="1">
        <v>45913</v>
      </c>
      <c r="D1380" s="1" t="str">
        <f>TEXT(FMData[[#This Row],[Show_Date]],"mmm")</f>
        <v>Sep</v>
      </c>
      <c r="E1380" s="1" t="str">
        <f>TEXT(FMData[[#This Row],[Show_Date]],"ddd")</f>
        <v>Sat</v>
      </c>
      <c r="F1380" t="s">
        <v>11</v>
      </c>
      <c r="G1380" t="s">
        <v>17</v>
      </c>
      <c r="H1380">
        <v>1</v>
      </c>
      <c r="I1380">
        <v>12</v>
      </c>
      <c r="J1380" t="s">
        <v>23</v>
      </c>
      <c r="K1380" t="s">
        <v>14</v>
      </c>
      <c r="L1380">
        <v>12</v>
      </c>
    </row>
    <row r="1381" spans="1:12" x14ac:dyDescent="0.3">
      <c r="A1381">
        <v>1834</v>
      </c>
      <c r="B1381" t="s">
        <v>32</v>
      </c>
      <c r="C1381" s="1">
        <v>45881</v>
      </c>
      <c r="D1381" s="1" t="str">
        <f>TEXT(FMData[[#This Row],[Show_Date]],"mmm")</f>
        <v>Aug</v>
      </c>
      <c r="E1381" s="1" t="str">
        <f>TEXT(FMData[[#This Row],[Show_Date]],"ddd")</f>
        <v>Tue</v>
      </c>
      <c r="F1381" t="s">
        <v>20</v>
      </c>
      <c r="G1381" t="s">
        <v>17</v>
      </c>
      <c r="H1381">
        <v>1</v>
      </c>
      <c r="I1381">
        <v>12</v>
      </c>
      <c r="J1381" t="s">
        <v>23</v>
      </c>
      <c r="K1381" t="s">
        <v>25</v>
      </c>
      <c r="L1381">
        <v>12</v>
      </c>
    </row>
    <row r="1382" spans="1:12" x14ac:dyDescent="0.3">
      <c r="A1382">
        <v>1988</v>
      </c>
      <c r="B1382" t="s">
        <v>31</v>
      </c>
      <c r="C1382" s="1">
        <v>45888</v>
      </c>
      <c r="D1382" s="1" t="str">
        <f>TEXT(FMData[[#This Row],[Show_Date]],"mmm")</f>
        <v>Aug</v>
      </c>
      <c r="E1382" s="1" t="str">
        <f>TEXT(FMData[[#This Row],[Show_Date]],"ddd")</f>
        <v>Tue</v>
      </c>
      <c r="F1382" t="s">
        <v>33</v>
      </c>
      <c r="G1382" t="s">
        <v>17</v>
      </c>
      <c r="H1382">
        <v>4</v>
      </c>
      <c r="I1382">
        <v>12</v>
      </c>
      <c r="J1382" t="s">
        <v>21</v>
      </c>
      <c r="K1382" t="s">
        <v>27</v>
      </c>
      <c r="L1382">
        <v>48</v>
      </c>
    </row>
    <row r="1383" spans="1:12" x14ac:dyDescent="0.3">
      <c r="A1383">
        <v>626</v>
      </c>
      <c r="B1383" t="s">
        <v>26</v>
      </c>
      <c r="C1383" s="1">
        <v>45910</v>
      </c>
      <c r="D1383" s="1" t="str">
        <f>TEXT(FMData[[#This Row],[Show_Date]],"mmm")</f>
        <v>Sep</v>
      </c>
      <c r="E1383" s="1" t="str">
        <f>TEXT(FMData[[#This Row],[Show_Date]],"ddd")</f>
        <v>Wed</v>
      </c>
      <c r="F1383" t="s">
        <v>20</v>
      </c>
      <c r="G1383" t="s">
        <v>29</v>
      </c>
      <c r="H1383">
        <v>5</v>
      </c>
      <c r="I1383">
        <v>30</v>
      </c>
      <c r="J1383" t="s">
        <v>13</v>
      </c>
      <c r="K1383" t="s">
        <v>27</v>
      </c>
      <c r="L1383">
        <v>150</v>
      </c>
    </row>
    <row r="1384" spans="1:12" x14ac:dyDescent="0.3">
      <c r="A1384">
        <v>1590</v>
      </c>
      <c r="B1384" t="s">
        <v>19</v>
      </c>
      <c r="C1384" s="1">
        <v>45886</v>
      </c>
      <c r="D1384" s="1" t="str">
        <f>TEXT(FMData[[#This Row],[Show_Date]],"mmm")</f>
        <v>Aug</v>
      </c>
      <c r="E1384" s="1" t="str">
        <f>TEXT(FMData[[#This Row],[Show_Date]],"ddd")</f>
        <v>Sun</v>
      </c>
      <c r="F1384" t="s">
        <v>16</v>
      </c>
      <c r="G1384" t="s">
        <v>17</v>
      </c>
      <c r="H1384">
        <v>5</v>
      </c>
      <c r="I1384">
        <v>12</v>
      </c>
      <c r="J1384" t="s">
        <v>21</v>
      </c>
      <c r="K1384" t="s">
        <v>14</v>
      </c>
      <c r="L1384">
        <v>60</v>
      </c>
    </row>
    <row r="1385" spans="1:12" x14ac:dyDescent="0.3">
      <c r="A1385">
        <v>1043</v>
      </c>
      <c r="B1385" t="s">
        <v>28</v>
      </c>
      <c r="C1385" s="1">
        <v>45846</v>
      </c>
      <c r="D1385" s="1" t="str">
        <f>TEXT(FMData[[#This Row],[Show_Date]],"mmm")</f>
        <v>Jul</v>
      </c>
      <c r="E1385" s="1" t="str">
        <f>TEXT(FMData[[#This Row],[Show_Date]],"ddd")</f>
        <v>Tue</v>
      </c>
      <c r="F1385" t="s">
        <v>33</v>
      </c>
      <c r="G1385" t="s">
        <v>17</v>
      </c>
      <c r="H1385">
        <v>4</v>
      </c>
      <c r="I1385">
        <v>12</v>
      </c>
      <c r="J1385" t="s">
        <v>23</v>
      </c>
      <c r="K1385" t="s">
        <v>27</v>
      </c>
      <c r="L1385">
        <v>48</v>
      </c>
    </row>
    <row r="1386" spans="1:12" x14ac:dyDescent="0.3">
      <c r="A1386">
        <v>1687</v>
      </c>
      <c r="B1386" t="s">
        <v>31</v>
      </c>
      <c r="C1386" s="1">
        <v>45926</v>
      </c>
      <c r="D1386" s="1" t="str">
        <f>TEXT(FMData[[#This Row],[Show_Date]],"mmm")</f>
        <v>Sep</v>
      </c>
      <c r="E1386" s="1" t="str">
        <f>TEXT(FMData[[#This Row],[Show_Date]],"ddd")</f>
        <v>Fri</v>
      </c>
      <c r="F1386" t="s">
        <v>33</v>
      </c>
      <c r="G1386" t="s">
        <v>29</v>
      </c>
      <c r="H1386">
        <v>1</v>
      </c>
      <c r="I1386">
        <v>30</v>
      </c>
      <c r="J1386" t="s">
        <v>23</v>
      </c>
      <c r="K1386" t="s">
        <v>18</v>
      </c>
      <c r="L1386">
        <v>30</v>
      </c>
    </row>
    <row r="1387" spans="1:12" x14ac:dyDescent="0.3">
      <c r="A1387">
        <v>984</v>
      </c>
      <c r="B1387" t="s">
        <v>15</v>
      </c>
      <c r="C1387" s="1">
        <v>45879</v>
      </c>
      <c r="D1387" s="1" t="str">
        <f>TEXT(FMData[[#This Row],[Show_Date]],"mmm")</f>
        <v>Aug</v>
      </c>
      <c r="E1387" s="1" t="str">
        <f>TEXT(FMData[[#This Row],[Show_Date]],"ddd")</f>
        <v>Sun</v>
      </c>
      <c r="F1387" t="s">
        <v>11</v>
      </c>
      <c r="G1387" t="s">
        <v>22</v>
      </c>
      <c r="H1387">
        <v>2</v>
      </c>
      <c r="I1387">
        <v>20</v>
      </c>
      <c r="J1387" t="s">
        <v>13</v>
      </c>
      <c r="K1387" t="s">
        <v>25</v>
      </c>
      <c r="L1387">
        <v>40</v>
      </c>
    </row>
    <row r="1388" spans="1:12" x14ac:dyDescent="0.3">
      <c r="A1388">
        <v>941</v>
      </c>
      <c r="B1388" t="s">
        <v>31</v>
      </c>
      <c r="C1388" s="1">
        <v>45851</v>
      </c>
      <c r="D1388" s="1" t="str">
        <f>TEXT(FMData[[#This Row],[Show_Date]],"mmm")</f>
        <v>Jul</v>
      </c>
      <c r="E1388" s="1" t="str">
        <f>TEXT(FMData[[#This Row],[Show_Date]],"ddd")</f>
        <v>Sun</v>
      </c>
      <c r="F1388" t="s">
        <v>33</v>
      </c>
      <c r="G1388" t="s">
        <v>17</v>
      </c>
      <c r="H1388">
        <v>3</v>
      </c>
      <c r="I1388">
        <v>12</v>
      </c>
      <c r="J1388" t="s">
        <v>21</v>
      </c>
      <c r="K1388" t="s">
        <v>27</v>
      </c>
      <c r="L1388">
        <v>36</v>
      </c>
    </row>
    <row r="1389" spans="1:12" x14ac:dyDescent="0.3">
      <c r="A1389">
        <v>930</v>
      </c>
      <c r="B1389" t="s">
        <v>24</v>
      </c>
      <c r="C1389" s="1">
        <v>45904</v>
      </c>
      <c r="D1389" s="1" t="str">
        <f>TEXT(FMData[[#This Row],[Show_Date]],"mmm")</f>
        <v>Sep</v>
      </c>
      <c r="E1389" s="1" t="str">
        <f>TEXT(FMData[[#This Row],[Show_Date]],"ddd")</f>
        <v>Thu</v>
      </c>
      <c r="F1389" t="s">
        <v>16</v>
      </c>
      <c r="G1389" t="s">
        <v>17</v>
      </c>
      <c r="H1389">
        <v>1</v>
      </c>
      <c r="I1389">
        <v>12</v>
      </c>
      <c r="J1389" t="s">
        <v>23</v>
      </c>
      <c r="K1389" t="s">
        <v>18</v>
      </c>
      <c r="L1389">
        <v>12</v>
      </c>
    </row>
    <row r="1390" spans="1:12" x14ac:dyDescent="0.3">
      <c r="A1390">
        <v>353</v>
      </c>
      <c r="B1390" t="s">
        <v>24</v>
      </c>
      <c r="C1390" s="1">
        <v>45879</v>
      </c>
      <c r="D1390" s="1" t="str">
        <f>TEXT(FMData[[#This Row],[Show_Date]],"mmm")</f>
        <v>Aug</v>
      </c>
      <c r="E1390" s="1" t="str">
        <f>TEXT(FMData[[#This Row],[Show_Date]],"ddd")</f>
        <v>Sun</v>
      </c>
      <c r="F1390" t="s">
        <v>11</v>
      </c>
      <c r="G1390" t="s">
        <v>12</v>
      </c>
      <c r="H1390">
        <v>4</v>
      </c>
      <c r="I1390">
        <v>25</v>
      </c>
      <c r="J1390" t="s">
        <v>21</v>
      </c>
      <c r="K1390" t="s">
        <v>27</v>
      </c>
      <c r="L1390">
        <v>100</v>
      </c>
    </row>
    <row r="1391" spans="1:12" x14ac:dyDescent="0.3">
      <c r="A1391">
        <v>649</v>
      </c>
      <c r="B1391" t="s">
        <v>19</v>
      </c>
      <c r="C1391" s="1">
        <v>45875</v>
      </c>
      <c r="D1391" s="1" t="str">
        <f>TEXT(FMData[[#This Row],[Show_Date]],"mmm")</f>
        <v>Aug</v>
      </c>
      <c r="E1391" s="1" t="str">
        <f>TEXT(FMData[[#This Row],[Show_Date]],"ddd")</f>
        <v>Wed</v>
      </c>
      <c r="F1391" t="s">
        <v>11</v>
      </c>
      <c r="G1391" t="s">
        <v>17</v>
      </c>
      <c r="H1391">
        <v>1</v>
      </c>
      <c r="I1391">
        <v>12</v>
      </c>
      <c r="J1391" t="s">
        <v>23</v>
      </c>
      <c r="K1391" t="s">
        <v>25</v>
      </c>
      <c r="L1391">
        <v>12</v>
      </c>
    </row>
    <row r="1392" spans="1:12" x14ac:dyDescent="0.3">
      <c r="A1392">
        <v>785</v>
      </c>
      <c r="B1392" t="s">
        <v>26</v>
      </c>
      <c r="C1392" s="1">
        <v>45863</v>
      </c>
      <c r="D1392" s="1" t="str">
        <f>TEXT(FMData[[#This Row],[Show_Date]],"mmm")</f>
        <v>Jul</v>
      </c>
      <c r="E1392" s="1" t="str">
        <f>TEXT(FMData[[#This Row],[Show_Date]],"ddd")</f>
        <v>Fri</v>
      </c>
      <c r="F1392" t="s">
        <v>20</v>
      </c>
      <c r="G1392" t="s">
        <v>22</v>
      </c>
      <c r="H1392">
        <v>2</v>
      </c>
      <c r="I1392">
        <v>20</v>
      </c>
      <c r="J1392" t="s">
        <v>21</v>
      </c>
      <c r="K1392" t="s">
        <v>25</v>
      </c>
      <c r="L1392">
        <v>40</v>
      </c>
    </row>
    <row r="1393" spans="1:12" x14ac:dyDescent="0.3">
      <c r="A1393">
        <v>1900</v>
      </c>
      <c r="B1393" t="s">
        <v>26</v>
      </c>
      <c r="C1393" s="1">
        <v>45868</v>
      </c>
      <c r="D1393" s="1" t="str">
        <f>TEXT(FMData[[#This Row],[Show_Date]],"mmm")</f>
        <v>Jul</v>
      </c>
      <c r="E1393" s="1" t="str">
        <f>TEXT(FMData[[#This Row],[Show_Date]],"ddd")</f>
        <v>Wed</v>
      </c>
      <c r="F1393" t="s">
        <v>33</v>
      </c>
      <c r="G1393" t="s">
        <v>22</v>
      </c>
      <c r="H1393">
        <v>1</v>
      </c>
      <c r="I1393">
        <v>20</v>
      </c>
      <c r="J1393" t="s">
        <v>21</v>
      </c>
      <c r="K1393" t="s">
        <v>18</v>
      </c>
      <c r="L1393">
        <v>20</v>
      </c>
    </row>
    <row r="1394" spans="1:12" x14ac:dyDescent="0.3">
      <c r="A1394">
        <v>1618</v>
      </c>
      <c r="B1394" t="s">
        <v>24</v>
      </c>
      <c r="C1394" s="1">
        <v>45885</v>
      </c>
      <c r="D1394" s="1" t="str">
        <f>TEXT(FMData[[#This Row],[Show_Date]],"mmm")</f>
        <v>Aug</v>
      </c>
      <c r="E1394" s="1" t="str">
        <f>TEXT(FMData[[#This Row],[Show_Date]],"ddd")</f>
        <v>Sat</v>
      </c>
      <c r="F1394" t="s">
        <v>20</v>
      </c>
      <c r="G1394" t="s">
        <v>22</v>
      </c>
      <c r="H1394">
        <v>1</v>
      </c>
      <c r="I1394">
        <v>20</v>
      </c>
      <c r="J1394" t="s">
        <v>21</v>
      </c>
      <c r="K1394" t="s">
        <v>27</v>
      </c>
      <c r="L1394">
        <v>20</v>
      </c>
    </row>
    <row r="1395" spans="1:12" x14ac:dyDescent="0.3">
      <c r="A1395">
        <v>330</v>
      </c>
      <c r="B1395" t="s">
        <v>19</v>
      </c>
      <c r="C1395" s="1">
        <v>45920</v>
      </c>
      <c r="D1395" s="1" t="str">
        <f>TEXT(FMData[[#This Row],[Show_Date]],"mmm")</f>
        <v>Sep</v>
      </c>
      <c r="E1395" s="1" t="str">
        <f>TEXT(FMData[[#This Row],[Show_Date]],"ddd")</f>
        <v>Sat</v>
      </c>
      <c r="F1395" t="s">
        <v>20</v>
      </c>
      <c r="G1395" t="s">
        <v>17</v>
      </c>
      <c r="H1395">
        <v>5</v>
      </c>
      <c r="I1395">
        <v>12</v>
      </c>
      <c r="J1395" t="s">
        <v>23</v>
      </c>
      <c r="K1395" t="s">
        <v>14</v>
      </c>
      <c r="L1395">
        <v>60</v>
      </c>
    </row>
    <row r="1396" spans="1:12" x14ac:dyDescent="0.3">
      <c r="A1396">
        <v>688</v>
      </c>
      <c r="B1396" t="s">
        <v>15</v>
      </c>
      <c r="C1396" s="1">
        <v>45872</v>
      </c>
      <c r="D1396" s="1" t="str">
        <f>TEXT(FMData[[#This Row],[Show_Date]],"mmm")</f>
        <v>Aug</v>
      </c>
      <c r="E1396" s="1" t="str">
        <f>TEXT(FMData[[#This Row],[Show_Date]],"ddd")</f>
        <v>Sun</v>
      </c>
      <c r="F1396" t="s">
        <v>20</v>
      </c>
      <c r="G1396" t="s">
        <v>17</v>
      </c>
      <c r="H1396">
        <v>4</v>
      </c>
      <c r="I1396">
        <v>12</v>
      </c>
      <c r="J1396" t="s">
        <v>23</v>
      </c>
      <c r="K1396" t="s">
        <v>27</v>
      </c>
      <c r="L1396">
        <v>48</v>
      </c>
    </row>
    <row r="1397" spans="1:12" x14ac:dyDescent="0.3">
      <c r="A1397">
        <v>868</v>
      </c>
      <c r="B1397" t="s">
        <v>10</v>
      </c>
      <c r="C1397" s="1">
        <v>45871</v>
      </c>
      <c r="D1397" s="1" t="str">
        <f>TEXT(FMData[[#This Row],[Show_Date]],"mmm")</f>
        <v>Aug</v>
      </c>
      <c r="E1397" s="1" t="str">
        <f>TEXT(FMData[[#This Row],[Show_Date]],"ddd")</f>
        <v>Sat</v>
      </c>
      <c r="F1397" t="s">
        <v>20</v>
      </c>
      <c r="G1397" t="s">
        <v>30</v>
      </c>
      <c r="H1397">
        <v>3</v>
      </c>
      <c r="I1397">
        <v>8</v>
      </c>
      <c r="J1397" t="s">
        <v>13</v>
      </c>
      <c r="K1397" t="s">
        <v>25</v>
      </c>
      <c r="L1397">
        <v>24</v>
      </c>
    </row>
    <row r="1398" spans="1:12" x14ac:dyDescent="0.3">
      <c r="A1398">
        <v>841</v>
      </c>
      <c r="B1398" t="s">
        <v>28</v>
      </c>
      <c r="C1398" s="1">
        <v>45878</v>
      </c>
      <c r="D1398" s="1" t="str">
        <f>TEXT(FMData[[#This Row],[Show_Date]],"mmm")</f>
        <v>Aug</v>
      </c>
      <c r="E1398" s="1" t="str">
        <f>TEXT(FMData[[#This Row],[Show_Date]],"ddd")</f>
        <v>Sat</v>
      </c>
      <c r="F1398" t="s">
        <v>33</v>
      </c>
      <c r="G1398" t="s">
        <v>17</v>
      </c>
      <c r="H1398">
        <v>1</v>
      </c>
      <c r="I1398">
        <v>12</v>
      </c>
      <c r="J1398" t="s">
        <v>21</v>
      </c>
      <c r="K1398" t="s">
        <v>18</v>
      </c>
      <c r="L1398">
        <v>12</v>
      </c>
    </row>
    <row r="1399" spans="1:12" x14ac:dyDescent="0.3">
      <c r="A1399">
        <v>1529</v>
      </c>
      <c r="B1399" t="s">
        <v>10</v>
      </c>
      <c r="C1399" s="1">
        <v>45923</v>
      </c>
      <c r="D1399" s="1" t="str">
        <f>TEXT(FMData[[#This Row],[Show_Date]],"mmm")</f>
        <v>Sep</v>
      </c>
      <c r="E1399" s="1" t="str">
        <f>TEXT(FMData[[#This Row],[Show_Date]],"ddd")</f>
        <v>Tue</v>
      </c>
      <c r="F1399" t="s">
        <v>16</v>
      </c>
      <c r="G1399" t="s">
        <v>29</v>
      </c>
      <c r="H1399">
        <v>4</v>
      </c>
      <c r="I1399">
        <v>30</v>
      </c>
      <c r="J1399" t="s">
        <v>13</v>
      </c>
      <c r="K1399" t="s">
        <v>14</v>
      </c>
      <c r="L1399">
        <v>120</v>
      </c>
    </row>
    <row r="1400" spans="1:12" x14ac:dyDescent="0.3">
      <c r="A1400">
        <v>1785</v>
      </c>
      <c r="B1400" t="s">
        <v>32</v>
      </c>
      <c r="C1400" s="1">
        <v>45876</v>
      </c>
      <c r="D1400" s="1" t="str">
        <f>TEXT(FMData[[#This Row],[Show_Date]],"mmm")</f>
        <v>Aug</v>
      </c>
      <c r="E1400" s="1" t="str">
        <f>TEXT(FMData[[#This Row],[Show_Date]],"ddd")</f>
        <v>Thu</v>
      </c>
      <c r="F1400" t="s">
        <v>20</v>
      </c>
      <c r="G1400" t="s">
        <v>22</v>
      </c>
      <c r="H1400">
        <v>2</v>
      </c>
      <c r="I1400">
        <v>20</v>
      </c>
      <c r="J1400" t="s">
        <v>21</v>
      </c>
      <c r="K1400" t="s">
        <v>14</v>
      </c>
      <c r="L1400">
        <v>40</v>
      </c>
    </row>
    <row r="1401" spans="1:12" x14ac:dyDescent="0.3">
      <c r="A1401">
        <v>1053</v>
      </c>
      <c r="B1401" t="s">
        <v>32</v>
      </c>
      <c r="C1401" s="1">
        <v>45909</v>
      </c>
      <c r="D1401" s="1" t="str">
        <f>TEXT(FMData[[#This Row],[Show_Date]],"mmm")</f>
        <v>Sep</v>
      </c>
      <c r="E1401" s="1" t="str">
        <f>TEXT(FMData[[#This Row],[Show_Date]],"ddd")</f>
        <v>Tue</v>
      </c>
      <c r="F1401" t="s">
        <v>16</v>
      </c>
      <c r="G1401" t="s">
        <v>17</v>
      </c>
      <c r="H1401">
        <v>2</v>
      </c>
      <c r="I1401">
        <v>12</v>
      </c>
      <c r="J1401" t="s">
        <v>23</v>
      </c>
      <c r="K1401" t="s">
        <v>27</v>
      </c>
      <c r="L1401">
        <v>24</v>
      </c>
    </row>
    <row r="1402" spans="1:12" x14ac:dyDescent="0.3">
      <c r="A1402">
        <v>1358</v>
      </c>
      <c r="B1402" t="s">
        <v>32</v>
      </c>
      <c r="C1402" s="1">
        <v>45925</v>
      </c>
      <c r="D1402" s="1" t="str">
        <f>TEXT(FMData[[#This Row],[Show_Date]],"mmm")</f>
        <v>Sep</v>
      </c>
      <c r="E1402" s="1" t="str">
        <f>TEXT(FMData[[#This Row],[Show_Date]],"ddd")</f>
        <v>Thu</v>
      </c>
      <c r="F1402" t="s">
        <v>11</v>
      </c>
      <c r="G1402" t="s">
        <v>17</v>
      </c>
      <c r="H1402">
        <v>1</v>
      </c>
      <c r="I1402">
        <v>12</v>
      </c>
      <c r="J1402" t="s">
        <v>21</v>
      </c>
      <c r="K1402" t="s">
        <v>14</v>
      </c>
      <c r="L1402">
        <v>12</v>
      </c>
    </row>
    <row r="1403" spans="1:12" x14ac:dyDescent="0.3">
      <c r="A1403">
        <v>1206</v>
      </c>
      <c r="B1403" t="s">
        <v>10</v>
      </c>
      <c r="C1403" s="1">
        <v>45885</v>
      </c>
      <c r="D1403" s="1" t="str">
        <f>TEXT(FMData[[#This Row],[Show_Date]],"mmm")</f>
        <v>Aug</v>
      </c>
      <c r="E1403" s="1" t="str">
        <f>TEXT(FMData[[#This Row],[Show_Date]],"ddd")</f>
        <v>Sat</v>
      </c>
      <c r="F1403" t="s">
        <v>20</v>
      </c>
      <c r="G1403" t="s">
        <v>22</v>
      </c>
      <c r="H1403">
        <v>2</v>
      </c>
      <c r="I1403">
        <v>20</v>
      </c>
      <c r="J1403" t="s">
        <v>13</v>
      </c>
      <c r="K1403" t="s">
        <v>18</v>
      </c>
      <c r="L1403">
        <v>40</v>
      </c>
    </row>
    <row r="1404" spans="1:12" x14ac:dyDescent="0.3">
      <c r="A1404">
        <v>1351</v>
      </c>
      <c r="B1404" t="s">
        <v>31</v>
      </c>
      <c r="C1404" s="1">
        <v>45879</v>
      </c>
      <c r="D1404" s="1" t="str">
        <f>TEXT(FMData[[#This Row],[Show_Date]],"mmm")</f>
        <v>Aug</v>
      </c>
      <c r="E1404" s="1" t="str">
        <f>TEXT(FMData[[#This Row],[Show_Date]],"ddd")</f>
        <v>Sun</v>
      </c>
      <c r="F1404" t="s">
        <v>16</v>
      </c>
      <c r="G1404" t="s">
        <v>17</v>
      </c>
      <c r="H1404">
        <v>3</v>
      </c>
      <c r="I1404">
        <v>12</v>
      </c>
      <c r="J1404" t="s">
        <v>21</v>
      </c>
      <c r="K1404" t="s">
        <v>25</v>
      </c>
      <c r="L1404">
        <v>36</v>
      </c>
    </row>
    <row r="1405" spans="1:12" x14ac:dyDescent="0.3">
      <c r="A1405">
        <v>1257</v>
      </c>
      <c r="B1405" t="s">
        <v>10</v>
      </c>
      <c r="C1405" s="1">
        <v>45864</v>
      </c>
      <c r="D1405" s="1" t="str">
        <f>TEXT(FMData[[#This Row],[Show_Date]],"mmm")</f>
        <v>Jul</v>
      </c>
      <c r="E1405" s="1" t="str">
        <f>TEXT(FMData[[#This Row],[Show_Date]],"ddd")</f>
        <v>Sat</v>
      </c>
      <c r="F1405" t="s">
        <v>20</v>
      </c>
      <c r="G1405" t="s">
        <v>30</v>
      </c>
      <c r="H1405">
        <v>5</v>
      </c>
      <c r="I1405">
        <v>8</v>
      </c>
      <c r="J1405" t="s">
        <v>13</v>
      </c>
      <c r="K1405" t="s">
        <v>14</v>
      </c>
      <c r="L1405">
        <v>40</v>
      </c>
    </row>
    <row r="1406" spans="1:12" x14ac:dyDescent="0.3">
      <c r="A1406">
        <v>1328</v>
      </c>
      <c r="B1406" t="s">
        <v>15</v>
      </c>
      <c r="C1406" s="1">
        <v>45863</v>
      </c>
      <c r="D1406" s="1" t="str">
        <f>TEXT(FMData[[#This Row],[Show_Date]],"mmm")</f>
        <v>Jul</v>
      </c>
      <c r="E1406" s="1" t="str">
        <f>TEXT(FMData[[#This Row],[Show_Date]],"ddd")</f>
        <v>Fri</v>
      </c>
      <c r="F1406" t="s">
        <v>11</v>
      </c>
      <c r="G1406" t="s">
        <v>12</v>
      </c>
      <c r="H1406">
        <v>1</v>
      </c>
      <c r="I1406">
        <v>25</v>
      </c>
      <c r="J1406" t="s">
        <v>23</v>
      </c>
      <c r="K1406" t="s">
        <v>18</v>
      </c>
      <c r="L1406">
        <v>25</v>
      </c>
    </row>
    <row r="1407" spans="1:12" x14ac:dyDescent="0.3">
      <c r="A1407">
        <v>1381</v>
      </c>
      <c r="B1407" t="s">
        <v>10</v>
      </c>
      <c r="C1407" s="1">
        <v>45861</v>
      </c>
      <c r="D1407" s="1" t="str">
        <f>TEXT(FMData[[#This Row],[Show_Date]],"mmm")</f>
        <v>Jul</v>
      </c>
      <c r="E1407" s="1" t="str">
        <f>TEXT(FMData[[#This Row],[Show_Date]],"ddd")</f>
        <v>Wed</v>
      </c>
      <c r="F1407" t="s">
        <v>33</v>
      </c>
      <c r="G1407" t="s">
        <v>17</v>
      </c>
      <c r="H1407">
        <v>4</v>
      </c>
      <c r="I1407">
        <v>12</v>
      </c>
      <c r="J1407" t="s">
        <v>13</v>
      </c>
      <c r="K1407" t="s">
        <v>18</v>
      </c>
      <c r="L1407">
        <v>48</v>
      </c>
    </row>
    <row r="1408" spans="1:12" x14ac:dyDescent="0.3">
      <c r="A1408">
        <v>1965</v>
      </c>
      <c r="B1408" t="s">
        <v>15</v>
      </c>
      <c r="C1408" s="1">
        <v>45855</v>
      </c>
      <c r="D1408" s="1" t="str">
        <f>TEXT(FMData[[#This Row],[Show_Date]],"mmm")</f>
        <v>Jul</v>
      </c>
      <c r="E1408" s="1" t="str">
        <f>TEXT(FMData[[#This Row],[Show_Date]],"ddd")</f>
        <v>Thu</v>
      </c>
      <c r="F1408" t="s">
        <v>20</v>
      </c>
      <c r="G1408" t="s">
        <v>17</v>
      </c>
      <c r="H1408">
        <v>2</v>
      </c>
      <c r="I1408">
        <v>12</v>
      </c>
      <c r="J1408" t="s">
        <v>13</v>
      </c>
      <c r="K1408" t="s">
        <v>18</v>
      </c>
      <c r="L1408">
        <v>24</v>
      </c>
    </row>
    <row r="1409" spans="1:12" x14ac:dyDescent="0.3">
      <c r="A1409">
        <v>460</v>
      </c>
      <c r="B1409" t="s">
        <v>32</v>
      </c>
      <c r="C1409" s="1">
        <v>45923</v>
      </c>
      <c r="D1409" s="1" t="str">
        <f>TEXT(FMData[[#This Row],[Show_Date]],"mmm")</f>
        <v>Sep</v>
      </c>
      <c r="E1409" s="1" t="str">
        <f>TEXT(FMData[[#This Row],[Show_Date]],"ddd")</f>
        <v>Tue</v>
      </c>
      <c r="F1409" t="s">
        <v>20</v>
      </c>
      <c r="G1409" t="s">
        <v>17</v>
      </c>
      <c r="H1409">
        <v>5</v>
      </c>
      <c r="I1409">
        <v>12</v>
      </c>
      <c r="J1409" t="s">
        <v>21</v>
      </c>
      <c r="K1409" t="s">
        <v>18</v>
      </c>
      <c r="L1409">
        <v>60</v>
      </c>
    </row>
    <row r="1410" spans="1:12" x14ac:dyDescent="0.3">
      <c r="A1410">
        <v>1633</v>
      </c>
      <c r="B1410" t="s">
        <v>19</v>
      </c>
      <c r="C1410" s="1">
        <v>45853</v>
      </c>
      <c r="D1410" s="1" t="str">
        <f>TEXT(FMData[[#This Row],[Show_Date]],"mmm")</f>
        <v>Jul</v>
      </c>
      <c r="E1410" s="1" t="str">
        <f>TEXT(FMData[[#This Row],[Show_Date]],"ddd")</f>
        <v>Tue</v>
      </c>
      <c r="F1410" t="s">
        <v>11</v>
      </c>
      <c r="G1410" t="s">
        <v>17</v>
      </c>
      <c r="H1410">
        <v>3</v>
      </c>
      <c r="I1410">
        <v>12</v>
      </c>
      <c r="J1410" t="s">
        <v>21</v>
      </c>
      <c r="K1410" t="s">
        <v>14</v>
      </c>
      <c r="L1410">
        <v>36</v>
      </c>
    </row>
    <row r="1411" spans="1:12" x14ac:dyDescent="0.3">
      <c r="A1411">
        <v>586</v>
      </c>
      <c r="B1411" t="s">
        <v>28</v>
      </c>
      <c r="C1411" s="1">
        <v>45845</v>
      </c>
      <c r="D1411" s="1" t="str">
        <f>TEXT(FMData[[#This Row],[Show_Date]],"mmm")</f>
        <v>Jul</v>
      </c>
      <c r="E1411" s="1" t="str">
        <f>TEXT(FMData[[#This Row],[Show_Date]],"ddd")</f>
        <v>Mon</v>
      </c>
      <c r="F1411" t="s">
        <v>20</v>
      </c>
      <c r="G1411" t="s">
        <v>12</v>
      </c>
      <c r="H1411">
        <v>3</v>
      </c>
      <c r="I1411">
        <v>25</v>
      </c>
      <c r="J1411" t="s">
        <v>13</v>
      </c>
      <c r="K1411" t="s">
        <v>27</v>
      </c>
      <c r="L1411">
        <v>75</v>
      </c>
    </row>
    <row r="1412" spans="1:12" x14ac:dyDescent="0.3">
      <c r="A1412">
        <v>447</v>
      </c>
      <c r="B1412" t="s">
        <v>32</v>
      </c>
      <c r="C1412" s="1">
        <v>45907</v>
      </c>
      <c r="D1412" s="1" t="str">
        <f>TEXT(FMData[[#This Row],[Show_Date]],"mmm")</f>
        <v>Sep</v>
      </c>
      <c r="E1412" s="1" t="str">
        <f>TEXT(FMData[[#This Row],[Show_Date]],"ddd")</f>
        <v>Sun</v>
      </c>
      <c r="F1412" t="s">
        <v>33</v>
      </c>
      <c r="G1412" t="s">
        <v>17</v>
      </c>
      <c r="H1412">
        <v>4</v>
      </c>
      <c r="I1412">
        <v>12</v>
      </c>
      <c r="J1412" t="s">
        <v>23</v>
      </c>
      <c r="K1412" t="s">
        <v>18</v>
      </c>
      <c r="L1412">
        <v>48</v>
      </c>
    </row>
    <row r="1413" spans="1:12" x14ac:dyDescent="0.3">
      <c r="A1413">
        <v>211</v>
      </c>
      <c r="B1413" t="s">
        <v>28</v>
      </c>
      <c r="C1413" s="1">
        <v>45904</v>
      </c>
      <c r="D1413" s="1" t="str">
        <f>TEXT(FMData[[#This Row],[Show_Date]],"mmm")</f>
        <v>Sep</v>
      </c>
      <c r="E1413" s="1" t="str">
        <f>TEXT(FMData[[#This Row],[Show_Date]],"ddd")</f>
        <v>Thu</v>
      </c>
      <c r="F1413" t="s">
        <v>33</v>
      </c>
      <c r="G1413" t="s">
        <v>30</v>
      </c>
      <c r="H1413">
        <v>1</v>
      </c>
      <c r="I1413">
        <v>8</v>
      </c>
      <c r="J1413" t="s">
        <v>21</v>
      </c>
      <c r="K1413" t="s">
        <v>14</v>
      </c>
      <c r="L1413">
        <v>8</v>
      </c>
    </row>
    <row r="1414" spans="1:12" x14ac:dyDescent="0.3">
      <c r="A1414">
        <v>620</v>
      </c>
      <c r="B1414" t="s">
        <v>32</v>
      </c>
      <c r="C1414" s="1">
        <v>45872</v>
      </c>
      <c r="D1414" s="1" t="str">
        <f>TEXT(FMData[[#This Row],[Show_Date]],"mmm")</f>
        <v>Aug</v>
      </c>
      <c r="E1414" s="1" t="str">
        <f>TEXT(FMData[[#This Row],[Show_Date]],"ddd")</f>
        <v>Sun</v>
      </c>
      <c r="F1414" t="s">
        <v>11</v>
      </c>
      <c r="G1414" t="s">
        <v>17</v>
      </c>
      <c r="H1414">
        <v>5</v>
      </c>
      <c r="I1414">
        <v>12</v>
      </c>
      <c r="J1414" t="s">
        <v>23</v>
      </c>
      <c r="K1414" t="s">
        <v>27</v>
      </c>
      <c r="L1414">
        <v>60</v>
      </c>
    </row>
    <row r="1415" spans="1:12" x14ac:dyDescent="0.3">
      <c r="A1415">
        <v>176</v>
      </c>
      <c r="B1415" t="s">
        <v>10</v>
      </c>
      <c r="C1415" s="1">
        <v>45886</v>
      </c>
      <c r="D1415" s="1" t="str">
        <f>TEXT(FMData[[#This Row],[Show_Date]],"mmm")</f>
        <v>Aug</v>
      </c>
      <c r="E1415" s="1" t="str">
        <f>TEXT(FMData[[#This Row],[Show_Date]],"ddd")</f>
        <v>Sun</v>
      </c>
      <c r="F1415" t="s">
        <v>11</v>
      </c>
      <c r="G1415" t="s">
        <v>22</v>
      </c>
      <c r="H1415">
        <v>4</v>
      </c>
      <c r="I1415">
        <v>20</v>
      </c>
      <c r="J1415" t="s">
        <v>13</v>
      </c>
      <c r="K1415" t="s">
        <v>18</v>
      </c>
      <c r="L1415">
        <v>80</v>
      </c>
    </row>
    <row r="1416" spans="1:12" x14ac:dyDescent="0.3">
      <c r="A1416">
        <v>652</v>
      </c>
      <c r="B1416" t="s">
        <v>19</v>
      </c>
      <c r="C1416" s="1">
        <v>45905</v>
      </c>
      <c r="D1416" s="1" t="str">
        <f>TEXT(FMData[[#This Row],[Show_Date]],"mmm")</f>
        <v>Sep</v>
      </c>
      <c r="E1416" s="1" t="str">
        <f>TEXT(FMData[[#This Row],[Show_Date]],"ddd")</f>
        <v>Fri</v>
      </c>
      <c r="F1416" t="s">
        <v>33</v>
      </c>
      <c r="G1416" t="s">
        <v>17</v>
      </c>
      <c r="H1416">
        <v>5</v>
      </c>
      <c r="I1416">
        <v>12</v>
      </c>
      <c r="J1416" t="s">
        <v>13</v>
      </c>
      <c r="K1416" t="s">
        <v>14</v>
      </c>
      <c r="L1416">
        <v>60</v>
      </c>
    </row>
    <row r="1417" spans="1:12" x14ac:dyDescent="0.3">
      <c r="A1417">
        <v>159</v>
      </c>
      <c r="B1417" t="s">
        <v>24</v>
      </c>
      <c r="C1417" s="1">
        <v>45857</v>
      </c>
      <c r="D1417" s="1" t="str">
        <f>TEXT(FMData[[#This Row],[Show_Date]],"mmm")</f>
        <v>Jul</v>
      </c>
      <c r="E1417" s="1" t="str">
        <f>TEXT(FMData[[#This Row],[Show_Date]],"ddd")</f>
        <v>Sat</v>
      </c>
      <c r="F1417" t="s">
        <v>20</v>
      </c>
      <c r="G1417" t="s">
        <v>17</v>
      </c>
      <c r="H1417">
        <v>4</v>
      </c>
      <c r="I1417">
        <v>12</v>
      </c>
      <c r="J1417" t="s">
        <v>23</v>
      </c>
      <c r="K1417" t="s">
        <v>14</v>
      </c>
      <c r="L1417">
        <v>48</v>
      </c>
    </row>
    <row r="1418" spans="1:12" x14ac:dyDescent="0.3">
      <c r="A1418">
        <v>638</v>
      </c>
      <c r="B1418" t="s">
        <v>28</v>
      </c>
      <c r="C1418" s="1">
        <v>45921</v>
      </c>
      <c r="D1418" s="1" t="str">
        <f>TEXT(FMData[[#This Row],[Show_Date]],"mmm")</f>
        <v>Sep</v>
      </c>
      <c r="E1418" s="1" t="str">
        <f>TEXT(FMData[[#This Row],[Show_Date]],"ddd")</f>
        <v>Sun</v>
      </c>
      <c r="F1418" t="s">
        <v>20</v>
      </c>
      <c r="G1418" t="s">
        <v>30</v>
      </c>
      <c r="H1418">
        <v>1</v>
      </c>
      <c r="I1418">
        <v>8</v>
      </c>
      <c r="J1418" t="s">
        <v>23</v>
      </c>
      <c r="K1418" t="s">
        <v>18</v>
      </c>
      <c r="L1418">
        <v>8</v>
      </c>
    </row>
    <row r="1419" spans="1:12" x14ac:dyDescent="0.3">
      <c r="A1419">
        <v>568</v>
      </c>
      <c r="B1419" t="s">
        <v>19</v>
      </c>
      <c r="C1419" s="1">
        <v>45928</v>
      </c>
      <c r="D1419" s="1" t="str">
        <f>TEXT(FMData[[#This Row],[Show_Date]],"mmm")</f>
        <v>Sep</v>
      </c>
      <c r="E1419" s="1" t="str">
        <f>TEXT(FMData[[#This Row],[Show_Date]],"ddd")</f>
        <v>Sun</v>
      </c>
      <c r="F1419" t="s">
        <v>20</v>
      </c>
      <c r="G1419" t="s">
        <v>17</v>
      </c>
      <c r="H1419">
        <v>4</v>
      </c>
      <c r="I1419">
        <v>12</v>
      </c>
      <c r="J1419" t="s">
        <v>21</v>
      </c>
      <c r="K1419" t="s">
        <v>18</v>
      </c>
      <c r="L1419">
        <v>48</v>
      </c>
    </row>
    <row r="1420" spans="1:12" x14ac:dyDescent="0.3">
      <c r="A1420">
        <v>1625</v>
      </c>
      <c r="B1420" t="s">
        <v>10</v>
      </c>
      <c r="C1420" s="1">
        <v>45905</v>
      </c>
      <c r="D1420" s="1" t="str">
        <f>TEXT(FMData[[#This Row],[Show_Date]],"mmm")</f>
        <v>Sep</v>
      </c>
      <c r="E1420" s="1" t="str">
        <f>TEXT(FMData[[#This Row],[Show_Date]],"ddd")</f>
        <v>Fri</v>
      </c>
      <c r="F1420" t="s">
        <v>16</v>
      </c>
      <c r="G1420" t="s">
        <v>17</v>
      </c>
      <c r="H1420">
        <v>3</v>
      </c>
      <c r="I1420">
        <v>12</v>
      </c>
      <c r="J1420" t="s">
        <v>23</v>
      </c>
      <c r="K1420" t="s">
        <v>18</v>
      </c>
      <c r="L1420">
        <v>36</v>
      </c>
    </row>
    <row r="1421" spans="1:12" x14ac:dyDescent="0.3">
      <c r="A1421">
        <v>1152</v>
      </c>
      <c r="B1421" t="s">
        <v>15</v>
      </c>
      <c r="C1421" s="1">
        <v>45845</v>
      </c>
      <c r="D1421" s="1" t="str">
        <f>TEXT(FMData[[#This Row],[Show_Date]],"mmm")</f>
        <v>Jul</v>
      </c>
      <c r="E1421" s="1" t="str">
        <f>TEXT(FMData[[#This Row],[Show_Date]],"ddd")</f>
        <v>Mon</v>
      </c>
      <c r="F1421" t="s">
        <v>20</v>
      </c>
      <c r="G1421" t="s">
        <v>17</v>
      </c>
      <c r="H1421">
        <v>3</v>
      </c>
      <c r="I1421">
        <v>12</v>
      </c>
      <c r="J1421" t="s">
        <v>13</v>
      </c>
      <c r="K1421" t="s">
        <v>18</v>
      </c>
      <c r="L1421">
        <v>36</v>
      </c>
    </row>
    <row r="1422" spans="1:12" x14ac:dyDescent="0.3">
      <c r="A1422">
        <v>520</v>
      </c>
      <c r="B1422" t="s">
        <v>26</v>
      </c>
      <c r="C1422" s="1">
        <v>45904</v>
      </c>
      <c r="D1422" s="1" t="str">
        <f>TEXT(FMData[[#This Row],[Show_Date]],"mmm")</f>
        <v>Sep</v>
      </c>
      <c r="E1422" s="1" t="str">
        <f>TEXT(FMData[[#This Row],[Show_Date]],"ddd")</f>
        <v>Thu</v>
      </c>
      <c r="F1422" t="s">
        <v>33</v>
      </c>
      <c r="G1422" t="s">
        <v>30</v>
      </c>
      <c r="H1422">
        <v>3</v>
      </c>
      <c r="I1422">
        <v>8</v>
      </c>
      <c r="J1422" t="s">
        <v>13</v>
      </c>
      <c r="K1422" t="s">
        <v>25</v>
      </c>
      <c r="L1422">
        <v>24</v>
      </c>
    </row>
    <row r="1423" spans="1:12" x14ac:dyDescent="0.3">
      <c r="A1423">
        <v>1816</v>
      </c>
      <c r="B1423" t="s">
        <v>32</v>
      </c>
      <c r="C1423" s="1">
        <v>45924</v>
      </c>
      <c r="D1423" s="1" t="str">
        <f>TEXT(FMData[[#This Row],[Show_Date]],"mmm")</f>
        <v>Sep</v>
      </c>
      <c r="E1423" s="1" t="str">
        <f>TEXT(FMData[[#This Row],[Show_Date]],"ddd")</f>
        <v>Wed</v>
      </c>
      <c r="F1423" t="s">
        <v>16</v>
      </c>
      <c r="G1423" t="s">
        <v>12</v>
      </c>
      <c r="H1423">
        <v>2</v>
      </c>
      <c r="I1423">
        <v>25</v>
      </c>
      <c r="J1423" t="s">
        <v>21</v>
      </c>
      <c r="K1423" t="s">
        <v>14</v>
      </c>
      <c r="L1423">
        <v>50</v>
      </c>
    </row>
    <row r="1424" spans="1:12" x14ac:dyDescent="0.3">
      <c r="A1424">
        <v>1811</v>
      </c>
      <c r="B1424" t="s">
        <v>26</v>
      </c>
      <c r="C1424" s="1">
        <v>45839</v>
      </c>
      <c r="D1424" s="1" t="str">
        <f>TEXT(FMData[[#This Row],[Show_Date]],"mmm")</f>
        <v>Jul</v>
      </c>
      <c r="E1424" s="1" t="str">
        <f>TEXT(FMData[[#This Row],[Show_Date]],"ddd")</f>
        <v>Tue</v>
      </c>
      <c r="F1424" t="s">
        <v>20</v>
      </c>
      <c r="G1424" t="s">
        <v>30</v>
      </c>
      <c r="H1424">
        <v>5</v>
      </c>
      <c r="I1424">
        <v>8</v>
      </c>
      <c r="J1424" t="s">
        <v>13</v>
      </c>
      <c r="K1424" t="s">
        <v>25</v>
      </c>
      <c r="L1424">
        <v>40</v>
      </c>
    </row>
    <row r="1425" spans="1:12" x14ac:dyDescent="0.3">
      <c r="A1425">
        <v>1815</v>
      </c>
      <c r="B1425" t="s">
        <v>31</v>
      </c>
      <c r="C1425" s="1">
        <v>45876</v>
      </c>
      <c r="D1425" s="1" t="str">
        <f>TEXT(FMData[[#This Row],[Show_Date]],"mmm")</f>
        <v>Aug</v>
      </c>
      <c r="E1425" s="1" t="str">
        <f>TEXT(FMData[[#This Row],[Show_Date]],"ddd")</f>
        <v>Thu</v>
      </c>
      <c r="F1425" t="s">
        <v>33</v>
      </c>
      <c r="G1425" t="s">
        <v>17</v>
      </c>
      <c r="H1425">
        <v>5</v>
      </c>
      <c r="I1425">
        <v>12</v>
      </c>
      <c r="J1425" t="s">
        <v>23</v>
      </c>
      <c r="K1425" t="s">
        <v>18</v>
      </c>
      <c r="L1425">
        <v>60</v>
      </c>
    </row>
    <row r="1426" spans="1:12" x14ac:dyDescent="0.3">
      <c r="A1426">
        <v>960</v>
      </c>
      <c r="B1426" t="s">
        <v>28</v>
      </c>
      <c r="C1426" s="1">
        <v>45910</v>
      </c>
      <c r="D1426" s="1" t="str">
        <f>TEXT(FMData[[#This Row],[Show_Date]],"mmm")</f>
        <v>Sep</v>
      </c>
      <c r="E1426" s="1" t="str">
        <f>TEXT(FMData[[#This Row],[Show_Date]],"ddd")</f>
        <v>Wed</v>
      </c>
      <c r="F1426" t="s">
        <v>33</v>
      </c>
      <c r="G1426" t="s">
        <v>22</v>
      </c>
      <c r="H1426">
        <v>3</v>
      </c>
      <c r="I1426">
        <v>20</v>
      </c>
      <c r="J1426" t="s">
        <v>23</v>
      </c>
      <c r="K1426" t="s">
        <v>25</v>
      </c>
      <c r="L1426">
        <v>60</v>
      </c>
    </row>
    <row r="1427" spans="1:12" x14ac:dyDescent="0.3">
      <c r="A1427">
        <v>244</v>
      </c>
      <c r="B1427" t="s">
        <v>24</v>
      </c>
      <c r="C1427" s="1">
        <v>45895</v>
      </c>
      <c r="D1427" s="1" t="str">
        <f>TEXT(FMData[[#This Row],[Show_Date]],"mmm")</f>
        <v>Aug</v>
      </c>
      <c r="E1427" s="1" t="str">
        <f>TEXT(FMData[[#This Row],[Show_Date]],"ddd")</f>
        <v>Tue</v>
      </c>
      <c r="F1427" t="s">
        <v>20</v>
      </c>
      <c r="G1427" t="s">
        <v>29</v>
      </c>
      <c r="H1427">
        <v>3</v>
      </c>
      <c r="I1427">
        <v>30</v>
      </c>
      <c r="J1427" t="s">
        <v>21</v>
      </c>
      <c r="K1427" t="s">
        <v>18</v>
      </c>
      <c r="L1427">
        <v>90</v>
      </c>
    </row>
    <row r="1428" spans="1:12" x14ac:dyDescent="0.3">
      <c r="A1428">
        <v>890</v>
      </c>
      <c r="B1428" t="s">
        <v>24</v>
      </c>
      <c r="C1428" s="1">
        <v>45925</v>
      </c>
      <c r="D1428" s="1" t="str">
        <f>TEXT(FMData[[#This Row],[Show_Date]],"mmm")</f>
        <v>Sep</v>
      </c>
      <c r="E1428" s="1" t="str">
        <f>TEXT(FMData[[#This Row],[Show_Date]],"ddd")</f>
        <v>Thu</v>
      </c>
      <c r="F1428" t="s">
        <v>11</v>
      </c>
      <c r="G1428" t="s">
        <v>22</v>
      </c>
      <c r="H1428">
        <v>1</v>
      </c>
      <c r="I1428">
        <v>20</v>
      </c>
      <c r="J1428" t="s">
        <v>21</v>
      </c>
      <c r="K1428" t="s">
        <v>14</v>
      </c>
      <c r="L1428">
        <v>20</v>
      </c>
    </row>
    <row r="1429" spans="1:12" x14ac:dyDescent="0.3">
      <c r="A1429">
        <v>803</v>
      </c>
      <c r="B1429" t="s">
        <v>24</v>
      </c>
      <c r="C1429" s="1">
        <v>45901</v>
      </c>
      <c r="D1429" s="1" t="str">
        <f>TEXT(FMData[[#This Row],[Show_Date]],"mmm")</f>
        <v>Sep</v>
      </c>
      <c r="E1429" s="1" t="str">
        <f>TEXT(FMData[[#This Row],[Show_Date]],"ddd")</f>
        <v>Mon</v>
      </c>
      <c r="F1429" t="s">
        <v>16</v>
      </c>
      <c r="G1429" t="s">
        <v>29</v>
      </c>
      <c r="H1429">
        <v>5</v>
      </c>
      <c r="I1429">
        <v>30</v>
      </c>
      <c r="J1429" t="s">
        <v>13</v>
      </c>
      <c r="K1429" t="s">
        <v>25</v>
      </c>
      <c r="L1429">
        <v>150</v>
      </c>
    </row>
    <row r="1430" spans="1:12" x14ac:dyDescent="0.3">
      <c r="A1430">
        <v>485</v>
      </c>
      <c r="B1430" t="s">
        <v>15</v>
      </c>
      <c r="C1430" s="1">
        <v>45864</v>
      </c>
      <c r="D1430" s="1" t="str">
        <f>TEXT(FMData[[#This Row],[Show_Date]],"mmm")</f>
        <v>Jul</v>
      </c>
      <c r="E1430" s="1" t="str">
        <f>TEXT(FMData[[#This Row],[Show_Date]],"ddd")</f>
        <v>Sat</v>
      </c>
      <c r="F1430" t="s">
        <v>11</v>
      </c>
      <c r="G1430" t="s">
        <v>17</v>
      </c>
      <c r="H1430">
        <v>5</v>
      </c>
      <c r="I1430">
        <v>12</v>
      </c>
      <c r="J1430" t="s">
        <v>13</v>
      </c>
      <c r="K1430" t="s">
        <v>18</v>
      </c>
      <c r="L1430">
        <v>60</v>
      </c>
    </row>
    <row r="1431" spans="1:12" x14ac:dyDescent="0.3">
      <c r="A1431">
        <v>293</v>
      </c>
      <c r="B1431" t="s">
        <v>24</v>
      </c>
      <c r="C1431" s="1">
        <v>45894</v>
      </c>
      <c r="D1431" s="1" t="str">
        <f>TEXT(FMData[[#This Row],[Show_Date]],"mmm")</f>
        <v>Aug</v>
      </c>
      <c r="E1431" s="1" t="str">
        <f>TEXT(FMData[[#This Row],[Show_Date]],"ddd")</f>
        <v>Mon</v>
      </c>
      <c r="F1431" t="s">
        <v>11</v>
      </c>
      <c r="G1431" t="s">
        <v>17</v>
      </c>
      <c r="H1431">
        <v>2</v>
      </c>
      <c r="I1431">
        <v>12</v>
      </c>
      <c r="J1431" t="s">
        <v>21</v>
      </c>
      <c r="K1431" t="s">
        <v>14</v>
      </c>
      <c r="L1431">
        <v>24</v>
      </c>
    </row>
    <row r="1432" spans="1:12" x14ac:dyDescent="0.3">
      <c r="A1432">
        <v>1875</v>
      </c>
      <c r="B1432" t="s">
        <v>26</v>
      </c>
      <c r="C1432" s="1">
        <v>45894</v>
      </c>
      <c r="D1432" s="1" t="str">
        <f>TEXT(FMData[[#This Row],[Show_Date]],"mmm")</f>
        <v>Aug</v>
      </c>
      <c r="E1432" s="1" t="str">
        <f>TEXT(FMData[[#This Row],[Show_Date]],"ddd")</f>
        <v>Mon</v>
      </c>
      <c r="F1432" t="s">
        <v>16</v>
      </c>
      <c r="G1432" t="s">
        <v>17</v>
      </c>
      <c r="H1432">
        <v>1</v>
      </c>
      <c r="I1432">
        <v>12</v>
      </c>
      <c r="J1432" t="s">
        <v>21</v>
      </c>
      <c r="K1432" t="s">
        <v>25</v>
      </c>
      <c r="L1432">
        <v>12</v>
      </c>
    </row>
    <row r="1433" spans="1:12" x14ac:dyDescent="0.3">
      <c r="A1433">
        <v>1760</v>
      </c>
      <c r="B1433" t="s">
        <v>32</v>
      </c>
      <c r="C1433" s="1">
        <v>45906</v>
      </c>
      <c r="D1433" s="1" t="str">
        <f>TEXT(FMData[[#This Row],[Show_Date]],"mmm")</f>
        <v>Sep</v>
      </c>
      <c r="E1433" s="1" t="str">
        <f>TEXT(FMData[[#This Row],[Show_Date]],"ddd")</f>
        <v>Sat</v>
      </c>
      <c r="F1433" t="s">
        <v>11</v>
      </c>
      <c r="G1433" t="s">
        <v>22</v>
      </c>
      <c r="H1433">
        <v>3</v>
      </c>
      <c r="I1433">
        <v>20</v>
      </c>
      <c r="J1433" t="s">
        <v>21</v>
      </c>
      <c r="K1433" t="s">
        <v>18</v>
      </c>
      <c r="L1433">
        <v>60</v>
      </c>
    </row>
    <row r="1434" spans="1:12" x14ac:dyDescent="0.3">
      <c r="A1434">
        <v>399</v>
      </c>
      <c r="B1434" t="s">
        <v>19</v>
      </c>
      <c r="C1434" s="1">
        <v>45897</v>
      </c>
      <c r="D1434" s="1" t="str">
        <f>TEXT(FMData[[#This Row],[Show_Date]],"mmm")</f>
        <v>Aug</v>
      </c>
      <c r="E1434" s="1" t="str">
        <f>TEXT(FMData[[#This Row],[Show_Date]],"ddd")</f>
        <v>Thu</v>
      </c>
      <c r="F1434" t="s">
        <v>11</v>
      </c>
      <c r="G1434" t="s">
        <v>12</v>
      </c>
      <c r="H1434">
        <v>1</v>
      </c>
      <c r="I1434">
        <v>25</v>
      </c>
      <c r="J1434" t="s">
        <v>21</v>
      </c>
      <c r="K1434" t="s">
        <v>25</v>
      </c>
      <c r="L1434">
        <v>25</v>
      </c>
    </row>
    <row r="1435" spans="1:12" x14ac:dyDescent="0.3">
      <c r="A1435">
        <v>566</v>
      </c>
      <c r="B1435" t="s">
        <v>26</v>
      </c>
      <c r="C1435" s="1">
        <v>45928</v>
      </c>
      <c r="D1435" s="1" t="str">
        <f>TEXT(FMData[[#This Row],[Show_Date]],"mmm")</f>
        <v>Sep</v>
      </c>
      <c r="E1435" s="1" t="str">
        <f>TEXT(FMData[[#This Row],[Show_Date]],"ddd")</f>
        <v>Sun</v>
      </c>
      <c r="F1435" t="s">
        <v>16</v>
      </c>
      <c r="G1435" t="s">
        <v>17</v>
      </c>
      <c r="H1435">
        <v>4</v>
      </c>
      <c r="I1435">
        <v>12</v>
      </c>
      <c r="J1435" t="s">
        <v>21</v>
      </c>
      <c r="K1435" t="s">
        <v>14</v>
      </c>
      <c r="L1435">
        <v>48</v>
      </c>
    </row>
    <row r="1436" spans="1:12" x14ac:dyDescent="0.3">
      <c r="A1436">
        <v>1549</v>
      </c>
      <c r="B1436" t="s">
        <v>15</v>
      </c>
      <c r="C1436" s="1">
        <v>45865</v>
      </c>
      <c r="D1436" s="1" t="str">
        <f>TEXT(FMData[[#This Row],[Show_Date]],"mmm")</f>
        <v>Jul</v>
      </c>
      <c r="E1436" s="1" t="str">
        <f>TEXT(FMData[[#This Row],[Show_Date]],"ddd")</f>
        <v>Sun</v>
      </c>
      <c r="F1436" t="s">
        <v>33</v>
      </c>
      <c r="G1436" t="s">
        <v>17</v>
      </c>
      <c r="H1436">
        <v>3</v>
      </c>
      <c r="I1436">
        <v>12</v>
      </c>
      <c r="J1436" t="s">
        <v>23</v>
      </c>
      <c r="K1436" t="s">
        <v>27</v>
      </c>
      <c r="L1436">
        <v>36</v>
      </c>
    </row>
    <row r="1437" spans="1:12" x14ac:dyDescent="0.3">
      <c r="A1437">
        <v>909</v>
      </c>
      <c r="B1437" t="s">
        <v>28</v>
      </c>
      <c r="C1437" s="1">
        <v>45874</v>
      </c>
      <c r="D1437" s="1" t="str">
        <f>TEXT(FMData[[#This Row],[Show_Date]],"mmm")</f>
        <v>Aug</v>
      </c>
      <c r="E1437" s="1" t="str">
        <f>TEXT(FMData[[#This Row],[Show_Date]],"ddd")</f>
        <v>Tue</v>
      </c>
      <c r="F1437" t="s">
        <v>16</v>
      </c>
      <c r="G1437" t="s">
        <v>17</v>
      </c>
      <c r="H1437">
        <v>1</v>
      </c>
      <c r="I1437">
        <v>12</v>
      </c>
      <c r="J1437" t="s">
        <v>13</v>
      </c>
      <c r="K1437" t="s">
        <v>25</v>
      </c>
      <c r="L1437">
        <v>12</v>
      </c>
    </row>
    <row r="1438" spans="1:12" x14ac:dyDescent="0.3">
      <c r="A1438">
        <v>1346</v>
      </c>
      <c r="B1438" t="s">
        <v>32</v>
      </c>
      <c r="C1438" s="1">
        <v>45875</v>
      </c>
      <c r="D1438" s="1" t="str">
        <f>TEXT(FMData[[#This Row],[Show_Date]],"mmm")</f>
        <v>Aug</v>
      </c>
      <c r="E1438" s="1" t="str">
        <f>TEXT(FMData[[#This Row],[Show_Date]],"ddd")</f>
        <v>Wed</v>
      </c>
      <c r="F1438" t="s">
        <v>20</v>
      </c>
      <c r="G1438" t="s">
        <v>30</v>
      </c>
      <c r="H1438">
        <v>4</v>
      </c>
      <c r="I1438">
        <v>8</v>
      </c>
      <c r="J1438" t="s">
        <v>21</v>
      </c>
      <c r="K1438" t="s">
        <v>27</v>
      </c>
      <c r="L1438">
        <v>32</v>
      </c>
    </row>
    <row r="1439" spans="1:12" x14ac:dyDescent="0.3">
      <c r="A1439">
        <v>1208</v>
      </c>
      <c r="B1439" t="s">
        <v>10</v>
      </c>
      <c r="C1439" s="1">
        <v>45914</v>
      </c>
      <c r="D1439" s="1" t="str">
        <f>TEXT(FMData[[#This Row],[Show_Date]],"mmm")</f>
        <v>Sep</v>
      </c>
      <c r="E1439" s="1" t="str">
        <f>TEXT(FMData[[#This Row],[Show_Date]],"ddd")</f>
        <v>Sun</v>
      </c>
      <c r="F1439" t="s">
        <v>11</v>
      </c>
      <c r="G1439" t="s">
        <v>30</v>
      </c>
      <c r="H1439">
        <v>1</v>
      </c>
      <c r="I1439">
        <v>8</v>
      </c>
      <c r="J1439" t="s">
        <v>13</v>
      </c>
      <c r="K1439" t="s">
        <v>14</v>
      </c>
      <c r="L1439">
        <v>8</v>
      </c>
    </row>
    <row r="1440" spans="1:12" x14ac:dyDescent="0.3">
      <c r="A1440">
        <v>593</v>
      </c>
      <c r="B1440" t="s">
        <v>15</v>
      </c>
      <c r="C1440" s="1">
        <v>45913</v>
      </c>
      <c r="D1440" s="1" t="str">
        <f>TEXT(FMData[[#This Row],[Show_Date]],"mmm")</f>
        <v>Sep</v>
      </c>
      <c r="E1440" s="1" t="str">
        <f>TEXT(FMData[[#This Row],[Show_Date]],"ddd")</f>
        <v>Sat</v>
      </c>
      <c r="F1440" t="s">
        <v>11</v>
      </c>
      <c r="G1440" t="s">
        <v>12</v>
      </c>
      <c r="H1440">
        <v>1</v>
      </c>
      <c r="I1440">
        <v>25</v>
      </c>
      <c r="J1440" t="s">
        <v>23</v>
      </c>
      <c r="K1440" t="s">
        <v>25</v>
      </c>
      <c r="L1440">
        <v>25</v>
      </c>
    </row>
    <row r="1441" spans="1:12" x14ac:dyDescent="0.3">
      <c r="A1441">
        <v>1251</v>
      </c>
      <c r="B1441" t="s">
        <v>28</v>
      </c>
      <c r="C1441" s="1">
        <v>45842</v>
      </c>
      <c r="D1441" s="1" t="str">
        <f>TEXT(FMData[[#This Row],[Show_Date]],"mmm")</f>
        <v>Jul</v>
      </c>
      <c r="E1441" s="1" t="str">
        <f>TEXT(FMData[[#This Row],[Show_Date]],"ddd")</f>
        <v>Fri</v>
      </c>
      <c r="F1441" t="s">
        <v>11</v>
      </c>
      <c r="G1441" t="s">
        <v>12</v>
      </c>
      <c r="H1441">
        <v>5</v>
      </c>
      <c r="I1441">
        <v>25</v>
      </c>
      <c r="J1441" t="s">
        <v>23</v>
      </c>
      <c r="K1441" t="s">
        <v>14</v>
      </c>
      <c r="L1441">
        <v>125</v>
      </c>
    </row>
    <row r="1442" spans="1:12" x14ac:dyDescent="0.3">
      <c r="A1442">
        <v>786</v>
      </c>
      <c r="B1442" t="s">
        <v>24</v>
      </c>
      <c r="C1442" s="1">
        <v>45924</v>
      </c>
      <c r="D1442" s="1" t="str">
        <f>TEXT(FMData[[#This Row],[Show_Date]],"mmm")</f>
        <v>Sep</v>
      </c>
      <c r="E1442" s="1" t="str">
        <f>TEXT(FMData[[#This Row],[Show_Date]],"ddd")</f>
        <v>Wed</v>
      </c>
      <c r="F1442" t="s">
        <v>16</v>
      </c>
      <c r="G1442" t="s">
        <v>17</v>
      </c>
      <c r="H1442">
        <v>2</v>
      </c>
      <c r="I1442">
        <v>12</v>
      </c>
      <c r="J1442" t="s">
        <v>13</v>
      </c>
      <c r="K1442" t="s">
        <v>14</v>
      </c>
      <c r="L1442">
        <v>24</v>
      </c>
    </row>
    <row r="1443" spans="1:12" x14ac:dyDescent="0.3">
      <c r="A1443">
        <v>1110</v>
      </c>
      <c r="B1443" t="s">
        <v>32</v>
      </c>
      <c r="C1443" s="1">
        <v>45862</v>
      </c>
      <c r="D1443" s="1" t="str">
        <f>TEXT(FMData[[#This Row],[Show_Date]],"mmm")</f>
        <v>Jul</v>
      </c>
      <c r="E1443" s="1" t="str">
        <f>TEXT(FMData[[#This Row],[Show_Date]],"ddd")</f>
        <v>Thu</v>
      </c>
      <c r="F1443" t="s">
        <v>20</v>
      </c>
      <c r="G1443" t="s">
        <v>12</v>
      </c>
      <c r="H1443">
        <v>1</v>
      </c>
      <c r="I1443">
        <v>25</v>
      </c>
      <c r="J1443" t="s">
        <v>23</v>
      </c>
      <c r="K1443" t="s">
        <v>14</v>
      </c>
      <c r="L1443">
        <v>25</v>
      </c>
    </row>
    <row r="1444" spans="1:12" x14ac:dyDescent="0.3">
      <c r="A1444">
        <v>388</v>
      </c>
      <c r="B1444" t="s">
        <v>28</v>
      </c>
      <c r="C1444" s="1">
        <v>45846</v>
      </c>
      <c r="D1444" s="1" t="str">
        <f>TEXT(FMData[[#This Row],[Show_Date]],"mmm")</f>
        <v>Jul</v>
      </c>
      <c r="E1444" s="1" t="str">
        <f>TEXT(FMData[[#This Row],[Show_Date]],"ddd")</f>
        <v>Tue</v>
      </c>
      <c r="F1444" t="s">
        <v>16</v>
      </c>
      <c r="G1444" t="s">
        <v>12</v>
      </c>
      <c r="H1444">
        <v>1</v>
      </c>
      <c r="I1444">
        <v>25</v>
      </c>
      <c r="J1444" t="s">
        <v>23</v>
      </c>
      <c r="K1444" t="s">
        <v>14</v>
      </c>
      <c r="L1444">
        <v>25</v>
      </c>
    </row>
    <row r="1445" spans="1:12" x14ac:dyDescent="0.3">
      <c r="A1445">
        <v>1093</v>
      </c>
      <c r="B1445" t="s">
        <v>19</v>
      </c>
      <c r="C1445" s="1">
        <v>45886</v>
      </c>
      <c r="D1445" s="1" t="str">
        <f>TEXT(FMData[[#This Row],[Show_Date]],"mmm")</f>
        <v>Aug</v>
      </c>
      <c r="E1445" s="1" t="str">
        <f>TEXT(FMData[[#This Row],[Show_Date]],"ddd")</f>
        <v>Sun</v>
      </c>
      <c r="F1445" t="s">
        <v>11</v>
      </c>
      <c r="G1445" t="s">
        <v>17</v>
      </c>
      <c r="H1445">
        <v>2</v>
      </c>
      <c r="I1445">
        <v>12</v>
      </c>
      <c r="J1445" t="s">
        <v>21</v>
      </c>
      <c r="K1445" t="s">
        <v>18</v>
      </c>
      <c r="L1445">
        <v>24</v>
      </c>
    </row>
    <row r="1446" spans="1:12" x14ac:dyDescent="0.3">
      <c r="A1446">
        <v>1022</v>
      </c>
      <c r="B1446" t="s">
        <v>24</v>
      </c>
      <c r="C1446" s="1">
        <v>45864</v>
      </c>
      <c r="D1446" s="1" t="str">
        <f>TEXT(FMData[[#This Row],[Show_Date]],"mmm")</f>
        <v>Jul</v>
      </c>
      <c r="E1446" s="1" t="str">
        <f>TEXT(FMData[[#This Row],[Show_Date]],"ddd")</f>
        <v>Sat</v>
      </c>
      <c r="F1446" t="s">
        <v>20</v>
      </c>
      <c r="G1446" t="s">
        <v>17</v>
      </c>
      <c r="H1446">
        <v>5</v>
      </c>
      <c r="I1446">
        <v>12</v>
      </c>
      <c r="J1446" t="s">
        <v>13</v>
      </c>
      <c r="K1446" t="s">
        <v>27</v>
      </c>
      <c r="L1446">
        <v>60</v>
      </c>
    </row>
    <row r="1447" spans="1:12" x14ac:dyDescent="0.3">
      <c r="A1447">
        <v>1583</v>
      </c>
      <c r="B1447" t="s">
        <v>15</v>
      </c>
      <c r="C1447" s="1">
        <v>45922</v>
      </c>
      <c r="D1447" s="1" t="str">
        <f>TEXT(FMData[[#This Row],[Show_Date]],"mmm")</f>
        <v>Sep</v>
      </c>
      <c r="E1447" s="1" t="str">
        <f>TEXT(FMData[[#This Row],[Show_Date]],"ddd")</f>
        <v>Mon</v>
      </c>
      <c r="F1447" t="s">
        <v>16</v>
      </c>
      <c r="G1447" t="s">
        <v>17</v>
      </c>
      <c r="H1447">
        <v>5</v>
      </c>
      <c r="I1447">
        <v>12</v>
      </c>
      <c r="J1447" t="s">
        <v>21</v>
      </c>
      <c r="K1447" t="s">
        <v>14</v>
      </c>
      <c r="L1447">
        <v>60</v>
      </c>
    </row>
    <row r="1448" spans="1:12" x14ac:dyDescent="0.3">
      <c r="A1448">
        <v>1333</v>
      </c>
      <c r="B1448" t="s">
        <v>28</v>
      </c>
      <c r="C1448" s="1">
        <v>45850</v>
      </c>
      <c r="D1448" s="1" t="str">
        <f>TEXT(FMData[[#This Row],[Show_Date]],"mmm")</f>
        <v>Jul</v>
      </c>
      <c r="E1448" s="1" t="str">
        <f>TEXT(FMData[[#This Row],[Show_Date]],"ddd")</f>
        <v>Sat</v>
      </c>
      <c r="F1448" t="s">
        <v>20</v>
      </c>
      <c r="G1448" t="s">
        <v>17</v>
      </c>
      <c r="H1448">
        <v>2</v>
      </c>
      <c r="I1448">
        <v>12</v>
      </c>
      <c r="J1448" t="s">
        <v>21</v>
      </c>
      <c r="K1448" t="s">
        <v>27</v>
      </c>
      <c r="L1448">
        <v>24</v>
      </c>
    </row>
    <row r="1449" spans="1:12" x14ac:dyDescent="0.3">
      <c r="A1449">
        <v>800</v>
      </c>
      <c r="B1449" t="s">
        <v>32</v>
      </c>
      <c r="C1449" s="1">
        <v>45841</v>
      </c>
      <c r="D1449" s="1" t="str">
        <f>TEXT(FMData[[#This Row],[Show_Date]],"mmm")</f>
        <v>Jul</v>
      </c>
      <c r="E1449" s="1" t="str">
        <f>TEXT(FMData[[#This Row],[Show_Date]],"ddd")</f>
        <v>Thu</v>
      </c>
      <c r="F1449" t="s">
        <v>33</v>
      </c>
      <c r="G1449" t="s">
        <v>17</v>
      </c>
      <c r="H1449">
        <v>5</v>
      </c>
      <c r="I1449">
        <v>12</v>
      </c>
      <c r="J1449" t="s">
        <v>21</v>
      </c>
      <c r="K1449" t="s">
        <v>27</v>
      </c>
      <c r="L1449">
        <v>60</v>
      </c>
    </row>
    <row r="1450" spans="1:12" x14ac:dyDescent="0.3">
      <c r="A1450">
        <v>864</v>
      </c>
      <c r="B1450" t="s">
        <v>26</v>
      </c>
      <c r="C1450" s="1">
        <v>45901</v>
      </c>
      <c r="D1450" s="1" t="str">
        <f>TEXT(FMData[[#This Row],[Show_Date]],"mmm")</f>
        <v>Sep</v>
      </c>
      <c r="E1450" s="1" t="str">
        <f>TEXT(FMData[[#This Row],[Show_Date]],"ddd")</f>
        <v>Mon</v>
      </c>
      <c r="F1450" t="s">
        <v>11</v>
      </c>
      <c r="G1450" t="s">
        <v>12</v>
      </c>
      <c r="H1450">
        <v>2</v>
      </c>
      <c r="I1450">
        <v>25</v>
      </c>
      <c r="J1450" t="s">
        <v>13</v>
      </c>
      <c r="K1450" t="s">
        <v>25</v>
      </c>
      <c r="L1450">
        <v>50</v>
      </c>
    </row>
    <row r="1451" spans="1:12" x14ac:dyDescent="0.3">
      <c r="A1451">
        <v>766</v>
      </c>
      <c r="B1451" t="s">
        <v>32</v>
      </c>
      <c r="C1451" s="1">
        <v>45907</v>
      </c>
      <c r="D1451" s="1" t="str">
        <f>TEXT(FMData[[#This Row],[Show_Date]],"mmm")</f>
        <v>Sep</v>
      </c>
      <c r="E1451" s="1" t="str">
        <f>TEXT(FMData[[#This Row],[Show_Date]],"ddd")</f>
        <v>Sun</v>
      </c>
      <c r="F1451" t="s">
        <v>16</v>
      </c>
      <c r="G1451" t="s">
        <v>29</v>
      </c>
      <c r="H1451">
        <v>1</v>
      </c>
      <c r="I1451">
        <v>30</v>
      </c>
      <c r="J1451" t="s">
        <v>23</v>
      </c>
      <c r="K1451" t="s">
        <v>25</v>
      </c>
      <c r="L1451">
        <v>30</v>
      </c>
    </row>
    <row r="1452" spans="1:12" x14ac:dyDescent="0.3">
      <c r="A1452">
        <v>256</v>
      </c>
      <c r="B1452" t="s">
        <v>32</v>
      </c>
      <c r="C1452" s="1">
        <v>45859</v>
      </c>
      <c r="D1452" s="1" t="str">
        <f>TEXT(FMData[[#This Row],[Show_Date]],"mmm")</f>
        <v>Jul</v>
      </c>
      <c r="E1452" s="1" t="str">
        <f>TEXT(FMData[[#This Row],[Show_Date]],"ddd")</f>
        <v>Mon</v>
      </c>
      <c r="F1452" t="s">
        <v>16</v>
      </c>
      <c r="G1452" t="s">
        <v>12</v>
      </c>
      <c r="H1452">
        <v>5</v>
      </c>
      <c r="I1452">
        <v>25</v>
      </c>
      <c r="J1452" t="s">
        <v>23</v>
      </c>
      <c r="K1452" t="s">
        <v>14</v>
      </c>
      <c r="L1452">
        <v>125</v>
      </c>
    </row>
    <row r="1453" spans="1:12" x14ac:dyDescent="0.3">
      <c r="A1453">
        <v>605</v>
      </c>
      <c r="B1453" t="s">
        <v>28</v>
      </c>
      <c r="C1453" s="1">
        <v>45857</v>
      </c>
      <c r="D1453" s="1" t="str">
        <f>TEXT(FMData[[#This Row],[Show_Date]],"mmm")</f>
        <v>Jul</v>
      </c>
      <c r="E1453" s="1" t="str">
        <f>TEXT(FMData[[#This Row],[Show_Date]],"ddd")</f>
        <v>Sat</v>
      </c>
      <c r="F1453" t="s">
        <v>11</v>
      </c>
      <c r="G1453" t="s">
        <v>17</v>
      </c>
      <c r="H1453">
        <v>3</v>
      </c>
      <c r="I1453">
        <v>12</v>
      </c>
      <c r="J1453" t="s">
        <v>21</v>
      </c>
      <c r="K1453" t="s">
        <v>25</v>
      </c>
      <c r="L1453">
        <v>36</v>
      </c>
    </row>
    <row r="1454" spans="1:12" x14ac:dyDescent="0.3">
      <c r="A1454">
        <v>765</v>
      </c>
      <c r="B1454" t="s">
        <v>15</v>
      </c>
      <c r="C1454" s="1">
        <v>45898</v>
      </c>
      <c r="D1454" s="1" t="str">
        <f>TEXT(FMData[[#This Row],[Show_Date]],"mmm")</f>
        <v>Aug</v>
      </c>
      <c r="E1454" s="1" t="str">
        <f>TEXT(FMData[[#This Row],[Show_Date]],"ddd")</f>
        <v>Fri</v>
      </c>
      <c r="F1454" t="s">
        <v>33</v>
      </c>
      <c r="G1454" t="s">
        <v>17</v>
      </c>
      <c r="H1454">
        <v>4</v>
      </c>
      <c r="I1454">
        <v>12</v>
      </c>
      <c r="J1454" t="s">
        <v>23</v>
      </c>
      <c r="K1454" t="s">
        <v>14</v>
      </c>
      <c r="L1454">
        <v>48</v>
      </c>
    </row>
    <row r="1455" spans="1:12" x14ac:dyDescent="0.3">
      <c r="A1455">
        <v>121</v>
      </c>
      <c r="B1455" t="s">
        <v>19</v>
      </c>
      <c r="C1455" s="1">
        <v>45857</v>
      </c>
      <c r="D1455" s="1" t="str">
        <f>TEXT(FMData[[#This Row],[Show_Date]],"mmm")</f>
        <v>Jul</v>
      </c>
      <c r="E1455" s="1" t="str">
        <f>TEXT(FMData[[#This Row],[Show_Date]],"ddd")</f>
        <v>Sat</v>
      </c>
      <c r="F1455" t="s">
        <v>16</v>
      </c>
      <c r="G1455" t="s">
        <v>22</v>
      </c>
      <c r="H1455">
        <v>2</v>
      </c>
      <c r="I1455">
        <v>20</v>
      </c>
      <c r="J1455" t="s">
        <v>21</v>
      </c>
      <c r="K1455" t="s">
        <v>25</v>
      </c>
      <c r="L1455">
        <v>40</v>
      </c>
    </row>
    <row r="1456" spans="1:12" x14ac:dyDescent="0.3">
      <c r="A1456">
        <v>583</v>
      </c>
      <c r="B1456" t="s">
        <v>31</v>
      </c>
      <c r="C1456" s="1">
        <v>45921</v>
      </c>
      <c r="D1456" s="1" t="str">
        <f>TEXT(FMData[[#This Row],[Show_Date]],"mmm")</f>
        <v>Sep</v>
      </c>
      <c r="E1456" s="1" t="str">
        <f>TEXT(FMData[[#This Row],[Show_Date]],"ddd")</f>
        <v>Sun</v>
      </c>
      <c r="F1456" t="s">
        <v>20</v>
      </c>
      <c r="G1456" t="s">
        <v>12</v>
      </c>
      <c r="H1456">
        <v>5</v>
      </c>
      <c r="I1456">
        <v>25</v>
      </c>
      <c r="J1456" t="s">
        <v>13</v>
      </c>
      <c r="K1456" t="s">
        <v>14</v>
      </c>
      <c r="L1456">
        <v>125</v>
      </c>
    </row>
    <row r="1457" spans="1:12" x14ac:dyDescent="0.3">
      <c r="A1457">
        <v>149</v>
      </c>
      <c r="B1457" t="s">
        <v>24</v>
      </c>
      <c r="C1457" s="1">
        <v>45871</v>
      </c>
      <c r="D1457" s="1" t="str">
        <f>TEXT(FMData[[#This Row],[Show_Date]],"mmm")</f>
        <v>Aug</v>
      </c>
      <c r="E1457" s="1" t="str">
        <f>TEXT(FMData[[#This Row],[Show_Date]],"ddd")</f>
        <v>Sat</v>
      </c>
      <c r="F1457" t="s">
        <v>20</v>
      </c>
      <c r="G1457" t="s">
        <v>17</v>
      </c>
      <c r="H1457">
        <v>5</v>
      </c>
      <c r="I1457">
        <v>12</v>
      </c>
      <c r="J1457" t="s">
        <v>13</v>
      </c>
      <c r="K1457" t="s">
        <v>25</v>
      </c>
      <c r="L1457">
        <v>60</v>
      </c>
    </row>
    <row r="1458" spans="1:12" x14ac:dyDescent="0.3">
      <c r="A1458">
        <v>1758</v>
      </c>
      <c r="B1458" t="s">
        <v>24</v>
      </c>
      <c r="C1458" s="1">
        <v>45876</v>
      </c>
      <c r="D1458" s="1" t="str">
        <f>TEXT(FMData[[#This Row],[Show_Date]],"mmm")</f>
        <v>Aug</v>
      </c>
      <c r="E1458" s="1" t="str">
        <f>TEXT(FMData[[#This Row],[Show_Date]],"ddd")</f>
        <v>Thu</v>
      </c>
      <c r="F1458" t="s">
        <v>20</v>
      </c>
      <c r="G1458" t="s">
        <v>17</v>
      </c>
      <c r="H1458">
        <v>1</v>
      </c>
      <c r="I1458">
        <v>12</v>
      </c>
      <c r="J1458" t="s">
        <v>23</v>
      </c>
      <c r="K1458" t="s">
        <v>27</v>
      </c>
      <c r="L1458">
        <v>12</v>
      </c>
    </row>
    <row r="1459" spans="1:12" x14ac:dyDescent="0.3">
      <c r="A1459">
        <v>719</v>
      </c>
      <c r="B1459" t="s">
        <v>19</v>
      </c>
      <c r="C1459" s="1">
        <v>45846</v>
      </c>
      <c r="D1459" s="1" t="str">
        <f>TEXT(FMData[[#This Row],[Show_Date]],"mmm")</f>
        <v>Jul</v>
      </c>
      <c r="E1459" s="1" t="str">
        <f>TEXT(FMData[[#This Row],[Show_Date]],"ddd")</f>
        <v>Tue</v>
      </c>
      <c r="F1459" t="s">
        <v>11</v>
      </c>
      <c r="G1459" t="s">
        <v>22</v>
      </c>
      <c r="H1459">
        <v>5</v>
      </c>
      <c r="I1459">
        <v>20</v>
      </c>
      <c r="J1459" t="s">
        <v>21</v>
      </c>
      <c r="K1459" t="s">
        <v>25</v>
      </c>
      <c r="L1459">
        <v>100</v>
      </c>
    </row>
    <row r="1460" spans="1:12" x14ac:dyDescent="0.3">
      <c r="A1460">
        <v>1604</v>
      </c>
      <c r="B1460" t="s">
        <v>24</v>
      </c>
      <c r="C1460" s="1">
        <v>45899</v>
      </c>
      <c r="D1460" s="1" t="str">
        <f>TEXT(FMData[[#This Row],[Show_Date]],"mmm")</f>
        <v>Aug</v>
      </c>
      <c r="E1460" s="1" t="str">
        <f>TEXT(FMData[[#This Row],[Show_Date]],"ddd")</f>
        <v>Sat</v>
      </c>
      <c r="F1460" t="s">
        <v>16</v>
      </c>
      <c r="G1460" t="s">
        <v>17</v>
      </c>
      <c r="H1460">
        <v>5</v>
      </c>
      <c r="I1460">
        <v>12</v>
      </c>
      <c r="J1460" t="s">
        <v>13</v>
      </c>
      <c r="K1460" t="s">
        <v>27</v>
      </c>
      <c r="L1460">
        <v>60</v>
      </c>
    </row>
    <row r="1461" spans="1:12" x14ac:dyDescent="0.3">
      <c r="A1461">
        <v>390</v>
      </c>
      <c r="B1461" t="s">
        <v>24</v>
      </c>
      <c r="C1461" s="1">
        <v>45875</v>
      </c>
      <c r="D1461" s="1" t="str">
        <f>TEXT(FMData[[#This Row],[Show_Date]],"mmm")</f>
        <v>Aug</v>
      </c>
      <c r="E1461" s="1" t="str">
        <f>TEXT(FMData[[#This Row],[Show_Date]],"ddd")</f>
        <v>Wed</v>
      </c>
      <c r="F1461" t="s">
        <v>20</v>
      </c>
      <c r="G1461" t="s">
        <v>30</v>
      </c>
      <c r="H1461">
        <v>3</v>
      </c>
      <c r="I1461">
        <v>8</v>
      </c>
      <c r="J1461" t="s">
        <v>21</v>
      </c>
      <c r="K1461" t="s">
        <v>27</v>
      </c>
      <c r="L1461">
        <v>24</v>
      </c>
    </row>
    <row r="1462" spans="1:12" x14ac:dyDescent="0.3">
      <c r="A1462">
        <v>1831</v>
      </c>
      <c r="B1462" t="s">
        <v>26</v>
      </c>
      <c r="C1462" s="1">
        <v>45839</v>
      </c>
      <c r="D1462" s="1" t="str">
        <f>TEXT(FMData[[#This Row],[Show_Date]],"mmm")</f>
        <v>Jul</v>
      </c>
      <c r="E1462" s="1" t="str">
        <f>TEXT(FMData[[#This Row],[Show_Date]],"ddd")</f>
        <v>Tue</v>
      </c>
      <c r="F1462" t="s">
        <v>16</v>
      </c>
      <c r="G1462" t="s">
        <v>17</v>
      </c>
      <c r="H1462">
        <v>3</v>
      </c>
      <c r="I1462">
        <v>12</v>
      </c>
      <c r="J1462" t="s">
        <v>23</v>
      </c>
      <c r="K1462" t="s">
        <v>18</v>
      </c>
      <c r="L1462">
        <v>36</v>
      </c>
    </row>
    <row r="1463" spans="1:12" x14ac:dyDescent="0.3">
      <c r="A1463">
        <v>1721</v>
      </c>
      <c r="B1463" t="s">
        <v>10</v>
      </c>
      <c r="C1463" s="1">
        <v>45847</v>
      </c>
      <c r="D1463" s="1" t="str">
        <f>TEXT(FMData[[#This Row],[Show_Date]],"mmm")</f>
        <v>Jul</v>
      </c>
      <c r="E1463" s="1" t="str">
        <f>TEXT(FMData[[#This Row],[Show_Date]],"ddd")</f>
        <v>Wed</v>
      </c>
      <c r="F1463" t="s">
        <v>11</v>
      </c>
      <c r="G1463" t="s">
        <v>17</v>
      </c>
      <c r="H1463">
        <v>1</v>
      </c>
      <c r="I1463">
        <v>12</v>
      </c>
      <c r="J1463" t="s">
        <v>21</v>
      </c>
      <c r="K1463" t="s">
        <v>18</v>
      </c>
      <c r="L1463">
        <v>12</v>
      </c>
    </row>
    <row r="1464" spans="1:12" x14ac:dyDescent="0.3">
      <c r="A1464">
        <v>1275</v>
      </c>
      <c r="B1464" t="s">
        <v>28</v>
      </c>
      <c r="C1464" s="1">
        <v>45915</v>
      </c>
      <c r="D1464" s="1" t="str">
        <f>TEXT(FMData[[#This Row],[Show_Date]],"mmm")</f>
        <v>Sep</v>
      </c>
      <c r="E1464" s="1" t="str">
        <f>TEXT(FMData[[#This Row],[Show_Date]],"ddd")</f>
        <v>Mon</v>
      </c>
      <c r="F1464" t="s">
        <v>16</v>
      </c>
      <c r="G1464" t="s">
        <v>22</v>
      </c>
      <c r="H1464">
        <v>2</v>
      </c>
      <c r="I1464">
        <v>20</v>
      </c>
      <c r="J1464" t="s">
        <v>21</v>
      </c>
      <c r="K1464" t="s">
        <v>27</v>
      </c>
      <c r="L1464">
        <v>40</v>
      </c>
    </row>
    <row r="1465" spans="1:12" x14ac:dyDescent="0.3">
      <c r="A1465">
        <v>59</v>
      </c>
      <c r="B1465" t="s">
        <v>32</v>
      </c>
      <c r="C1465" s="1">
        <v>45886</v>
      </c>
      <c r="D1465" s="1" t="str">
        <f>TEXT(FMData[[#This Row],[Show_Date]],"mmm")</f>
        <v>Aug</v>
      </c>
      <c r="E1465" s="1" t="str">
        <f>TEXT(FMData[[#This Row],[Show_Date]],"ddd")</f>
        <v>Sun</v>
      </c>
      <c r="F1465" t="s">
        <v>20</v>
      </c>
      <c r="G1465" t="s">
        <v>30</v>
      </c>
      <c r="H1465">
        <v>2</v>
      </c>
      <c r="I1465">
        <v>8</v>
      </c>
      <c r="J1465" t="s">
        <v>23</v>
      </c>
      <c r="K1465" t="s">
        <v>14</v>
      </c>
      <c r="L1465">
        <v>16</v>
      </c>
    </row>
    <row r="1466" spans="1:12" x14ac:dyDescent="0.3">
      <c r="A1466">
        <v>1786</v>
      </c>
      <c r="B1466" t="s">
        <v>19</v>
      </c>
      <c r="C1466" s="1">
        <v>45862</v>
      </c>
      <c r="D1466" s="1" t="str">
        <f>TEXT(FMData[[#This Row],[Show_Date]],"mmm")</f>
        <v>Jul</v>
      </c>
      <c r="E1466" s="1" t="str">
        <f>TEXT(FMData[[#This Row],[Show_Date]],"ddd")</f>
        <v>Thu</v>
      </c>
      <c r="F1466" t="s">
        <v>20</v>
      </c>
      <c r="G1466" t="s">
        <v>17</v>
      </c>
      <c r="H1466">
        <v>2</v>
      </c>
      <c r="I1466">
        <v>12</v>
      </c>
      <c r="J1466" t="s">
        <v>21</v>
      </c>
      <c r="K1466" t="s">
        <v>27</v>
      </c>
      <c r="L1466">
        <v>24</v>
      </c>
    </row>
    <row r="1467" spans="1:12" x14ac:dyDescent="0.3">
      <c r="A1467">
        <v>537</v>
      </c>
      <c r="B1467" t="s">
        <v>19</v>
      </c>
      <c r="C1467" s="1">
        <v>45842</v>
      </c>
      <c r="D1467" s="1" t="str">
        <f>TEXT(FMData[[#This Row],[Show_Date]],"mmm")</f>
        <v>Jul</v>
      </c>
      <c r="E1467" s="1" t="str">
        <f>TEXT(FMData[[#This Row],[Show_Date]],"ddd")</f>
        <v>Fri</v>
      </c>
      <c r="F1467" t="s">
        <v>11</v>
      </c>
      <c r="G1467" t="s">
        <v>30</v>
      </c>
      <c r="H1467">
        <v>2</v>
      </c>
      <c r="I1467">
        <v>8</v>
      </c>
      <c r="J1467" t="s">
        <v>13</v>
      </c>
      <c r="K1467" t="s">
        <v>18</v>
      </c>
      <c r="L1467">
        <v>16</v>
      </c>
    </row>
    <row r="1468" spans="1:12" x14ac:dyDescent="0.3">
      <c r="A1468">
        <v>739</v>
      </c>
      <c r="B1468" t="s">
        <v>15</v>
      </c>
      <c r="C1468" s="1">
        <v>45925</v>
      </c>
      <c r="D1468" s="1" t="str">
        <f>TEXT(FMData[[#This Row],[Show_Date]],"mmm")</f>
        <v>Sep</v>
      </c>
      <c r="E1468" s="1" t="str">
        <f>TEXT(FMData[[#This Row],[Show_Date]],"ddd")</f>
        <v>Thu</v>
      </c>
      <c r="F1468" t="s">
        <v>16</v>
      </c>
      <c r="G1468" t="s">
        <v>29</v>
      </c>
      <c r="H1468">
        <v>3</v>
      </c>
      <c r="I1468">
        <v>30</v>
      </c>
      <c r="J1468" t="s">
        <v>21</v>
      </c>
      <c r="K1468" t="s">
        <v>18</v>
      </c>
      <c r="L1468">
        <v>90</v>
      </c>
    </row>
    <row r="1469" spans="1:12" x14ac:dyDescent="0.3">
      <c r="A1469">
        <v>271</v>
      </c>
      <c r="B1469" t="s">
        <v>10</v>
      </c>
      <c r="C1469" s="1">
        <v>45865</v>
      </c>
      <c r="D1469" s="1" t="str">
        <f>TEXT(FMData[[#This Row],[Show_Date]],"mmm")</f>
        <v>Jul</v>
      </c>
      <c r="E1469" s="1" t="str">
        <f>TEXT(FMData[[#This Row],[Show_Date]],"ddd")</f>
        <v>Sun</v>
      </c>
      <c r="F1469" t="s">
        <v>33</v>
      </c>
      <c r="G1469" t="s">
        <v>17</v>
      </c>
      <c r="H1469">
        <v>4</v>
      </c>
      <c r="I1469">
        <v>12</v>
      </c>
      <c r="J1469" t="s">
        <v>21</v>
      </c>
      <c r="K1469" t="s">
        <v>14</v>
      </c>
      <c r="L1469">
        <v>48</v>
      </c>
    </row>
    <row r="1470" spans="1:12" x14ac:dyDescent="0.3">
      <c r="A1470">
        <v>547</v>
      </c>
      <c r="B1470" t="s">
        <v>15</v>
      </c>
      <c r="C1470" s="1">
        <v>45903</v>
      </c>
      <c r="D1470" s="1" t="str">
        <f>TEXT(FMData[[#This Row],[Show_Date]],"mmm")</f>
        <v>Sep</v>
      </c>
      <c r="E1470" s="1" t="str">
        <f>TEXT(FMData[[#This Row],[Show_Date]],"ddd")</f>
        <v>Wed</v>
      </c>
      <c r="F1470" t="s">
        <v>16</v>
      </c>
      <c r="G1470" t="s">
        <v>17</v>
      </c>
      <c r="H1470">
        <v>5</v>
      </c>
      <c r="I1470">
        <v>12</v>
      </c>
      <c r="J1470" t="s">
        <v>13</v>
      </c>
      <c r="K1470" t="s">
        <v>27</v>
      </c>
      <c r="L1470">
        <v>60</v>
      </c>
    </row>
    <row r="1471" spans="1:12" x14ac:dyDescent="0.3">
      <c r="A1471">
        <v>365</v>
      </c>
      <c r="B1471" t="s">
        <v>28</v>
      </c>
      <c r="C1471" s="1">
        <v>45913</v>
      </c>
      <c r="D1471" s="1" t="str">
        <f>TEXT(FMData[[#This Row],[Show_Date]],"mmm")</f>
        <v>Sep</v>
      </c>
      <c r="E1471" s="1" t="str">
        <f>TEXT(FMData[[#This Row],[Show_Date]],"ddd")</f>
        <v>Sat</v>
      </c>
      <c r="F1471" t="s">
        <v>16</v>
      </c>
      <c r="G1471" t="s">
        <v>12</v>
      </c>
      <c r="H1471">
        <v>1</v>
      </c>
      <c r="I1471">
        <v>25</v>
      </c>
      <c r="J1471" t="s">
        <v>13</v>
      </c>
      <c r="K1471" t="s">
        <v>18</v>
      </c>
      <c r="L1471">
        <v>25</v>
      </c>
    </row>
    <row r="1472" spans="1:12" x14ac:dyDescent="0.3">
      <c r="A1472">
        <v>1489</v>
      </c>
      <c r="B1472" t="s">
        <v>24</v>
      </c>
      <c r="C1472" s="1">
        <v>45920</v>
      </c>
      <c r="D1472" s="1" t="str">
        <f>TEXT(FMData[[#This Row],[Show_Date]],"mmm")</f>
        <v>Sep</v>
      </c>
      <c r="E1472" s="1" t="str">
        <f>TEXT(FMData[[#This Row],[Show_Date]],"ddd")</f>
        <v>Sat</v>
      </c>
      <c r="F1472" t="s">
        <v>20</v>
      </c>
      <c r="G1472" t="s">
        <v>17</v>
      </c>
      <c r="H1472">
        <v>5</v>
      </c>
      <c r="I1472">
        <v>12</v>
      </c>
      <c r="J1472" t="s">
        <v>13</v>
      </c>
      <c r="K1472" t="s">
        <v>27</v>
      </c>
      <c r="L1472">
        <v>60</v>
      </c>
    </row>
    <row r="1473" spans="1:12" x14ac:dyDescent="0.3">
      <c r="A1473">
        <v>546</v>
      </c>
      <c r="B1473" t="s">
        <v>19</v>
      </c>
      <c r="C1473" s="1">
        <v>45843</v>
      </c>
      <c r="D1473" s="1" t="str">
        <f>TEXT(FMData[[#This Row],[Show_Date]],"mmm")</f>
        <v>Jul</v>
      </c>
      <c r="E1473" s="1" t="str">
        <f>TEXT(FMData[[#This Row],[Show_Date]],"ddd")</f>
        <v>Sat</v>
      </c>
      <c r="F1473" t="s">
        <v>33</v>
      </c>
      <c r="G1473" t="s">
        <v>17</v>
      </c>
      <c r="H1473">
        <v>2</v>
      </c>
      <c r="I1473">
        <v>12</v>
      </c>
      <c r="J1473" t="s">
        <v>23</v>
      </c>
      <c r="K1473" t="s">
        <v>27</v>
      </c>
      <c r="L1473">
        <v>24</v>
      </c>
    </row>
    <row r="1474" spans="1:12" x14ac:dyDescent="0.3">
      <c r="A1474">
        <v>509</v>
      </c>
      <c r="B1474" t="s">
        <v>19</v>
      </c>
      <c r="C1474" s="1">
        <v>45883</v>
      </c>
      <c r="D1474" s="1" t="str">
        <f>TEXT(FMData[[#This Row],[Show_Date]],"mmm")</f>
        <v>Aug</v>
      </c>
      <c r="E1474" s="1" t="str">
        <f>TEXT(FMData[[#This Row],[Show_Date]],"ddd")</f>
        <v>Thu</v>
      </c>
      <c r="F1474" t="s">
        <v>16</v>
      </c>
      <c r="G1474" t="s">
        <v>22</v>
      </c>
      <c r="H1474">
        <v>4</v>
      </c>
      <c r="I1474">
        <v>20</v>
      </c>
      <c r="J1474" t="s">
        <v>13</v>
      </c>
      <c r="K1474" t="s">
        <v>27</v>
      </c>
      <c r="L1474">
        <v>80</v>
      </c>
    </row>
    <row r="1475" spans="1:12" x14ac:dyDescent="0.3">
      <c r="A1475">
        <v>570</v>
      </c>
      <c r="B1475" t="s">
        <v>28</v>
      </c>
      <c r="C1475" s="1">
        <v>45900</v>
      </c>
      <c r="D1475" s="1" t="str">
        <f>TEXT(FMData[[#This Row],[Show_Date]],"mmm")</f>
        <v>Aug</v>
      </c>
      <c r="E1475" s="1" t="str">
        <f>TEXT(FMData[[#This Row],[Show_Date]],"ddd")</f>
        <v>Sun</v>
      </c>
      <c r="F1475" t="s">
        <v>33</v>
      </c>
      <c r="G1475" t="s">
        <v>29</v>
      </c>
      <c r="H1475">
        <v>3</v>
      </c>
      <c r="I1475">
        <v>30</v>
      </c>
      <c r="J1475" t="s">
        <v>21</v>
      </c>
      <c r="K1475" t="s">
        <v>25</v>
      </c>
      <c r="L1475">
        <v>90</v>
      </c>
    </row>
    <row r="1476" spans="1:12" x14ac:dyDescent="0.3">
      <c r="A1476">
        <v>1341</v>
      </c>
      <c r="B1476" t="s">
        <v>28</v>
      </c>
      <c r="C1476" s="1">
        <v>45850</v>
      </c>
      <c r="D1476" s="1" t="str">
        <f>TEXT(FMData[[#This Row],[Show_Date]],"mmm")</f>
        <v>Jul</v>
      </c>
      <c r="E1476" s="1" t="str">
        <f>TEXT(FMData[[#This Row],[Show_Date]],"ddd")</f>
        <v>Sat</v>
      </c>
      <c r="F1476" t="s">
        <v>11</v>
      </c>
      <c r="G1476" t="s">
        <v>22</v>
      </c>
      <c r="H1476">
        <v>5</v>
      </c>
      <c r="I1476">
        <v>20</v>
      </c>
      <c r="J1476" t="s">
        <v>23</v>
      </c>
      <c r="K1476" t="s">
        <v>27</v>
      </c>
      <c r="L1476">
        <v>100</v>
      </c>
    </row>
    <row r="1477" spans="1:12" x14ac:dyDescent="0.3">
      <c r="A1477">
        <v>298</v>
      </c>
      <c r="B1477" t="s">
        <v>28</v>
      </c>
      <c r="C1477" s="1">
        <v>45890</v>
      </c>
      <c r="D1477" s="1" t="str">
        <f>TEXT(FMData[[#This Row],[Show_Date]],"mmm")</f>
        <v>Aug</v>
      </c>
      <c r="E1477" s="1" t="str">
        <f>TEXT(FMData[[#This Row],[Show_Date]],"ddd")</f>
        <v>Thu</v>
      </c>
      <c r="F1477" t="s">
        <v>11</v>
      </c>
      <c r="G1477" t="s">
        <v>17</v>
      </c>
      <c r="H1477">
        <v>5</v>
      </c>
      <c r="I1477">
        <v>12</v>
      </c>
      <c r="J1477" t="s">
        <v>21</v>
      </c>
      <c r="K1477" t="s">
        <v>18</v>
      </c>
      <c r="L1477">
        <v>60</v>
      </c>
    </row>
    <row r="1478" spans="1:12" x14ac:dyDescent="0.3">
      <c r="A1478">
        <v>268</v>
      </c>
      <c r="B1478" t="s">
        <v>19</v>
      </c>
      <c r="C1478" s="1">
        <v>45904</v>
      </c>
      <c r="D1478" s="1" t="str">
        <f>TEXT(FMData[[#This Row],[Show_Date]],"mmm")</f>
        <v>Sep</v>
      </c>
      <c r="E1478" s="1" t="str">
        <f>TEXT(FMData[[#This Row],[Show_Date]],"ddd")</f>
        <v>Thu</v>
      </c>
      <c r="F1478" t="s">
        <v>16</v>
      </c>
      <c r="G1478" t="s">
        <v>30</v>
      </c>
      <c r="H1478">
        <v>4</v>
      </c>
      <c r="I1478">
        <v>8</v>
      </c>
      <c r="J1478" t="s">
        <v>23</v>
      </c>
      <c r="K1478" t="s">
        <v>27</v>
      </c>
      <c r="L1478">
        <v>32</v>
      </c>
    </row>
    <row r="1479" spans="1:12" x14ac:dyDescent="0.3">
      <c r="A1479">
        <v>751</v>
      </c>
      <c r="B1479" t="s">
        <v>19</v>
      </c>
      <c r="C1479" s="1">
        <v>45895</v>
      </c>
      <c r="D1479" s="1" t="str">
        <f>TEXT(FMData[[#This Row],[Show_Date]],"mmm")</f>
        <v>Aug</v>
      </c>
      <c r="E1479" s="1" t="str">
        <f>TEXT(FMData[[#This Row],[Show_Date]],"ddd")</f>
        <v>Tue</v>
      </c>
      <c r="F1479" t="s">
        <v>16</v>
      </c>
      <c r="G1479" t="s">
        <v>17</v>
      </c>
      <c r="H1479">
        <v>4</v>
      </c>
      <c r="I1479">
        <v>12</v>
      </c>
      <c r="J1479" t="s">
        <v>21</v>
      </c>
      <c r="K1479" t="s">
        <v>14</v>
      </c>
      <c r="L1479">
        <v>48</v>
      </c>
    </row>
    <row r="1480" spans="1:12" x14ac:dyDescent="0.3">
      <c r="A1480">
        <v>1586</v>
      </c>
      <c r="B1480" t="s">
        <v>26</v>
      </c>
      <c r="C1480" s="1">
        <v>45907</v>
      </c>
      <c r="D1480" s="1" t="str">
        <f>TEXT(FMData[[#This Row],[Show_Date]],"mmm")</f>
        <v>Sep</v>
      </c>
      <c r="E1480" s="1" t="str">
        <f>TEXT(FMData[[#This Row],[Show_Date]],"ddd")</f>
        <v>Sun</v>
      </c>
      <c r="F1480" t="s">
        <v>11</v>
      </c>
      <c r="G1480" t="s">
        <v>17</v>
      </c>
      <c r="H1480">
        <v>4</v>
      </c>
      <c r="I1480">
        <v>12</v>
      </c>
      <c r="J1480" t="s">
        <v>13</v>
      </c>
      <c r="K1480" t="s">
        <v>27</v>
      </c>
      <c r="L1480">
        <v>48</v>
      </c>
    </row>
    <row r="1481" spans="1:12" x14ac:dyDescent="0.3">
      <c r="A1481">
        <v>723</v>
      </c>
      <c r="B1481" t="s">
        <v>31</v>
      </c>
      <c r="C1481" s="1">
        <v>45921</v>
      </c>
      <c r="D1481" s="1" t="str">
        <f>TEXT(FMData[[#This Row],[Show_Date]],"mmm")</f>
        <v>Sep</v>
      </c>
      <c r="E1481" s="1" t="str">
        <f>TEXT(FMData[[#This Row],[Show_Date]],"ddd")</f>
        <v>Sun</v>
      </c>
      <c r="F1481" t="s">
        <v>16</v>
      </c>
      <c r="G1481" t="s">
        <v>30</v>
      </c>
      <c r="H1481">
        <v>5</v>
      </c>
      <c r="I1481">
        <v>8</v>
      </c>
      <c r="J1481" t="s">
        <v>23</v>
      </c>
      <c r="K1481" t="s">
        <v>25</v>
      </c>
      <c r="L1481">
        <v>40</v>
      </c>
    </row>
    <row r="1482" spans="1:12" x14ac:dyDescent="0.3">
      <c r="A1482">
        <v>1136</v>
      </c>
      <c r="B1482" t="s">
        <v>32</v>
      </c>
      <c r="C1482" s="1">
        <v>45876</v>
      </c>
      <c r="D1482" s="1" t="str">
        <f>TEXT(FMData[[#This Row],[Show_Date]],"mmm")</f>
        <v>Aug</v>
      </c>
      <c r="E1482" s="1" t="str">
        <f>TEXT(FMData[[#This Row],[Show_Date]],"ddd")</f>
        <v>Thu</v>
      </c>
      <c r="F1482" t="s">
        <v>11</v>
      </c>
      <c r="G1482" t="s">
        <v>12</v>
      </c>
      <c r="H1482">
        <v>2</v>
      </c>
      <c r="I1482">
        <v>25</v>
      </c>
      <c r="J1482" t="s">
        <v>21</v>
      </c>
      <c r="K1482" t="s">
        <v>14</v>
      </c>
      <c r="L1482">
        <v>50</v>
      </c>
    </row>
    <row r="1483" spans="1:12" x14ac:dyDescent="0.3">
      <c r="A1483">
        <v>1544</v>
      </c>
      <c r="B1483" t="s">
        <v>15</v>
      </c>
      <c r="C1483" s="1">
        <v>45925</v>
      </c>
      <c r="D1483" s="1" t="str">
        <f>TEXT(FMData[[#This Row],[Show_Date]],"mmm")</f>
        <v>Sep</v>
      </c>
      <c r="E1483" s="1" t="str">
        <f>TEXT(FMData[[#This Row],[Show_Date]],"ddd")</f>
        <v>Thu</v>
      </c>
      <c r="F1483" t="s">
        <v>20</v>
      </c>
      <c r="G1483" t="s">
        <v>17</v>
      </c>
      <c r="H1483">
        <v>3</v>
      </c>
      <c r="I1483">
        <v>12</v>
      </c>
      <c r="J1483" t="s">
        <v>13</v>
      </c>
      <c r="K1483" t="s">
        <v>14</v>
      </c>
      <c r="L1483">
        <v>36</v>
      </c>
    </row>
    <row r="1484" spans="1:12" x14ac:dyDescent="0.3">
      <c r="A1484">
        <v>1819</v>
      </c>
      <c r="B1484" t="s">
        <v>26</v>
      </c>
      <c r="C1484" s="1">
        <v>45888</v>
      </c>
      <c r="D1484" s="1" t="str">
        <f>TEXT(FMData[[#This Row],[Show_Date]],"mmm")</f>
        <v>Aug</v>
      </c>
      <c r="E1484" s="1" t="str">
        <f>TEXT(FMData[[#This Row],[Show_Date]],"ddd")</f>
        <v>Tue</v>
      </c>
      <c r="F1484" t="s">
        <v>11</v>
      </c>
      <c r="G1484" t="s">
        <v>22</v>
      </c>
      <c r="H1484">
        <v>1</v>
      </c>
      <c r="I1484">
        <v>20</v>
      </c>
      <c r="J1484" t="s">
        <v>21</v>
      </c>
      <c r="K1484" t="s">
        <v>25</v>
      </c>
      <c r="L1484">
        <v>20</v>
      </c>
    </row>
    <row r="1485" spans="1:12" x14ac:dyDescent="0.3">
      <c r="A1485">
        <v>401</v>
      </c>
      <c r="B1485" t="s">
        <v>19</v>
      </c>
      <c r="C1485" s="1">
        <v>45923</v>
      </c>
      <c r="D1485" s="1" t="str">
        <f>TEXT(FMData[[#This Row],[Show_Date]],"mmm")</f>
        <v>Sep</v>
      </c>
      <c r="E1485" s="1" t="str">
        <f>TEXT(FMData[[#This Row],[Show_Date]],"ddd")</f>
        <v>Tue</v>
      </c>
      <c r="F1485" t="s">
        <v>33</v>
      </c>
      <c r="G1485" t="s">
        <v>17</v>
      </c>
      <c r="H1485">
        <v>2</v>
      </c>
      <c r="I1485">
        <v>12</v>
      </c>
      <c r="J1485" t="s">
        <v>13</v>
      </c>
      <c r="K1485" t="s">
        <v>25</v>
      </c>
      <c r="L1485">
        <v>24</v>
      </c>
    </row>
    <row r="1486" spans="1:12" x14ac:dyDescent="0.3">
      <c r="A1486">
        <v>1739</v>
      </c>
      <c r="B1486" t="s">
        <v>28</v>
      </c>
      <c r="C1486" s="1">
        <v>45887</v>
      </c>
      <c r="D1486" s="1" t="str">
        <f>TEXT(FMData[[#This Row],[Show_Date]],"mmm")</f>
        <v>Aug</v>
      </c>
      <c r="E1486" s="1" t="str">
        <f>TEXT(FMData[[#This Row],[Show_Date]],"ddd")</f>
        <v>Mon</v>
      </c>
      <c r="F1486" t="s">
        <v>11</v>
      </c>
      <c r="G1486" t="s">
        <v>30</v>
      </c>
      <c r="H1486">
        <v>3</v>
      </c>
      <c r="I1486">
        <v>8</v>
      </c>
      <c r="J1486" t="s">
        <v>13</v>
      </c>
      <c r="K1486" t="s">
        <v>25</v>
      </c>
      <c r="L1486">
        <v>24</v>
      </c>
    </row>
    <row r="1487" spans="1:12" x14ac:dyDescent="0.3">
      <c r="A1487">
        <v>1276</v>
      </c>
      <c r="B1487" t="s">
        <v>19</v>
      </c>
      <c r="C1487" s="1">
        <v>45889</v>
      </c>
      <c r="D1487" s="1" t="str">
        <f>TEXT(FMData[[#This Row],[Show_Date]],"mmm")</f>
        <v>Aug</v>
      </c>
      <c r="E1487" s="1" t="str">
        <f>TEXT(FMData[[#This Row],[Show_Date]],"ddd")</f>
        <v>Wed</v>
      </c>
      <c r="F1487" t="s">
        <v>20</v>
      </c>
      <c r="G1487" t="s">
        <v>22</v>
      </c>
      <c r="H1487">
        <v>1</v>
      </c>
      <c r="I1487">
        <v>20</v>
      </c>
      <c r="J1487" t="s">
        <v>13</v>
      </c>
      <c r="K1487" t="s">
        <v>18</v>
      </c>
      <c r="L1487">
        <v>20</v>
      </c>
    </row>
    <row r="1488" spans="1:12" x14ac:dyDescent="0.3">
      <c r="A1488">
        <v>1979</v>
      </c>
      <c r="B1488" t="s">
        <v>32</v>
      </c>
      <c r="C1488" s="1">
        <v>45913</v>
      </c>
      <c r="D1488" s="1" t="str">
        <f>TEXT(FMData[[#This Row],[Show_Date]],"mmm")</f>
        <v>Sep</v>
      </c>
      <c r="E1488" s="1" t="str">
        <f>TEXT(FMData[[#This Row],[Show_Date]],"ddd")</f>
        <v>Sat</v>
      </c>
      <c r="F1488" t="s">
        <v>33</v>
      </c>
      <c r="G1488" t="s">
        <v>17</v>
      </c>
      <c r="H1488">
        <v>4</v>
      </c>
      <c r="I1488">
        <v>12</v>
      </c>
      <c r="J1488" t="s">
        <v>13</v>
      </c>
      <c r="K1488" t="s">
        <v>25</v>
      </c>
      <c r="L1488">
        <v>48</v>
      </c>
    </row>
    <row r="1489" spans="1:12" x14ac:dyDescent="0.3">
      <c r="A1489">
        <v>1104</v>
      </c>
      <c r="B1489" t="s">
        <v>24</v>
      </c>
      <c r="C1489" s="1">
        <v>45885</v>
      </c>
      <c r="D1489" s="1" t="str">
        <f>TEXT(FMData[[#This Row],[Show_Date]],"mmm")</f>
        <v>Aug</v>
      </c>
      <c r="E1489" s="1" t="str">
        <f>TEXT(FMData[[#This Row],[Show_Date]],"ddd")</f>
        <v>Sat</v>
      </c>
      <c r="F1489" t="s">
        <v>20</v>
      </c>
      <c r="G1489" t="s">
        <v>17</v>
      </c>
      <c r="H1489">
        <v>5</v>
      </c>
      <c r="I1489">
        <v>12</v>
      </c>
      <c r="J1489" t="s">
        <v>23</v>
      </c>
      <c r="K1489" t="s">
        <v>14</v>
      </c>
      <c r="L1489">
        <v>60</v>
      </c>
    </row>
    <row r="1490" spans="1:12" x14ac:dyDescent="0.3">
      <c r="A1490">
        <v>775</v>
      </c>
      <c r="B1490" t="s">
        <v>26</v>
      </c>
      <c r="C1490" s="1">
        <v>45864</v>
      </c>
      <c r="D1490" s="1" t="str">
        <f>TEXT(FMData[[#This Row],[Show_Date]],"mmm")</f>
        <v>Jul</v>
      </c>
      <c r="E1490" s="1" t="str">
        <f>TEXT(FMData[[#This Row],[Show_Date]],"ddd")</f>
        <v>Sat</v>
      </c>
      <c r="F1490" t="s">
        <v>16</v>
      </c>
      <c r="G1490" t="s">
        <v>12</v>
      </c>
      <c r="H1490">
        <v>3</v>
      </c>
      <c r="I1490">
        <v>25</v>
      </c>
      <c r="J1490" t="s">
        <v>21</v>
      </c>
      <c r="K1490" t="s">
        <v>14</v>
      </c>
      <c r="L1490">
        <v>75</v>
      </c>
    </row>
    <row r="1491" spans="1:12" x14ac:dyDescent="0.3">
      <c r="A1491">
        <v>724</v>
      </c>
      <c r="B1491" t="s">
        <v>24</v>
      </c>
      <c r="C1491" s="1">
        <v>45851</v>
      </c>
      <c r="D1491" s="1" t="str">
        <f>TEXT(FMData[[#This Row],[Show_Date]],"mmm")</f>
        <v>Jul</v>
      </c>
      <c r="E1491" s="1" t="str">
        <f>TEXT(FMData[[#This Row],[Show_Date]],"ddd")</f>
        <v>Sun</v>
      </c>
      <c r="F1491" t="s">
        <v>11</v>
      </c>
      <c r="G1491" t="s">
        <v>17</v>
      </c>
      <c r="H1491">
        <v>2</v>
      </c>
      <c r="I1491">
        <v>12</v>
      </c>
      <c r="J1491" t="s">
        <v>13</v>
      </c>
      <c r="K1491" t="s">
        <v>18</v>
      </c>
      <c r="L1491">
        <v>24</v>
      </c>
    </row>
    <row r="1492" spans="1:12" x14ac:dyDescent="0.3">
      <c r="A1492">
        <v>1591</v>
      </c>
      <c r="B1492" t="s">
        <v>31</v>
      </c>
      <c r="C1492" s="1">
        <v>45918</v>
      </c>
      <c r="D1492" s="1" t="str">
        <f>TEXT(FMData[[#This Row],[Show_Date]],"mmm")</f>
        <v>Sep</v>
      </c>
      <c r="E1492" s="1" t="str">
        <f>TEXT(FMData[[#This Row],[Show_Date]],"ddd")</f>
        <v>Thu</v>
      </c>
      <c r="F1492" t="s">
        <v>33</v>
      </c>
      <c r="G1492" t="s">
        <v>29</v>
      </c>
      <c r="H1492">
        <v>4</v>
      </c>
      <c r="I1492">
        <v>30</v>
      </c>
      <c r="J1492" t="s">
        <v>21</v>
      </c>
      <c r="K1492" t="s">
        <v>14</v>
      </c>
      <c r="L1492">
        <v>120</v>
      </c>
    </row>
    <row r="1493" spans="1:12" x14ac:dyDescent="0.3">
      <c r="A1493">
        <v>1568</v>
      </c>
      <c r="B1493" t="s">
        <v>31</v>
      </c>
      <c r="C1493" s="1">
        <v>45910</v>
      </c>
      <c r="D1493" s="1" t="str">
        <f>TEXT(FMData[[#This Row],[Show_Date]],"mmm")</f>
        <v>Sep</v>
      </c>
      <c r="E1493" s="1" t="str">
        <f>TEXT(FMData[[#This Row],[Show_Date]],"ddd")</f>
        <v>Wed</v>
      </c>
      <c r="F1493" t="s">
        <v>11</v>
      </c>
      <c r="G1493" t="s">
        <v>30</v>
      </c>
      <c r="H1493">
        <v>4</v>
      </c>
      <c r="I1493">
        <v>8</v>
      </c>
      <c r="J1493" t="s">
        <v>23</v>
      </c>
      <c r="K1493" t="s">
        <v>14</v>
      </c>
      <c r="L1493">
        <v>32</v>
      </c>
    </row>
    <row r="1494" spans="1:12" x14ac:dyDescent="0.3">
      <c r="A1494">
        <v>217</v>
      </c>
      <c r="B1494" t="s">
        <v>31</v>
      </c>
      <c r="C1494" s="1">
        <v>45843</v>
      </c>
      <c r="D1494" s="1" t="str">
        <f>TEXT(FMData[[#This Row],[Show_Date]],"mmm")</f>
        <v>Jul</v>
      </c>
      <c r="E1494" s="1" t="str">
        <f>TEXT(FMData[[#This Row],[Show_Date]],"ddd")</f>
        <v>Sat</v>
      </c>
      <c r="F1494" t="s">
        <v>20</v>
      </c>
      <c r="G1494" t="s">
        <v>22</v>
      </c>
      <c r="H1494">
        <v>2</v>
      </c>
      <c r="I1494">
        <v>20</v>
      </c>
      <c r="J1494" t="s">
        <v>23</v>
      </c>
      <c r="K1494" t="s">
        <v>25</v>
      </c>
      <c r="L1494">
        <v>40</v>
      </c>
    </row>
    <row r="1495" spans="1:12" x14ac:dyDescent="0.3">
      <c r="A1495">
        <v>1697</v>
      </c>
      <c r="B1495" t="s">
        <v>24</v>
      </c>
      <c r="C1495" s="1">
        <v>45898</v>
      </c>
      <c r="D1495" s="1" t="str">
        <f>TEXT(FMData[[#This Row],[Show_Date]],"mmm")</f>
        <v>Aug</v>
      </c>
      <c r="E1495" s="1" t="str">
        <f>TEXT(FMData[[#This Row],[Show_Date]],"ddd")</f>
        <v>Fri</v>
      </c>
      <c r="F1495" t="s">
        <v>20</v>
      </c>
      <c r="G1495" t="s">
        <v>29</v>
      </c>
      <c r="H1495">
        <v>3</v>
      </c>
      <c r="I1495">
        <v>30</v>
      </c>
      <c r="J1495" t="s">
        <v>23</v>
      </c>
      <c r="K1495" t="s">
        <v>18</v>
      </c>
      <c r="L1495">
        <v>90</v>
      </c>
    </row>
    <row r="1496" spans="1:12" x14ac:dyDescent="0.3">
      <c r="A1496">
        <v>1472</v>
      </c>
      <c r="B1496" t="s">
        <v>26</v>
      </c>
      <c r="C1496" s="1">
        <v>45915</v>
      </c>
      <c r="D1496" s="1" t="str">
        <f>TEXT(FMData[[#This Row],[Show_Date]],"mmm")</f>
        <v>Sep</v>
      </c>
      <c r="E1496" s="1" t="str">
        <f>TEXT(FMData[[#This Row],[Show_Date]],"ddd")</f>
        <v>Mon</v>
      </c>
      <c r="F1496" t="s">
        <v>11</v>
      </c>
      <c r="G1496" t="s">
        <v>30</v>
      </c>
      <c r="H1496">
        <v>4</v>
      </c>
      <c r="I1496">
        <v>8</v>
      </c>
      <c r="J1496" t="s">
        <v>23</v>
      </c>
      <c r="K1496" t="s">
        <v>27</v>
      </c>
      <c r="L1496">
        <v>32</v>
      </c>
    </row>
    <row r="1497" spans="1:12" x14ac:dyDescent="0.3">
      <c r="A1497">
        <v>1977</v>
      </c>
      <c r="B1497" t="s">
        <v>28</v>
      </c>
      <c r="C1497" s="1">
        <v>45871</v>
      </c>
      <c r="D1497" s="1" t="str">
        <f>TEXT(FMData[[#This Row],[Show_Date]],"mmm")</f>
        <v>Aug</v>
      </c>
      <c r="E1497" s="1" t="str">
        <f>TEXT(FMData[[#This Row],[Show_Date]],"ddd")</f>
        <v>Sat</v>
      </c>
      <c r="F1497" t="s">
        <v>33</v>
      </c>
      <c r="G1497" t="s">
        <v>17</v>
      </c>
      <c r="H1497">
        <v>3</v>
      </c>
      <c r="I1497">
        <v>12</v>
      </c>
      <c r="J1497" t="s">
        <v>23</v>
      </c>
      <c r="K1497" t="s">
        <v>14</v>
      </c>
      <c r="L1497">
        <v>36</v>
      </c>
    </row>
    <row r="1498" spans="1:12" x14ac:dyDescent="0.3">
      <c r="A1498">
        <v>1370</v>
      </c>
      <c r="B1498" t="s">
        <v>26</v>
      </c>
      <c r="C1498" s="1">
        <v>45891</v>
      </c>
      <c r="D1498" s="1" t="str">
        <f>TEXT(FMData[[#This Row],[Show_Date]],"mmm")</f>
        <v>Aug</v>
      </c>
      <c r="E1498" s="1" t="str">
        <f>TEXT(FMData[[#This Row],[Show_Date]],"ddd")</f>
        <v>Fri</v>
      </c>
      <c r="F1498" t="s">
        <v>33</v>
      </c>
      <c r="G1498" t="s">
        <v>30</v>
      </c>
      <c r="H1498">
        <v>2</v>
      </c>
      <c r="I1498">
        <v>8</v>
      </c>
      <c r="J1498" t="s">
        <v>21</v>
      </c>
      <c r="K1498" t="s">
        <v>18</v>
      </c>
      <c r="L1498">
        <v>16</v>
      </c>
    </row>
    <row r="1499" spans="1:12" x14ac:dyDescent="0.3">
      <c r="A1499">
        <v>741</v>
      </c>
      <c r="B1499" t="s">
        <v>28</v>
      </c>
      <c r="C1499" s="1">
        <v>45912</v>
      </c>
      <c r="D1499" s="1" t="str">
        <f>TEXT(FMData[[#This Row],[Show_Date]],"mmm")</f>
        <v>Sep</v>
      </c>
      <c r="E1499" s="1" t="str">
        <f>TEXT(FMData[[#This Row],[Show_Date]],"ddd")</f>
        <v>Fri</v>
      </c>
      <c r="F1499" t="s">
        <v>20</v>
      </c>
      <c r="G1499" t="s">
        <v>17</v>
      </c>
      <c r="H1499">
        <v>1</v>
      </c>
      <c r="I1499">
        <v>12</v>
      </c>
      <c r="J1499" t="s">
        <v>13</v>
      </c>
      <c r="K1499" t="s">
        <v>14</v>
      </c>
      <c r="L1499">
        <v>12</v>
      </c>
    </row>
    <row r="1500" spans="1:12" x14ac:dyDescent="0.3">
      <c r="A1500">
        <v>202</v>
      </c>
      <c r="B1500" t="s">
        <v>19</v>
      </c>
      <c r="C1500" s="1">
        <v>45914</v>
      </c>
      <c r="D1500" s="1" t="str">
        <f>TEXT(FMData[[#This Row],[Show_Date]],"mmm")</f>
        <v>Sep</v>
      </c>
      <c r="E1500" s="1" t="str">
        <f>TEXT(FMData[[#This Row],[Show_Date]],"ddd")</f>
        <v>Sun</v>
      </c>
      <c r="F1500" t="s">
        <v>20</v>
      </c>
      <c r="G1500" t="s">
        <v>17</v>
      </c>
      <c r="H1500">
        <v>1</v>
      </c>
      <c r="I1500">
        <v>12</v>
      </c>
      <c r="J1500" t="s">
        <v>23</v>
      </c>
      <c r="K1500" t="s">
        <v>25</v>
      </c>
      <c r="L1500">
        <v>12</v>
      </c>
    </row>
    <row r="1501" spans="1:12" x14ac:dyDescent="0.3">
      <c r="A1501">
        <v>1189</v>
      </c>
      <c r="B1501" t="s">
        <v>32</v>
      </c>
      <c r="C1501" s="1">
        <v>45881</v>
      </c>
      <c r="D1501" s="1" t="str">
        <f>TEXT(FMData[[#This Row],[Show_Date]],"mmm")</f>
        <v>Aug</v>
      </c>
      <c r="E1501" s="1" t="str">
        <f>TEXT(FMData[[#This Row],[Show_Date]],"ddd")</f>
        <v>Tue</v>
      </c>
      <c r="F1501" t="s">
        <v>20</v>
      </c>
      <c r="G1501" t="s">
        <v>22</v>
      </c>
      <c r="H1501">
        <v>4</v>
      </c>
      <c r="I1501">
        <v>20</v>
      </c>
      <c r="J1501" t="s">
        <v>13</v>
      </c>
      <c r="K1501" t="s">
        <v>25</v>
      </c>
      <c r="L1501">
        <v>80</v>
      </c>
    </row>
    <row r="1502" spans="1:12" x14ac:dyDescent="0.3">
      <c r="A1502">
        <v>18</v>
      </c>
      <c r="B1502" t="s">
        <v>19</v>
      </c>
      <c r="C1502" s="1">
        <v>45878</v>
      </c>
      <c r="D1502" s="1" t="str">
        <f>TEXT(FMData[[#This Row],[Show_Date]],"mmm")</f>
        <v>Aug</v>
      </c>
      <c r="E1502" s="1" t="str">
        <f>TEXT(FMData[[#This Row],[Show_Date]],"ddd")</f>
        <v>Sat</v>
      </c>
      <c r="F1502" t="s">
        <v>20</v>
      </c>
      <c r="G1502" t="s">
        <v>22</v>
      </c>
      <c r="H1502">
        <v>3</v>
      </c>
      <c r="I1502">
        <v>20</v>
      </c>
      <c r="J1502" t="s">
        <v>21</v>
      </c>
      <c r="K1502" t="s">
        <v>25</v>
      </c>
      <c r="L1502">
        <v>60</v>
      </c>
    </row>
    <row r="1503" spans="1:12" x14ac:dyDescent="0.3">
      <c r="A1503">
        <v>1736</v>
      </c>
      <c r="B1503" t="s">
        <v>19</v>
      </c>
      <c r="C1503" s="1">
        <v>45859</v>
      </c>
      <c r="D1503" s="1" t="str">
        <f>TEXT(FMData[[#This Row],[Show_Date]],"mmm")</f>
        <v>Jul</v>
      </c>
      <c r="E1503" s="1" t="str">
        <f>TEXT(FMData[[#This Row],[Show_Date]],"ddd")</f>
        <v>Mon</v>
      </c>
      <c r="F1503" t="s">
        <v>20</v>
      </c>
      <c r="G1503" t="s">
        <v>17</v>
      </c>
      <c r="H1503">
        <v>5</v>
      </c>
      <c r="I1503">
        <v>12</v>
      </c>
      <c r="J1503" t="s">
        <v>23</v>
      </c>
      <c r="K1503" t="s">
        <v>27</v>
      </c>
      <c r="L1503">
        <v>60</v>
      </c>
    </row>
    <row r="1504" spans="1:12" x14ac:dyDescent="0.3">
      <c r="A1504">
        <v>1792</v>
      </c>
      <c r="B1504" t="s">
        <v>10</v>
      </c>
      <c r="C1504" s="1">
        <v>45914</v>
      </c>
      <c r="D1504" s="1" t="str">
        <f>TEXT(FMData[[#This Row],[Show_Date]],"mmm")</f>
        <v>Sep</v>
      </c>
      <c r="E1504" s="1" t="str">
        <f>TEXT(FMData[[#This Row],[Show_Date]],"ddd")</f>
        <v>Sun</v>
      </c>
      <c r="F1504" t="s">
        <v>20</v>
      </c>
      <c r="G1504" t="s">
        <v>17</v>
      </c>
      <c r="H1504">
        <v>1</v>
      </c>
      <c r="I1504">
        <v>12</v>
      </c>
      <c r="J1504" t="s">
        <v>21</v>
      </c>
      <c r="K1504" t="s">
        <v>27</v>
      </c>
      <c r="L1504">
        <v>12</v>
      </c>
    </row>
    <row r="1505" spans="1:12" x14ac:dyDescent="0.3">
      <c r="A1505">
        <v>480</v>
      </c>
      <c r="B1505" t="s">
        <v>31</v>
      </c>
      <c r="C1505" s="1">
        <v>45878</v>
      </c>
      <c r="D1505" s="1" t="str">
        <f>TEXT(FMData[[#This Row],[Show_Date]],"mmm")</f>
        <v>Aug</v>
      </c>
      <c r="E1505" s="1" t="str">
        <f>TEXT(FMData[[#This Row],[Show_Date]],"ddd")</f>
        <v>Sat</v>
      </c>
      <c r="F1505" t="s">
        <v>33</v>
      </c>
      <c r="G1505" t="s">
        <v>30</v>
      </c>
      <c r="H1505">
        <v>3</v>
      </c>
      <c r="I1505">
        <v>8</v>
      </c>
      <c r="J1505" t="s">
        <v>13</v>
      </c>
      <c r="K1505" t="s">
        <v>25</v>
      </c>
      <c r="L1505">
        <v>24</v>
      </c>
    </row>
    <row r="1506" spans="1:12" x14ac:dyDescent="0.3">
      <c r="A1506">
        <v>80</v>
      </c>
      <c r="B1506" t="s">
        <v>31</v>
      </c>
      <c r="C1506" s="1">
        <v>45885</v>
      </c>
      <c r="D1506" s="1" t="str">
        <f>TEXT(FMData[[#This Row],[Show_Date]],"mmm")</f>
        <v>Aug</v>
      </c>
      <c r="E1506" s="1" t="str">
        <f>TEXT(FMData[[#This Row],[Show_Date]],"ddd")</f>
        <v>Sat</v>
      </c>
      <c r="F1506" t="s">
        <v>16</v>
      </c>
      <c r="G1506" t="s">
        <v>30</v>
      </c>
      <c r="H1506">
        <v>2</v>
      </c>
      <c r="I1506">
        <v>8</v>
      </c>
      <c r="J1506" t="s">
        <v>23</v>
      </c>
      <c r="K1506" t="s">
        <v>14</v>
      </c>
      <c r="L1506">
        <v>16</v>
      </c>
    </row>
    <row r="1507" spans="1:12" x14ac:dyDescent="0.3">
      <c r="A1507">
        <v>1240</v>
      </c>
      <c r="B1507" t="s">
        <v>32</v>
      </c>
      <c r="C1507" s="1">
        <v>45843</v>
      </c>
      <c r="D1507" s="1" t="str">
        <f>TEXT(FMData[[#This Row],[Show_Date]],"mmm")</f>
        <v>Jul</v>
      </c>
      <c r="E1507" s="1" t="str">
        <f>TEXT(FMData[[#This Row],[Show_Date]],"ddd")</f>
        <v>Sat</v>
      </c>
      <c r="F1507" t="s">
        <v>11</v>
      </c>
      <c r="G1507" t="s">
        <v>12</v>
      </c>
      <c r="H1507">
        <v>2</v>
      </c>
      <c r="I1507">
        <v>25</v>
      </c>
      <c r="J1507" t="s">
        <v>23</v>
      </c>
      <c r="K1507" t="s">
        <v>25</v>
      </c>
      <c r="L1507">
        <v>50</v>
      </c>
    </row>
    <row r="1508" spans="1:12" x14ac:dyDescent="0.3">
      <c r="A1508">
        <v>1440</v>
      </c>
      <c r="B1508" t="s">
        <v>32</v>
      </c>
      <c r="C1508" s="1">
        <v>45859</v>
      </c>
      <c r="D1508" s="1" t="str">
        <f>TEXT(FMData[[#This Row],[Show_Date]],"mmm")</f>
        <v>Jul</v>
      </c>
      <c r="E1508" s="1" t="str">
        <f>TEXT(FMData[[#This Row],[Show_Date]],"ddd")</f>
        <v>Mon</v>
      </c>
      <c r="F1508" t="s">
        <v>33</v>
      </c>
      <c r="G1508" t="s">
        <v>29</v>
      </c>
      <c r="H1508">
        <v>5</v>
      </c>
      <c r="I1508">
        <v>30</v>
      </c>
      <c r="J1508" t="s">
        <v>23</v>
      </c>
      <c r="K1508" t="s">
        <v>18</v>
      </c>
      <c r="L1508">
        <v>150</v>
      </c>
    </row>
    <row r="1509" spans="1:12" x14ac:dyDescent="0.3">
      <c r="A1509">
        <v>717</v>
      </c>
      <c r="B1509" t="s">
        <v>32</v>
      </c>
      <c r="C1509" s="1">
        <v>45886</v>
      </c>
      <c r="D1509" s="1" t="str">
        <f>TEXT(FMData[[#This Row],[Show_Date]],"mmm")</f>
        <v>Aug</v>
      </c>
      <c r="E1509" s="1" t="str">
        <f>TEXT(FMData[[#This Row],[Show_Date]],"ddd")</f>
        <v>Sun</v>
      </c>
      <c r="F1509" t="s">
        <v>20</v>
      </c>
      <c r="G1509" t="s">
        <v>12</v>
      </c>
      <c r="H1509">
        <v>3</v>
      </c>
      <c r="I1509">
        <v>25</v>
      </c>
      <c r="J1509" t="s">
        <v>13</v>
      </c>
      <c r="K1509" t="s">
        <v>18</v>
      </c>
      <c r="L1509">
        <v>75</v>
      </c>
    </row>
    <row r="1510" spans="1:12" x14ac:dyDescent="0.3">
      <c r="A1510">
        <v>728</v>
      </c>
      <c r="B1510" t="s">
        <v>32</v>
      </c>
      <c r="C1510" s="1">
        <v>45851</v>
      </c>
      <c r="D1510" s="1" t="str">
        <f>TEXT(FMData[[#This Row],[Show_Date]],"mmm")</f>
        <v>Jul</v>
      </c>
      <c r="E1510" s="1" t="str">
        <f>TEXT(FMData[[#This Row],[Show_Date]],"ddd")</f>
        <v>Sun</v>
      </c>
      <c r="F1510" t="s">
        <v>33</v>
      </c>
      <c r="G1510" t="s">
        <v>17</v>
      </c>
      <c r="H1510">
        <v>4</v>
      </c>
      <c r="I1510">
        <v>12</v>
      </c>
      <c r="J1510" t="s">
        <v>23</v>
      </c>
      <c r="K1510" t="s">
        <v>25</v>
      </c>
      <c r="L1510">
        <v>48</v>
      </c>
    </row>
    <row r="1511" spans="1:12" x14ac:dyDescent="0.3">
      <c r="A1511">
        <v>712</v>
      </c>
      <c r="B1511" t="s">
        <v>26</v>
      </c>
      <c r="C1511" s="1">
        <v>45858</v>
      </c>
      <c r="D1511" s="1" t="str">
        <f>TEXT(FMData[[#This Row],[Show_Date]],"mmm")</f>
        <v>Jul</v>
      </c>
      <c r="E1511" s="1" t="str">
        <f>TEXT(FMData[[#This Row],[Show_Date]],"ddd")</f>
        <v>Sun</v>
      </c>
      <c r="F1511" t="s">
        <v>11</v>
      </c>
      <c r="G1511" t="s">
        <v>12</v>
      </c>
      <c r="H1511">
        <v>2</v>
      </c>
      <c r="I1511">
        <v>25</v>
      </c>
      <c r="J1511" t="s">
        <v>21</v>
      </c>
      <c r="K1511" t="s">
        <v>18</v>
      </c>
      <c r="L1511">
        <v>50</v>
      </c>
    </row>
    <row r="1512" spans="1:12" x14ac:dyDescent="0.3">
      <c r="A1512">
        <v>1933</v>
      </c>
      <c r="B1512" t="s">
        <v>24</v>
      </c>
      <c r="C1512" s="1">
        <v>45911</v>
      </c>
      <c r="D1512" s="1" t="str">
        <f>TEXT(FMData[[#This Row],[Show_Date]],"mmm")</f>
        <v>Sep</v>
      </c>
      <c r="E1512" s="1" t="str">
        <f>TEXT(FMData[[#This Row],[Show_Date]],"ddd")</f>
        <v>Thu</v>
      </c>
      <c r="F1512" t="s">
        <v>33</v>
      </c>
      <c r="G1512" t="s">
        <v>12</v>
      </c>
      <c r="H1512">
        <v>3</v>
      </c>
      <c r="I1512">
        <v>25</v>
      </c>
      <c r="J1512" t="s">
        <v>13</v>
      </c>
      <c r="K1512" t="s">
        <v>25</v>
      </c>
      <c r="L1512">
        <v>75</v>
      </c>
    </row>
    <row r="1513" spans="1:12" x14ac:dyDescent="0.3">
      <c r="A1513">
        <v>886</v>
      </c>
      <c r="B1513" t="s">
        <v>15</v>
      </c>
      <c r="C1513" s="1">
        <v>45888</v>
      </c>
      <c r="D1513" s="1" t="str">
        <f>TEXT(FMData[[#This Row],[Show_Date]],"mmm")</f>
        <v>Aug</v>
      </c>
      <c r="E1513" s="1" t="str">
        <f>TEXT(FMData[[#This Row],[Show_Date]],"ddd")</f>
        <v>Tue</v>
      </c>
      <c r="F1513" t="s">
        <v>33</v>
      </c>
      <c r="G1513" t="s">
        <v>29</v>
      </c>
      <c r="H1513">
        <v>2</v>
      </c>
      <c r="I1513">
        <v>30</v>
      </c>
      <c r="J1513" t="s">
        <v>13</v>
      </c>
      <c r="K1513" t="s">
        <v>25</v>
      </c>
      <c r="L1513">
        <v>60</v>
      </c>
    </row>
    <row r="1514" spans="1:12" x14ac:dyDescent="0.3">
      <c r="A1514">
        <v>753</v>
      </c>
      <c r="B1514" t="s">
        <v>26</v>
      </c>
      <c r="C1514" s="1">
        <v>45910</v>
      </c>
      <c r="D1514" s="1" t="str">
        <f>TEXT(FMData[[#This Row],[Show_Date]],"mmm")</f>
        <v>Sep</v>
      </c>
      <c r="E1514" s="1" t="str">
        <f>TEXT(FMData[[#This Row],[Show_Date]],"ddd")</f>
        <v>Wed</v>
      </c>
      <c r="F1514" t="s">
        <v>11</v>
      </c>
      <c r="G1514" t="s">
        <v>17</v>
      </c>
      <c r="H1514">
        <v>3</v>
      </c>
      <c r="I1514">
        <v>12</v>
      </c>
      <c r="J1514" t="s">
        <v>13</v>
      </c>
      <c r="K1514" t="s">
        <v>14</v>
      </c>
      <c r="L1514">
        <v>36</v>
      </c>
    </row>
    <row r="1515" spans="1:12" x14ac:dyDescent="0.3">
      <c r="A1515">
        <v>1234</v>
      </c>
      <c r="B1515" t="s">
        <v>24</v>
      </c>
      <c r="C1515" s="1">
        <v>45844</v>
      </c>
      <c r="D1515" s="1" t="str">
        <f>TEXT(FMData[[#This Row],[Show_Date]],"mmm")</f>
        <v>Jul</v>
      </c>
      <c r="E1515" s="1" t="str">
        <f>TEXT(FMData[[#This Row],[Show_Date]],"ddd")</f>
        <v>Sun</v>
      </c>
      <c r="F1515" t="s">
        <v>16</v>
      </c>
      <c r="G1515" t="s">
        <v>17</v>
      </c>
      <c r="H1515">
        <v>3</v>
      </c>
      <c r="I1515">
        <v>12</v>
      </c>
      <c r="J1515" t="s">
        <v>23</v>
      </c>
      <c r="K1515" t="s">
        <v>25</v>
      </c>
      <c r="L1515">
        <v>36</v>
      </c>
    </row>
    <row r="1516" spans="1:12" x14ac:dyDescent="0.3">
      <c r="A1516">
        <v>1330</v>
      </c>
      <c r="B1516" t="s">
        <v>15</v>
      </c>
      <c r="C1516" s="1">
        <v>45924</v>
      </c>
      <c r="D1516" s="1" t="str">
        <f>TEXT(FMData[[#This Row],[Show_Date]],"mmm")</f>
        <v>Sep</v>
      </c>
      <c r="E1516" s="1" t="str">
        <f>TEXT(FMData[[#This Row],[Show_Date]],"ddd")</f>
        <v>Wed</v>
      </c>
      <c r="F1516" t="s">
        <v>16</v>
      </c>
      <c r="G1516" t="s">
        <v>30</v>
      </c>
      <c r="H1516">
        <v>5</v>
      </c>
      <c r="I1516">
        <v>8</v>
      </c>
      <c r="J1516" t="s">
        <v>13</v>
      </c>
      <c r="K1516" t="s">
        <v>25</v>
      </c>
      <c r="L1516">
        <v>40</v>
      </c>
    </row>
    <row r="1517" spans="1:12" x14ac:dyDescent="0.3">
      <c r="A1517">
        <v>1297</v>
      </c>
      <c r="B1517" t="s">
        <v>32</v>
      </c>
      <c r="C1517" s="1">
        <v>45912</v>
      </c>
      <c r="D1517" s="1" t="str">
        <f>TEXT(FMData[[#This Row],[Show_Date]],"mmm")</f>
        <v>Sep</v>
      </c>
      <c r="E1517" s="1" t="str">
        <f>TEXT(FMData[[#This Row],[Show_Date]],"ddd")</f>
        <v>Fri</v>
      </c>
      <c r="F1517" t="s">
        <v>20</v>
      </c>
      <c r="G1517" t="s">
        <v>12</v>
      </c>
      <c r="H1517">
        <v>4</v>
      </c>
      <c r="I1517">
        <v>25</v>
      </c>
      <c r="J1517" t="s">
        <v>13</v>
      </c>
      <c r="K1517" t="s">
        <v>14</v>
      </c>
      <c r="L1517">
        <v>100</v>
      </c>
    </row>
    <row r="1518" spans="1:12" x14ac:dyDescent="0.3">
      <c r="A1518">
        <v>1769</v>
      </c>
      <c r="B1518" t="s">
        <v>28</v>
      </c>
      <c r="C1518" s="1">
        <v>45840</v>
      </c>
      <c r="D1518" s="1" t="str">
        <f>TEXT(FMData[[#This Row],[Show_Date]],"mmm")</f>
        <v>Jul</v>
      </c>
      <c r="E1518" s="1" t="str">
        <f>TEXT(FMData[[#This Row],[Show_Date]],"ddd")</f>
        <v>Wed</v>
      </c>
      <c r="F1518" t="s">
        <v>11</v>
      </c>
      <c r="G1518" t="s">
        <v>17</v>
      </c>
      <c r="H1518">
        <v>2</v>
      </c>
      <c r="I1518">
        <v>12</v>
      </c>
      <c r="J1518" t="s">
        <v>21</v>
      </c>
      <c r="K1518" t="s">
        <v>25</v>
      </c>
      <c r="L1518">
        <v>24</v>
      </c>
    </row>
    <row r="1519" spans="1:12" x14ac:dyDescent="0.3">
      <c r="A1519">
        <v>1340</v>
      </c>
      <c r="B1519" t="s">
        <v>10</v>
      </c>
      <c r="C1519" s="1">
        <v>45844</v>
      </c>
      <c r="D1519" s="1" t="str">
        <f>TEXT(FMData[[#This Row],[Show_Date]],"mmm")</f>
        <v>Jul</v>
      </c>
      <c r="E1519" s="1" t="str">
        <f>TEXT(FMData[[#This Row],[Show_Date]],"ddd")</f>
        <v>Sun</v>
      </c>
      <c r="F1519" t="s">
        <v>33</v>
      </c>
      <c r="G1519" t="s">
        <v>30</v>
      </c>
      <c r="H1519">
        <v>5</v>
      </c>
      <c r="I1519">
        <v>8</v>
      </c>
      <c r="J1519" t="s">
        <v>23</v>
      </c>
      <c r="K1519" t="s">
        <v>18</v>
      </c>
      <c r="L1519">
        <v>40</v>
      </c>
    </row>
    <row r="1520" spans="1:12" x14ac:dyDescent="0.3">
      <c r="A1520">
        <v>10</v>
      </c>
      <c r="B1520" t="s">
        <v>26</v>
      </c>
      <c r="C1520" s="1">
        <v>45848</v>
      </c>
      <c r="D1520" s="1" t="str">
        <f>TEXT(FMData[[#This Row],[Show_Date]],"mmm")</f>
        <v>Jul</v>
      </c>
      <c r="E1520" s="1" t="str">
        <f>TEXT(FMData[[#This Row],[Show_Date]],"ddd")</f>
        <v>Thu</v>
      </c>
      <c r="F1520" t="s">
        <v>33</v>
      </c>
      <c r="G1520" t="s">
        <v>17</v>
      </c>
      <c r="H1520">
        <v>2</v>
      </c>
      <c r="I1520">
        <v>12</v>
      </c>
      <c r="J1520" t="s">
        <v>21</v>
      </c>
      <c r="K1520" t="s">
        <v>14</v>
      </c>
      <c r="L1520">
        <v>24</v>
      </c>
    </row>
    <row r="1521" spans="1:12" x14ac:dyDescent="0.3">
      <c r="A1521">
        <v>1540</v>
      </c>
      <c r="B1521" t="s">
        <v>15</v>
      </c>
      <c r="C1521" s="1">
        <v>45864</v>
      </c>
      <c r="D1521" s="1" t="str">
        <f>TEXT(FMData[[#This Row],[Show_Date]],"mmm")</f>
        <v>Jul</v>
      </c>
      <c r="E1521" s="1" t="str">
        <f>TEXT(FMData[[#This Row],[Show_Date]],"ddd")</f>
        <v>Sat</v>
      </c>
      <c r="F1521" t="s">
        <v>33</v>
      </c>
      <c r="G1521" t="s">
        <v>17</v>
      </c>
      <c r="H1521">
        <v>2</v>
      </c>
      <c r="I1521">
        <v>12</v>
      </c>
      <c r="J1521" t="s">
        <v>21</v>
      </c>
      <c r="K1521" t="s">
        <v>18</v>
      </c>
      <c r="L1521">
        <v>24</v>
      </c>
    </row>
    <row r="1522" spans="1:12" x14ac:dyDescent="0.3">
      <c r="A1522">
        <v>122</v>
      </c>
      <c r="B1522" t="s">
        <v>15</v>
      </c>
      <c r="C1522" s="1">
        <v>45918</v>
      </c>
      <c r="D1522" s="1" t="str">
        <f>TEXT(FMData[[#This Row],[Show_Date]],"mmm")</f>
        <v>Sep</v>
      </c>
      <c r="E1522" s="1" t="str">
        <f>TEXT(FMData[[#This Row],[Show_Date]],"ddd")</f>
        <v>Thu</v>
      </c>
      <c r="F1522" t="s">
        <v>16</v>
      </c>
      <c r="G1522" t="s">
        <v>12</v>
      </c>
      <c r="H1522">
        <v>2</v>
      </c>
      <c r="I1522">
        <v>25</v>
      </c>
      <c r="J1522" t="s">
        <v>21</v>
      </c>
      <c r="K1522" t="s">
        <v>18</v>
      </c>
      <c r="L1522">
        <v>50</v>
      </c>
    </row>
    <row r="1523" spans="1:12" x14ac:dyDescent="0.3">
      <c r="A1523">
        <v>1277</v>
      </c>
      <c r="B1523" t="s">
        <v>24</v>
      </c>
      <c r="C1523" s="1">
        <v>45867</v>
      </c>
      <c r="D1523" s="1" t="str">
        <f>TEXT(FMData[[#This Row],[Show_Date]],"mmm")</f>
        <v>Jul</v>
      </c>
      <c r="E1523" s="1" t="str">
        <f>TEXT(FMData[[#This Row],[Show_Date]],"ddd")</f>
        <v>Tue</v>
      </c>
      <c r="F1523" t="s">
        <v>33</v>
      </c>
      <c r="G1523" t="s">
        <v>22</v>
      </c>
      <c r="H1523">
        <v>2</v>
      </c>
      <c r="I1523">
        <v>20</v>
      </c>
      <c r="J1523" t="s">
        <v>23</v>
      </c>
      <c r="K1523" t="s">
        <v>14</v>
      </c>
      <c r="L1523">
        <v>40</v>
      </c>
    </row>
    <row r="1524" spans="1:12" x14ac:dyDescent="0.3">
      <c r="A1524">
        <v>1688</v>
      </c>
      <c r="B1524" t="s">
        <v>24</v>
      </c>
      <c r="C1524" s="1">
        <v>45885</v>
      </c>
      <c r="D1524" s="1" t="str">
        <f>TEXT(FMData[[#This Row],[Show_Date]],"mmm")</f>
        <v>Aug</v>
      </c>
      <c r="E1524" s="1" t="str">
        <f>TEXT(FMData[[#This Row],[Show_Date]],"ddd")</f>
        <v>Sat</v>
      </c>
      <c r="F1524" t="s">
        <v>20</v>
      </c>
      <c r="G1524" t="s">
        <v>17</v>
      </c>
      <c r="H1524">
        <v>1</v>
      </c>
      <c r="I1524">
        <v>12</v>
      </c>
      <c r="J1524" t="s">
        <v>21</v>
      </c>
      <c r="K1524" t="s">
        <v>14</v>
      </c>
      <c r="L1524">
        <v>12</v>
      </c>
    </row>
    <row r="1525" spans="1:12" x14ac:dyDescent="0.3">
      <c r="A1525">
        <v>632</v>
      </c>
      <c r="B1525" t="s">
        <v>31</v>
      </c>
      <c r="C1525" s="1">
        <v>45874</v>
      </c>
      <c r="D1525" s="1" t="str">
        <f>TEXT(FMData[[#This Row],[Show_Date]],"mmm")</f>
        <v>Aug</v>
      </c>
      <c r="E1525" s="1" t="str">
        <f>TEXT(FMData[[#This Row],[Show_Date]],"ddd")</f>
        <v>Tue</v>
      </c>
      <c r="F1525" t="s">
        <v>11</v>
      </c>
      <c r="G1525" t="s">
        <v>30</v>
      </c>
      <c r="H1525">
        <v>2</v>
      </c>
      <c r="I1525">
        <v>8</v>
      </c>
      <c r="J1525" t="s">
        <v>23</v>
      </c>
      <c r="K1525" t="s">
        <v>18</v>
      </c>
      <c r="L1525">
        <v>16</v>
      </c>
    </row>
    <row r="1526" spans="1:12" x14ac:dyDescent="0.3">
      <c r="A1526">
        <v>1441</v>
      </c>
      <c r="B1526" t="s">
        <v>24</v>
      </c>
      <c r="C1526" s="1">
        <v>45873</v>
      </c>
      <c r="D1526" s="1" t="str">
        <f>TEXT(FMData[[#This Row],[Show_Date]],"mmm")</f>
        <v>Aug</v>
      </c>
      <c r="E1526" s="1" t="str">
        <f>TEXT(FMData[[#This Row],[Show_Date]],"ddd")</f>
        <v>Mon</v>
      </c>
      <c r="F1526" t="s">
        <v>11</v>
      </c>
      <c r="G1526" t="s">
        <v>17</v>
      </c>
      <c r="H1526">
        <v>2</v>
      </c>
      <c r="I1526">
        <v>12</v>
      </c>
      <c r="J1526" t="s">
        <v>23</v>
      </c>
      <c r="K1526" t="s">
        <v>27</v>
      </c>
      <c r="L1526">
        <v>24</v>
      </c>
    </row>
    <row r="1527" spans="1:12" x14ac:dyDescent="0.3">
      <c r="A1527">
        <v>1292</v>
      </c>
      <c r="B1527" t="s">
        <v>15</v>
      </c>
      <c r="C1527" s="1">
        <v>45913</v>
      </c>
      <c r="D1527" s="1" t="str">
        <f>TEXT(FMData[[#This Row],[Show_Date]],"mmm")</f>
        <v>Sep</v>
      </c>
      <c r="E1527" s="1" t="str">
        <f>TEXT(FMData[[#This Row],[Show_Date]],"ddd")</f>
        <v>Sat</v>
      </c>
      <c r="F1527" t="s">
        <v>16</v>
      </c>
      <c r="G1527" t="s">
        <v>22</v>
      </c>
      <c r="H1527">
        <v>4</v>
      </c>
      <c r="I1527">
        <v>20</v>
      </c>
      <c r="J1527" t="s">
        <v>21</v>
      </c>
      <c r="K1527" t="s">
        <v>18</v>
      </c>
      <c r="L1527">
        <v>80</v>
      </c>
    </row>
    <row r="1528" spans="1:12" x14ac:dyDescent="0.3">
      <c r="A1528">
        <v>824</v>
      </c>
      <c r="B1528" t="s">
        <v>28</v>
      </c>
      <c r="C1528" s="1">
        <v>45900</v>
      </c>
      <c r="D1528" s="1" t="str">
        <f>TEXT(FMData[[#This Row],[Show_Date]],"mmm")</f>
        <v>Aug</v>
      </c>
      <c r="E1528" s="1" t="str">
        <f>TEXT(FMData[[#This Row],[Show_Date]],"ddd")</f>
        <v>Sun</v>
      </c>
      <c r="F1528" t="s">
        <v>16</v>
      </c>
      <c r="G1528" t="s">
        <v>17</v>
      </c>
      <c r="H1528">
        <v>2</v>
      </c>
      <c r="I1528">
        <v>12</v>
      </c>
      <c r="J1528" t="s">
        <v>21</v>
      </c>
      <c r="K1528" t="s">
        <v>18</v>
      </c>
      <c r="L1528">
        <v>24</v>
      </c>
    </row>
    <row r="1529" spans="1:12" x14ac:dyDescent="0.3">
      <c r="A1529">
        <v>1847</v>
      </c>
      <c r="B1529" t="s">
        <v>19</v>
      </c>
      <c r="C1529" s="1">
        <v>45870</v>
      </c>
      <c r="D1529" s="1" t="str">
        <f>TEXT(FMData[[#This Row],[Show_Date]],"mmm")</f>
        <v>Aug</v>
      </c>
      <c r="E1529" s="1" t="str">
        <f>TEXT(FMData[[#This Row],[Show_Date]],"ddd")</f>
        <v>Fri</v>
      </c>
      <c r="F1529" t="s">
        <v>16</v>
      </c>
      <c r="G1529" t="s">
        <v>29</v>
      </c>
      <c r="H1529">
        <v>1</v>
      </c>
      <c r="I1529">
        <v>30</v>
      </c>
      <c r="J1529" t="s">
        <v>23</v>
      </c>
      <c r="K1529" t="s">
        <v>27</v>
      </c>
      <c r="L1529">
        <v>30</v>
      </c>
    </row>
    <row r="1530" spans="1:12" x14ac:dyDescent="0.3">
      <c r="A1530">
        <v>1876</v>
      </c>
      <c r="B1530" t="s">
        <v>19</v>
      </c>
      <c r="C1530" s="1">
        <v>45927</v>
      </c>
      <c r="D1530" s="1" t="str">
        <f>TEXT(FMData[[#This Row],[Show_Date]],"mmm")</f>
        <v>Sep</v>
      </c>
      <c r="E1530" s="1" t="str">
        <f>TEXT(FMData[[#This Row],[Show_Date]],"ddd")</f>
        <v>Sat</v>
      </c>
      <c r="F1530" t="s">
        <v>11</v>
      </c>
      <c r="G1530" t="s">
        <v>17</v>
      </c>
      <c r="H1530">
        <v>1</v>
      </c>
      <c r="I1530">
        <v>12</v>
      </c>
      <c r="J1530" t="s">
        <v>21</v>
      </c>
      <c r="K1530" t="s">
        <v>18</v>
      </c>
      <c r="L1530">
        <v>12</v>
      </c>
    </row>
    <row r="1531" spans="1:12" x14ac:dyDescent="0.3">
      <c r="A1531">
        <v>1107</v>
      </c>
      <c r="B1531" t="s">
        <v>15</v>
      </c>
      <c r="C1531" s="1">
        <v>45866</v>
      </c>
      <c r="D1531" s="1" t="str">
        <f>TEXT(FMData[[#This Row],[Show_Date]],"mmm")</f>
        <v>Jul</v>
      </c>
      <c r="E1531" s="1" t="str">
        <f>TEXT(FMData[[#This Row],[Show_Date]],"ddd")</f>
        <v>Mon</v>
      </c>
      <c r="F1531" t="s">
        <v>20</v>
      </c>
      <c r="G1531" t="s">
        <v>30</v>
      </c>
      <c r="H1531">
        <v>1</v>
      </c>
      <c r="I1531">
        <v>8</v>
      </c>
      <c r="J1531" t="s">
        <v>23</v>
      </c>
      <c r="K1531" t="s">
        <v>18</v>
      </c>
      <c r="L1531">
        <v>8</v>
      </c>
    </row>
    <row r="1532" spans="1:12" x14ac:dyDescent="0.3">
      <c r="A1532">
        <v>1975</v>
      </c>
      <c r="B1532" t="s">
        <v>26</v>
      </c>
      <c r="C1532" s="1">
        <v>45907</v>
      </c>
      <c r="D1532" s="1" t="str">
        <f>TEXT(FMData[[#This Row],[Show_Date]],"mmm")</f>
        <v>Sep</v>
      </c>
      <c r="E1532" s="1" t="str">
        <f>TEXT(FMData[[#This Row],[Show_Date]],"ddd")</f>
        <v>Sun</v>
      </c>
      <c r="F1532" t="s">
        <v>20</v>
      </c>
      <c r="G1532" t="s">
        <v>17</v>
      </c>
      <c r="H1532">
        <v>3</v>
      </c>
      <c r="I1532">
        <v>12</v>
      </c>
      <c r="J1532" t="s">
        <v>21</v>
      </c>
      <c r="K1532" t="s">
        <v>25</v>
      </c>
      <c r="L1532">
        <v>36</v>
      </c>
    </row>
    <row r="1533" spans="1:12" x14ac:dyDescent="0.3">
      <c r="A1533">
        <v>249</v>
      </c>
      <c r="B1533" t="s">
        <v>24</v>
      </c>
      <c r="C1533" s="1">
        <v>45850</v>
      </c>
      <c r="D1533" s="1" t="str">
        <f>TEXT(FMData[[#This Row],[Show_Date]],"mmm")</f>
        <v>Jul</v>
      </c>
      <c r="E1533" s="1" t="str">
        <f>TEXT(FMData[[#This Row],[Show_Date]],"ddd")</f>
        <v>Sat</v>
      </c>
      <c r="F1533" t="s">
        <v>16</v>
      </c>
      <c r="G1533" t="s">
        <v>12</v>
      </c>
      <c r="H1533">
        <v>5</v>
      </c>
      <c r="I1533">
        <v>25</v>
      </c>
      <c r="J1533" t="s">
        <v>23</v>
      </c>
      <c r="K1533" t="s">
        <v>25</v>
      </c>
      <c r="L1533">
        <v>125</v>
      </c>
    </row>
    <row r="1534" spans="1:12" x14ac:dyDescent="0.3">
      <c r="A1534">
        <v>472</v>
      </c>
      <c r="B1534" t="s">
        <v>19</v>
      </c>
      <c r="C1534" s="1">
        <v>45914</v>
      </c>
      <c r="D1534" s="1" t="str">
        <f>TEXT(FMData[[#This Row],[Show_Date]],"mmm")</f>
        <v>Sep</v>
      </c>
      <c r="E1534" s="1" t="str">
        <f>TEXT(FMData[[#This Row],[Show_Date]],"ddd")</f>
        <v>Sun</v>
      </c>
      <c r="F1534" t="s">
        <v>20</v>
      </c>
      <c r="G1534" t="s">
        <v>29</v>
      </c>
      <c r="H1534">
        <v>2</v>
      </c>
      <c r="I1534">
        <v>30</v>
      </c>
      <c r="J1534" t="s">
        <v>21</v>
      </c>
      <c r="K1534" t="s">
        <v>14</v>
      </c>
      <c r="L1534">
        <v>60</v>
      </c>
    </row>
    <row r="1535" spans="1:12" x14ac:dyDescent="0.3">
      <c r="A1535">
        <v>341</v>
      </c>
      <c r="B1535" t="s">
        <v>32</v>
      </c>
      <c r="C1535" s="1">
        <v>45892</v>
      </c>
      <c r="D1535" s="1" t="str">
        <f>TEXT(FMData[[#This Row],[Show_Date]],"mmm")</f>
        <v>Aug</v>
      </c>
      <c r="E1535" s="1" t="str">
        <f>TEXT(FMData[[#This Row],[Show_Date]],"ddd")</f>
        <v>Sat</v>
      </c>
      <c r="F1535" t="s">
        <v>20</v>
      </c>
      <c r="G1535" t="s">
        <v>30</v>
      </c>
      <c r="H1535">
        <v>2</v>
      </c>
      <c r="I1535">
        <v>8</v>
      </c>
      <c r="J1535" t="s">
        <v>13</v>
      </c>
      <c r="K1535" t="s">
        <v>27</v>
      </c>
      <c r="L1535">
        <v>16</v>
      </c>
    </row>
    <row r="1536" spans="1:12" x14ac:dyDescent="0.3">
      <c r="A1536">
        <v>491</v>
      </c>
      <c r="B1536" t="s">
        <v>19</v>
      </c>
      <c r="C1536" s="1">
        <v>45902</v>
      </c>
      <c r="D1536" s="1" t="str">
        <f>TEXT(FMData[[#This Row],[Show_Date]],"mmm")</f>
        <v>Sep</v>
      </c>
      <c r="E1536" s="1" t="str">
        <f>TEXT(FMData[[#This Row],[Show_Date]],"ddd")</f>
        <v>Tue</v>
      </c>
      <c r="F1536" t="s">
        <v>11</v>
      </c>
      <c r="G1536" t="s">
        <v>17</v>
      </c>
      <c r="H1536">
        <v>4</v>
      </c>
      <c r="I1536">
        <v>12</v>
      </c>
      <c r="J1536" t="s">
        <v>21</v>
      </c>
      <c r="K1536" t="s">
        <v>25</v>
      </c>
      <c r="L1536">
        <v>48</v>
      </c>
    </row>
    <row r="1537" spans="1:12" x14ac:dyDescent="0.3">
      <c r="A1537">
        <v>563</v>
      </c>
      <c r="B1537" t="s">
        <v>28</v>
      </c>
      <c r="C1537" s="1">
        <v>45882</v>
      </c>
      <c r="D1537" s="1" t="str">
        <f>TEXT(FMData[[#This Row],[Show_Date]],"mmm")</f>
        <v>Aug</v>
      </c>
      <c r="E1537" s="1" t="str">
        <f>TEXT(FMData[[#This Row],[Show_Date]],"ddd")</f>
        <v>Wed</v>
      </c>
      <c r="F1537" t="s">
        <v>16</v>
      </c>
      <c r="G1537" t="s">
        <v>17</v>
      </c>
      <c r="H1537">
        <v>3</v>
      </c>
      <c r="I1537">
        <v>12</v>
      </c>
      <c r="J1537" t="s">
        <v>23</v>
      </c>
      <c r="K1537" t="s">
        <v>18</v>
      </c>
      <c r="L1537">
        <v>36</v>
      </c>
    </row>
    <row r="1538" spans="1:12" x14ac:dyDescent="0.3">
      <c r="A1538">
        <v>1032</v>
      </c>
      <c r="B1538" t="s">
        <v>19</v>
      </c>
      <c r="C1538" s="1">
        <v>45877</v>
      </c>
      <c r="D1538" s="1" t="str">
        <f>TEXT(FMData[[#This Row],[Show_Date]],"mmm")</f>
        <v>Aug</v>
      </c>
      <c r="E1538" s="1" t="str">
        <f>TEXT(FMData[[#This Row],[Show_Date]],"ddd")</f>
        <v>Fri</v>
      </c>
      <c r="F1538" t="s">
        <v>16</v>
      </c>
      <c r="G1538" t="s">
        <v>17</v>
      </c>
      <c r="H1538">
        <v>1</v>
      </c>
      <c r="I1538">
        <v>12</v>
      </c>
      <c r="J1538" t="s">
        <v>21</v>
      </c>
      <c r="K1538" t="s">
        <v>14</v>
      </c>
      <c r="L1538">
        <v>12</v>
      </c>
    </row>
    <row r="1539" spans="1:12" x14ac:dyDescent="0.3">
      <c r="A1539">
        <v>1959</v>
      </c>
      <c r="B1539" t="s">
        <v>15</v>
      </c>
      <c r="C1539" s="1">
        <v>45906</v>
      </c>
      <c r="D1539" s="1" t="str">
        <f>TEXT(FMData[[#This Row],[Show_Date]],"mmm")</f>
        <v>Sep</v>
      </c>
      <c r="E1539" s="1" t="str">
        <f>TEXT(FMData[[#This Row],[Show_Date]],"ddd")</f>
        <v>Sat</v>
      </c>
      <c r="F1539" t="s">
        <v>33</v>
      </c>
      <c r="G1539" t="s">
        <v>17</v>
      </c>
      <c r="H1539">
        <v>4</v>
      </c>
      <c r="I1539">
        <v>12</v>
      </c>
      <c r="J1539" t="s">
        <v>23</v>
      </c>
      <c r="K1539" t="s">
        <v>14</v>
      </c>
      <c r="L1539">
        <v>48</v>
      </c>
    </row>
    <row r="1540" spans="1:12" x14ac:dyDescent="0.3">
      <c r="A1540">
        <v>953</v>
      </c>
      <c r="B1540" t="s">
        <v>15</v>
      </c>
      <c r="C1540" s="1">
        <v>45917</v>
      </c>
      <c r="D1540" s="1" t="str">
        <f>TEXT(FMData[[#This Row],[Show_Date]],"mmm")</f>
        <v>Sep</v>
      </c>
      <c r="E1540" s="1" t="str">
        <f>TEXT(FMData[[#This Row],[Show_Date]],"ddd")</f>
        <v>Wed</v>
      </c>
      <c r="F1540" t="s">
        <v>20</v>
      </c>
      <c r="G1540" t="s">
        <v>30</v>
      </c>
      <c r="H1540">
        <v>4</v>
      </c>
      <c r="I1540">
        <v>8</v>
      </c>
      <c r="J1540" t="s">
        <v>23</v>
      </c>
      <c r="K1540" t="s">
        <v>18</v>
      </c>
      <c r="L1540">
        <v>32</v>
      </c>
    </row>
    <row r="1541" spans="1:12" x14ac:dyDescent="0.3">
      <c r="A1541">
        <v>892</v>
      </c>
      <c r="B1541" t="s">
        <v>28</v>
      </c>
      <c r="C1541" s="1">
        <v>45873</v>
      </c>
      <c r="D1541" s="1" t="str">
        <f>TEXT(FMData[[#This Row],[Show_Date]],"mmm")</f>
        <v>Aug</v>
      </c>
      <c r="E1541" s="1" t="str">
        <f>TEXT(FMData[[#This Row],[Show_Date]],"ddd")</f>
        <v>Mon</v>
      </c>
      <c r="F1541" t="s">
        <v>11</v>
      </c>
      <c r="G1541" t="s">
        <v>30</v>
      </c>
      <c r="H1541">
        <v>5</v>
      </c>
      <c r="I1541">
        <v>8</v>
      </c>
      <c r="J1541" t="s">
        <v>13</v>
      </c>
      <c r="K1541" t="s">
        <v>14</v>
      </c>
      <c r="L1541">
        <v>40</v>
      </c>
    </row>
    <row r="1542" spans="1:12" x14ac:dyDescent="0.3">
      <c r="A1542">
        <v>823</v>
      </c>
      <c r="B1542" t="s">
        <v>10</v>
      </c>
      <c r="C1542" s="1">
        <v>45864</v>
      </c>
      <c r="D1542" s="1" t="str">
        <f>TEXT(FMData[[#This Row],[Show_Date]],"mmm")</f>
        <v>Jul</v>
      </c>
      <c r="E1542" s="1" t="str">
        <f>TEXT(FMData[[#This Row],[Show_Date]],"ddd")</f>
        <v>Sat</v>
      </c>
      <c r="F1542" t="s">
        <v>33</v>
      </c>
      <c r="G1542" t="s">
        <v>12</v>
      </c>
      <c r="H1542">
        <v>3</v>
      </c>
      <c r="I1542">
        <v>25</v>
      </c>
      <c r="J1542" t="s">
        <v>13</v>
      </c>
      <c r="K1542" t="s">
        <v>27</v>
      </c>
      <c r="L1542">
        <v>75</v>
      </c>
    </row>
    <row r="1543" spans="1:12" x14ac:dyDescent="0.3">
      <c r="A1543">
        <v>915</v>
      </c>
      <c r="B1543" t="s">
        <v>31</v>
      </c>
      <c r="C1543" s="1">
        <v>45917</v>
      </c>
      <c r="D1543" s="1" t="str">
        <f>TEXT(FMData[[#This Row],[Show_Date]],"mmm")</f>
        <v>Sep</v>
      </c>
      <c r="E1543" s="1" t="str">
        <f>TEXT(FMData[[#This Row],[Show_Date]],"ddd")</f>
        <v>Wed</v>
      </c>
      <c r="F1543" t="s">
        <v>33</v>
      </c>
      <c r="G1543" t="s">
        <v>17</v>
      </c>
      <c r="H1543">
        <v>4</v>
      </c>
      <c r="I1543">
        <v>12</v>
      </c>
      <c r="J1543" t="s">
        <v>21</v>
      </c>
      <c r="K1543" t="s">
        <v>25</v>
      </c>
      <c r="L1543">
        <v>48</v>
      </c>
    </row>
    <row r="1544" spans="1:12" x14ac:dyDescent="0.3">
      <c r="A1544">
        <v>360</v>
      </c>
      <c r="B1544" t="s">
        <v>32</v>
      </c>
      <c r="C1544" s="1">
        <v>45914</v>
      </c>
      <c r="D1544" s="1" t="str">
        <f>TEXT(FMData[[#This Row],[Show_Date]],"mmm")</f>
        <v>Sep</v>
      </c>
      <c r="E1544" s="1" t="str">
        <f>TEXT(FMData[[#This Row],[Show_Date]],"ddd")</f>
        <v>Sun</v>
      </c>
      <c r="F1544" t="s">
        <v>33</v>
      </c>
      <c r="G1544" t="s">
        <v>17</v>
      </c>
      <c r="H1544">
        <v>3</v>
      </c>
      <c r="I1544">
        <v>12</v>
      </c>
      <c r="J1544" t="s">
        <v>23</v>
      </c>
      <c r="K1544" t="s">
        <v>27</v>
      </c>
      <c r="L1544">
        <v>36</v>
      </c>
    </row>
    <row r="1545" spans="1:12" x14ac:dyDescent="0.3">
      <c r="A1545">
        <v>282</v>
      </c>
      <c r="B1545" t="s">
        <v>31</v>
      </c>
      <c r="C1545" s="1">
        <v>45865</v>
      </c>
      <c r="D1545" s="1" t="str">
        <f>TEXT(FMData[[#This Row],[Show_Date]],"mmm")</f>
        <v>Jul</v>
      </c>
      <c r="E1545" s="1" t="str">
        <f>TEXT(FMData[[#This Row],[Show_Date]],"ddd")</f>
        <v>Sun</v>
      </c>
      <c r="F1545" t="s">
        <v>11</v>
      </c>
      <c r="G1545" t="s">
        <v>17</v>
      </c>
      <c r="H1545">
        <v>2</v>
      </c>
      <c r="I1545">
        <v>12</v>
      </c>
      <c r="J1545" t="s">
        <v>13</v>
      </c>
      <c r="K1545" t="s">
        <v>27</v>
      </c>
      <c r="L1545">
        <v>24</v>
      </c>
    </row>
    <row r="1546" spans="1:12" x14ac:dyDescent="0.3">
      <c r="A1546">
        <v>580</v>
      </c>
      <c r="B1546" t="s">
        <v>26</v>
      </c>
      <c r="C1546" s="1">
        <v>45853</v>
      </c>
      <c r="D1546" s="1" t="str">
        <f>TEXT(FMData[[#This Row],[Show_Date]],"mmm")</f>
        <v>Jul</v>
      </c>
      <c r="E1546" s="1" t="str">
        <f>TEXT(FMData[[#This Row],[Show_Date]],"ddd")</f>
        <v>Tue</v>
      </c>
      <c r="F1546" t="s">
        <v>20</v>
      </c>
      <c r="G1546" t="s">
        <v>12</v>
      </c>
      <c r="H1546">
        <v>3</v>
      </c>
      <c r="I1546">
        <v>25</v>
      </c>
      <c r="J1546" t="s">
        <v>13</v>
      </c>
      <c r="K1546" t="s">
        <v>25</v>
      </c>
      <c r="L1546">
        <v>75</v>
      </c>
    </row>
    <row r="1547" spans="1:12" x14ac:dyDescent="0.3">
      <c r="A1547">
        <v>833</v>
      </c>
      <c r="B1547" t="s">
        <v>32</v>
      </c>
      <c r="C1547" s="1">
        <v>45854</v>
      </c>
      <c r="D1547" s="1" t="str">
        <f>TEXT(FMData[[#This Row],[Show_Date]],"mmm")</f>
        <v>Jul</v>
      </c>
      <c r="E1547" s="1" t="str">
        <f>TEXT(FMData[[#This Row],[Show_Date]],"ddd")</f>
        <v>Wed</v>
      </c>
      <c r="F1547" t="s">
        <v>33</v>
      </c>
      <c r="G1547" t="s">
        <v>17</v>
      </c>
      <c r="H1547">
        <v>3</v>
      </c>
      <c r="I1547">
        <v>12</v>
      </c>
      <c r="J1547" t="s">
        <v>23</v>
      </c>
      <c r="K1547" t="s">
        <v>18</v>
      </c>
      <c r="L1547">
        <v>36</v>
      </c>
    </row>
    <row r="1548" spans="1:12" x14ac:dyDescent="0.3">
      <c r="A1548">
        <v>1600</v>
      </c>
      <c r="B1548" t="s">
        <v>15</v>
      </c>
      <c r="C1548" s="1">
        <v>45890</v>
      </c>
      <c r="D1548" s="1" t="str">
        <f>TEXT(FMData[[#This Row],[Show_Date]],"mmm")</f>
        <v>Aug</v>
      </c>
      <c r="E1548" s="1" t="str">
        <f>TEXT(FMData[[#This Row],[Show_Date]],"ddd")</f>
        <v>Thu</v>
      </c>
      <c r="F1548" t="s">
        <v>33</v>
      </c>
      <c r="G1548" t="s">
        <v>30</v>
      </c>
      <c r="H1548">
        <v>2</v>
      </c>
      <c r="I1548">
        <v>8</v>
      </c>
      <c r="J1548" t="s">
        <v>13</v>
      </c>
      <c r="K1548" t="s">
        <v>27</v>
      </c>
      <c r="L1548">
        <v>16</v>
      </c>
    </row>
    <row r="1549" spans="1:12" x14ac:dyDescent="0.3">
      <c r="A1549">
        <v>1974</v>
      </c>
      <c r="B1549" t="s">
        <v>19</v>
      </c>
      <c r="C1549" s="1">
        <v>45873</v>
      </c>
      <c r="D1549" s="1" t="str">
        <f>TEXT(FMData[[#This Row],[Show_Date]],"mmm")</f>
        <v>Aug</v>
      </c>
      <c r="E1549" s="1" t="str">
        <f>TEXT(FMData[[#This Row],[Show_Date]],"ddd")</f>
        <v>Mon</v>
      </c>
      <c r="F1549" t="s">
        <v>11</v>
      </c>
      <c r="G1549" t="s">
        <v>30</v>
      </c>
      <c r="H1549">
        <v>2</v>
      </c>
      <c r="I1549">
        <v>8</v>
      </c>
      <c r="J1549" t="s">
        <v>13</v>
      </c>
      <c r="K1549" t="s">
        <v>25</v>
      </c>
      <c r="L1549">
        <v>16</v>
      </c>
    </row>
    <row r="1550" spans="1:12" x14ac:dyDescent="0.3">
      <c r="A1550">
        <v>1342</v>
      </c>
      <c r="B1550" t="s">
        <v>19</v>
      </c>
      <c r="C1550" s="1">
        <v>45844</v>
      </c>
      <c r="D1550" s="1" t="str">
        <f>TEXT(FMData[[#This Row],[Show_Date]],"mmm")</f>
        <v>Jul</v>
      </c>
      <c r="E1550" s="1" t="str">
        <f>TEXT(FMData[[#This Row],[Show_Date]],"ddd")</f>
        <v>Sun</v>
      </c>
      <c r="F1550" t="s">
        <v>20</v>
      </c>
      <c r="G1550" t="s">
        <v>12</v>
      </c>
      <c r="H1550">
        <v>1</v>
      </c>
      <c r="I1550">
        <v>25</v>
      </c>
      <c r="J1550" t="s">
        <v>21</v>
      </c>
      <c r="K1550" t="s">
        <v>25</v>
      </c>
      <c r="L1550">
        <v>25</v>
      </c>
    </row>
    <row r="1551" spans="1:12" x14ac:dyDescent="0.3">
      <c r="A1551">
        <v>1915</v>
      </c>
      <c r="B1551" t="s">
        <v>19</v>
      </c>
      <c r="C1551" s="1">
        <v>45864</v>
      </c>
      <c r="D1551" s="1" t="str">
        <f>TEXT(FMData[[#This Row],[Show_Date]],"mmm")</f>
        <v>Jul</v>
      </c>
      <c r="E1551" s="1" t="str">
        <f>TEXT(FMData[[#This Row],[Show_Date]],"ddd")</f>
        <v>Sat</v>
      </c>
      <c r="F1551" t="s">
        <v>33</v>
      </c>
      <c r="G1551" t="s">
        <v>29</v>
      </c>
      <c r="H1551">
        <v>2</v>
      </c>
      <c r="I1551">
        <v>30</v>
      </c>
      <c r="J1551" t="s">
        <v>13</v>
      </c>
      <c r="K1551" t="s">
        <v>27</v>
      </c>
      <c r="L1551">
        <v>60</v>
      </c>
    </row>
    <row r="1552" spans="1:12" x14ac:dyDescent="0.3">
      <c r="A1552">
        <v>863</v>
      </c>
      <c r="B1552" t="s">
        <v>26</v>
      </c>
      <c r="C1552" s="1">
        <v>45856</v>
      </c>
      <c r="D1552" s="1" t="str">
        <f>TEXT(FMData[[#This Row],[Show_Date]],"mmm")</f>
        <v>Jul</v>
      </c>
      <c r="E1552" s="1" t="str">
        <f>TEXT(FMData[[#This Row],[Show_Date]],"ddd")</f>
        <v>Fri</v>
      </c>
      <c r="F1552" t="s">
        <v>11</v>
      </c>
      <c r="G1552" t="s">
        <v>29</v>
      </c>
      <c r="H1552">
        <v>2</v>
      </c>
      <c r="I1552">
        <v>30</v>
      </c>
      <c r="J1552" t="s">
        <v>13</v>
      </c>
      <c r="K1552" t="s">
        <v>27</v>
      </c>
      <c r="L1552">
        <v>60</v>
      </c>
    </row>
    <row r="1553" spans="1:12" x14ac:dyDescent="0.3">
      <c r="A1553">
        <v>695</v>
      </c>
      <c r="B1553" t="s">
        <v>26</v>
      </c>
      <c r="C1553" s="1">
        <v>45925</v>
      </c>
      <c r="D1553" s="1" t="str">
        <f>TEXT(FMData[[#This Row],[Show_Date]],"mmm")</f>
        <v>Sep</v>
      </c>
      <c r="E1553" s="1" t="str">
        <f>TEXT(FMData[[#This Row],[Show_Date]],"ddd")</f>
        <v>Thu</v>
      </c>
      <c r="F1553" t="s">
        <v>16</v>
      </c>
      <c r="G1553" t="s">
        <v>29</v>
      </c>
      <c r="H1553">
        <v>1</v>
      </c>
      <c r="I1553">
        <v>30</v>
      </c>
      <c r="J1553" t="s">
        <v>21</v>
      </c>
      <c r="K1553" t="s">
        <v>18</v>
      </c>
      <c r="L1553">
        <v>30</v>
      </c>
    </row>
    <row r="1554" spans="1:12" x14ac:dyDescent="0.3">
      <c r="A1554">
        <v>54</v>
      </c>
      <c r="B1554" t="s">
        <v>31</v>
      </c>
      <c r="C1554" s="1">
        <v>45902</v>
      </c>
      <c r="D1554" s="1" t="str">
        <f>TEXT(FMData[[#This Row],[Show_Date]],"mmm")</f>
        <v>Sep</v>
      </c>
      <c r="E1554" s="1" t="str">
        <f>TEXT(FMData[[#This Row],[Show_Date]],"ddd")</f>
        <v>Tue</v>
      </c>
      <c r="F1554" t="s">
        <v>16</v>
      </c>
      <c r="G1554" t="s">
        <v>29</v>
      </c>
      <c r="H1554">
        <v>3</v>
      </c>
      <c r="I1554">
        <v>30</v>
      </c>
      <c r="J1554" t="s">
        <v>21</v>
      </c>
      <c r="K1554" t="s">
        <v>27</v>
      </c>
      <c r="L1554">
        <v>90</v>
      </c>
    </row>
    <row r="1555" spans="1:12" x14ac:dyDescent="0.3">
      <c r="A1555">
        <v>1246</v>
      </c>
      <c r="B1555" t="s">
        <v>19</v>
      </c>
      <c r="C1555" s="1">
        <v>45893</v>
      </c>
      <c r="D1555" s="1" t="str">
        <f>TEXT(FMData[[#This Row],[Show_Date]],"mmm")</f>
        <v>Aug</v>
      </c>
      <c r="E1555" s="1" t="str">
        <f>TEXT(FMData[[#This Row],[Show_Date]],"ddd")</f>
        <v>Sun</v>
      </c>
      <c r="F1555" t="s">
        <v>20</v>
      </c>
      <c r="G1555" t="s">
        <v>17</v>
      </c>
      <c r="H1555">
        <v>3</v>
      </c>
      <c r="I1555">
        <v>12</v>
      </c>
      <c r="J1555" t="s">
        <v>23</v>
      </c>
      <c r="K1555" t="s">
        <v>14</v>
      </c>
      <c r="L1555">
        <v>36</v>
      </c>
    </row>
    <row r="1556" spans="1:12" x14ac:dyDescent="0.3">
      <c r="A1556">
        <v>1715</v>
      </c>
      <c r="B1556" t="s">
        <v>10</v>
      </c>
      <c r="C1556" s="1">
        <v>45865</v>
      </c>
      <c r="D1556" s="1" t="str">
        <f>TEXT(FMData[[#This Row],[Show_Date]],"mmm")</f>
        <v>Jul</v>
      </c>
      <c r="E1556" s="1" t="str">
        <f>TEXT(FMData[[#This Row],[Show_Date]],"ddd")</f>
        <v>Sun</v>
      </c>
      <c r="F1556" t="s">
        <v>33</v>
      </c>
      <c r="G1556" t="s">
        <v>29</v>
      </c>
      <c r="H1556">
        <v>4</v>
      </c>
      <c r="I1556">
        <v>30</v>
      </c>
      <c r="J1556" t="s">
        <v>13</v>
      </c>
      <c r="K1556" t="s">
        <v>25</v>
      </c>
      <c r="L1556">
        <v>120</v>
      </c>
    </row>
    <row r="1557" spans="1:12" x14ac:dyDescent="0.3">
      <c r="A1557">
        <v>1321</v>
      </c>
      <c r="B1557" t="s">
        <v>19</v>
      </c>
      <c r="C1557" s="1">
        <v>45885</v>
      </c>
      <c r="D1557" s="1" t="str">
        <f>TEXT(FMData[[#This Row],[Show_Date]],"mmm")</f>
        <v>Aug</v>
      </c>
      <c r="E1557" s="1" t="str">
        <f>TEXT(FMData[[#This Row],[Show_Date]],"ddd")</f>
        <v>Sat</v>
      </c>
      <c r="F1557" t="s">
        <v>16</v>
      </c>
      <c r="G1557" t="s">
        <v>12</v>
      </c>
      <c r="H1557">
        <v>2</v>
      </c>
      <c r="I1557">
        <v>25</v>
      </c>
      <c r="J1557" t="s">
        <v>13</v>
      </c>
      <c r="K1557" t="s">
        <v>25</v>
      </c>
      <c r="L1557">
        <v>50</v>
      </c>
    </row>
    <row r="1558" spans="1:12" x14ac:dyDescent="0.3">
      <c r="A1558">
        <v>881</v>
      </c>
      <c r="B1558" t="s">
        <v>15</v>
      </c>
      <c r="C1558" s="1">
        <v>45877</v>
      </c>
      <c r="D1558" s="1" t="str">
        <f>TEXT(FMData[[#This Row],[Show_Date]],"mmm")</f>
        <v>Aug</v>
      </c>
      <c r="E1558" s="1" t="str">
        <f>TEXT(FMData[[#This Row],[Show_Date]],"ddd")</f>
        <v>Fri</v>
      </c>
      <c r="F1558" t="s">
        <v>20</v>
      </c>
      <c r="G1558" t="s">
        <v>17</v>
      </c>
      <c r="H1558">
        <v>2</v>
      </c>
      <c r="I1558">
        <v>12</v>
      </c>
      <c r="J1558" t="s">
        <v>23</v>
      </c>
      <c r="K1558" t="s">
        <v>25</v>
      </c>
      <c r="L1558">
        <v>24</v>
      </c>
    </row>
    <row r="1559" spans="1:12" x14ac:dyDescent="0.3">
      <c r="A1559">
        <v>1680</v>
      </c>
      <c r="B1559" t="s">
        <v>26</v>
      </c>
      <c r="C1559" s="1">
        <v>45879</v>
      </c>
      <c r="D1559" s="1" t="str">
        <f>TEXT(FMData[[#This Row],[Show_Date]],"mmm")</f>
        <v>Aug</v>
      </c>
      <c r="E1559" s="1" t="str">
        <f>TEXT(FMData[[#This Row],[Show_Date]],"ddd")</f>
        <v>Sun</v>
      </c>
      <c r="F1559" t="s">
        <v>33</v>
      </c>
      <c r="G1559" t="s">
        <v>17</v>
      </c>
      <c r="H1559">
        <v>2</v>
      </c>
      <c r="I1559">
        <v>12</v>
      </c>
      <c r="J1559" t="s">
        <v>21</v>
      </c>
      <c r="K1559" t="s">
        <v>14</v>
      </c>
      <c r="L1559">
        <v>24</v>
      </c>
    </row>
    <row r="1560" spans="1:12" x14ac:dyDescent="0.3">
      <c r="A1560">
        <v>1497</v>
      </c>
      <c r="B1560" t="s">
        <v>19</v>
      </c>
      <c r="C1560" s="1">
        <v>45929</v>
      </c>
      <c r="D1560" s="1" t="str">
        <f>TEXT(FMData[[#This Row],[Show_Date]],"mmm")</f>
        <v>Sep</v>
      </c>
      <c r="E1560" s="1" t="str">
        <f>TEXT(FMData[[#This Row],[Show_Date]],"ddd")</f>
        <v>Mon</v>
      </c>
      <c r="F1560" t="s">
        <v>20</v>
      </c>
      <c r="G1560" t="s">
        <v>22</v>
      </c>
      <c r="H1560">
        <v>5</v>
      </c>
      <c r="I1560">
        <v>20</v>
      </c>
      <c r="J1560" t="s">
        <v>23</v>
      </c>
      <c r="K1560" t="s">
        <v>27</v>
      </c>
      <c r="L1560">
        <v>100</v>
      </c>
    </row>
    <row r="1561" spans="1:12" x14ac:dyDescent="0.3">
      <c r="A1561">
        <v>1250</v>
      </c>
      <c r="B1561" t="s">
        <v>31</v>
      </c>
      <c r="C1561" s="1">
        <v>45878</v>
      </c>
      <c r="D1561" s="1" t="str">
        <f>TEXT(FMData[[#This Row],[Show_Date]],"mmm")</f>
        <v>Aug</v>
      </c>
      <c r="E1561" s="1" t="str">
        <f>TEXT(FMData[[#This Row],[Show_Date]],"ddd")</f>
        <v>Sat</v>
      </c>
      <c r="F1561" t="s">
        <v>33</v>
      </c>
      <c r="G1561" t="s">
        <v>12</v>
      </c>
      <c r="H1561">
        <v>3</v>
      </c>
      <c r="I1561">
        <v>25</v>
      </c>
      <c r="J1561" t="s">
        <v>21</v>
      </c>
      <c r="K1561" t="s">
        <v>25</v>
      </c>
      <c r="L1561">
        <v>75</v>
      </c>
    </row>
    <row r="1562" spans="1:12" x14ac:dyDescent="0.3">
      <c r="A1562">
        <v>1635</v>
      </c>
      <c r="B1562" t="s">
        <v>15</v>
      </c>
      <c r="C1562" s="1">
        <v>45850</v>
      </c>
      <c r="D1562" s="1" t="str">
        <f>TEXT(FMData[[#This Row],[Show_Date]],"mmm")</f>
        <v>Jul</v>
      </c>
      <c r="E1562" s="1" t="str">
        <f>TEXT(FMData[[#This Row],[Show_Date]],"ddd")</f>
        <v>Sat</v>
      </c>
      <c r="F1562" t="s">
        <v>16</v>
      </c>
      <c r="G1562" t="s">
        <v>17</v>
      </c>
      <c r="H1562">
        <v>4</v>
      </c>
      <c r="I1562">
        <v>12</v>
      </c>
      <c r="J1562" t="s">
        <v>23</v>
      </c>
      <c r="K1562" t="s">
        <v>27</v>
      </c>
      <c r="L1562">
        <v>48</v>
      </c>
    </row>
    <row r="1563" spans="1:12" x14ac:dyDescent="0.3">
      <c r="A1563">
        <v>181</v>
      </c>
      <c r="B1563" t="s">
        <v>15</v>
      </c>
      <c r="C1563" s="1">
        <v>45914</v>
      </c>
      <c r="D1563" s="1" t="str">
        <f>TEXT(FMData[[#This Row],[Show_Date]],"mmm")</f>
        <v>Sep</v>
      </c>
      <c r="E1563" s="1" t="str">
        <f>TEXT(FMData[[#This Row],[Show_Date]],"ddd")</f>
        <v>Sun</v>
      </c>
      <c r="F1563" t="s">
        <v>16</v>
      </c>
      <c r="G1563" t="s">
        <v>17</v>
      </c>
      <c r="H1563">
        <v>1</v>
      </c>
      <c r="I1563">
        <v>12</v>
      </c>
      <c r="J1563" t="s">
        <v>23</v>
      </c>
      <c r="K1563" t="s">
        <v>25</v>
      </c>
      <c r="L1563">
        <v>12</v>
      </c>
    </row>
    <row r="1564" spans="1:12" x14ac:dyDescent="0.3">
      <c r="A1564">
        <v>1083</v>
      </c>
      <c r="B1564" t="s">
        <v>15</v>
      </c>
      <c r="C1564" s="1">
        <v>45864</v>
      </c>
      <c r="D1564" s="1" t="str">
        <f>TEXT(FMData[[#This Row],[Show_Date]],"mmm")</f>
        <v>Jul</v>
      </c>
      <c r="E1564" s="1" t="str">
        <f>TEXT(FMData[[#This Row],[Show_Date]],"ddd")</f>
        <v>Sat</v>
      </c>
      <c r="F1564" t="s">
        <v>16</v>
      </c>
      <c r="G1564" t="s">
        <v>17</v>
      </c>
      <c r="H1564">
        <v>2</v>
      </c>
      <c r="I1564">
        <v>12</v>
      </c>
      <c r="J1564" t="s">
        <v>13</v>
      </c>
      <c r="K1564" t="s">
        <v>14</v>
      </c>
      <c r="L1564">
        <v>24</v>
      </c>
    </row>
    <row r="1565" spans="1:12" x14ac:dyDescent="0.3">
      <c r="A1565">
        <v>784</v>
      </c>
      <c r="B1565" t="s">
        <v>31</v>
      </c>
      <c r="C1565" s="1">
        <v>45867</v>
      </c>
      <c r="D1565" s="1" t="str">
        <f>TEXT(FMData[[#This Row],[Show_Date]],"mmm")</f>
        <v>Jul</v>
      </c>
      <c r="E1565" s="1" t="str">
        <f>TEXT(FMData[[#This Row],[Show_Date]],"ddd")</f>
        <v>Tue</v>
      </c>
      <c r="F1565" t="s">
        <v>20</v>
      </c>
      <c r="G1565" t="s">
        <v>30</v>
      </c>
      <c r="H1565">
        <v>3</v>
      </c>
      <c r="I1565">
        <v>8</v>
      </c>
      <c r="J1565" t="s">
        <v>21</v>
      </c>
      <c r="K1565" t="s">
        <v>27</v>
      </c>
      <c r="L1565">
        <v>24</v>
      </c>
    </row>
    <row r="1566" spans="1:12" x14ac:dyDescent="0.3">
      <c r="A1566">
        <v>1390</v>
      </c>
      <c r="B1566" t="s">
        <v>24</v>
      </c>
      <c r="C1566" s="1">
        <v>45874</v>
      </c>
      <c r="D1566" s="1" t="str">
        <f>TEXT(FMData[[#This Row],[Show_Date]],"mmm")</f>
        <v>Aug</v>
      </c>
      <c r="E1566" s="1" t="str">
        <f>TEXT(FMData[[#This Row],[Show_Date]],"ddd")</f>
        <v>Tue</v>
      </c>
      <c r="F1566" t="s">
        <v>20</v>
      </c>
      <c r="G1566" t="s">
        <v>30</v>
      </c>
      <c r="H1566">
        <v>1</v>
      </c>
      <c r="I1566">
        <v>8</v>
      </c>
      <c r="J1566" t="s">
        <v>21</v>
      </c>
      <c r="K1566" t="s">
        <v>27</v>
      </c>
      <c r="L1566">
        <v>8</v>
      </c>
    </row>
    <row r="1567" spans="1:12" x14ac:dyDescent="0.3">
      <c r="A1567">
        <v>171</v>
      </c>
      <c r="B1567" t="s">
        <v>19</v>
      </c>
      <c r="C1567" s="1">
        <v>45928</v>
      </c>
      <c r="D1567" s="1" t="str">
        <f>TEXT(FMData[[#This Row],[Show_Date]],"mmm")</f>
        <v>Sep</v>
      </c>
      <c r="E1567" s="1" t="str">
        <f>TEXT(FMData[[#This Row],[Show_Date]],"ddd")</f>
        <v>Sun</v>
      </c>
      <c r="F1567" t="s">
        <v>11</v>
      </c>
      <c r="G1567" t="s">
        <v>30</v>
      </c>
      <c r="H1567">
        <v>3</v>
      </c>
      <c r="I1567">
        <v>8</v>
      </c>
      <c r="J1567" t="s">
        <v>13</v>
      </c>
      <c r="K1567" t="s">
        <v>14</v>
      </c>
      <c r="L1567">
        <v>24</v>
      </c>
    </row>
    <row r="1568" spans="1:12" x14ac:dyDescent="0.3">
      <c r="A1568">
        <v>582</v>
      </c>
      <c r="B1568" t="s">
        <v>24</v>
      </c>
      <c r="C1568" s="1">
        <v>45850</v>
      </c>
      <c r="D1568" s="1" t="str">
        <f>TEXT(FMData[[#This Row],[Show_Date]],"mmm")</f>
        <v>Jul</v>
      </c>
      <c r="E1568" s="1" t="str">
        <f>TEXT(FMData[[#This Row],[Show_Date]],"ddd")</f>
        <v>Sat</v>
      </c>
      <c r="F1568" t="s">
        <v>11</v>
      </c>
      <c r="G1568" t="s">
        <v>22</v>
      </c>
      <c r="H1568">
        <v>3</v>
      </c>
      <c r="I1568">
        <v>20</v>
      </c>
      <c r="J1568" t="s">
        <v>23</v>
      </c>
      <c r="K1568" t="s">
        <v>14</v>
      </c>
      <c r="L1568">
        <v>60</v>
      </c>
    </row>
    <row r="1569" spans="1:12" x14ac:dyDescent="0.3">
      <c r="A1569">
        <v>1058</v>
      </c>
      <c r="B1569" t="s">
        <v>28</v>
      </c>
      <c r="C1569" s="1">
        <v>45843</v>
      </c>
      <c r="D1569" s="1" t="str">
        <f>TEXT(FMData[[#This Row],[Show_Date]],"mmm")</f>
        <v>Jul</v>
      </c>
      <c r="E1569" s="1" t="str">
        <f>TEXT(FMData[[#This Row],[Show_Date]],"ddd")</f>
        <v>Sat</v>
      </c>
      <c r="F1569" t="s">
        <v>16</v>
      </c>
      <c r="G1569" t="s">
        <v>17</v>
      </c>
      <c r="H1569">
        <v>3</v>
      </c>
      <c r="I1569">
        <v>12</v>
      </c>
      <c r="J1569" t="s">
        <v>23</v>
      </c>
      <c r="K1569" t="s">
        <v>27</v>
      </c>
      <c r="L1569">
        <v>36</v>
      </c>
    </row>
    <row r="1570" spans="1:12" x14ac:dyDescent="0.3">
      <c r="A1570">
        <v>1123</v>
      </c>
      <c r="B1570" t="s">
        <v>32</v>
      </c>
      <c r="C1570" s="1">
        <v>45899</v>
      </c>
      <c r="D1570" s="1" t="str">
        <f>TEXT(FMData[[#This Row],[Show_Date]],"mmm")</f>
        <v>Aug</v>
      </c>
      <c r="E1570" s="1" t="str">
        <f>TEXT(FMData[[#This Row],[Show_Date]],"ddd")</f>
        <v>Sat</v>
      </c>
      <c r="F1570" t="s">
        <v>20</v>
      </c>
      <c r="G1570" t="s">
        <v>17</v>
      </c>
      <c r="H1570">
        <v>3</v>
      </c>
      <c r="I1570">
        <v>12</v>
      </c>
      <c r="J1570" t="s">
        <v>23</v>
      </c>
      <c r="K1570" t="s">
        <v>27</v>
      </c>
      <c r="L1570">
        <v>36</v>
      </c>
    </row>
    <row r="1571" spans="1:12" x14ac:dyDescent="0.3">
      <c r="A1571">
        <v>692</v>
      </c>
      <c r="B1571" t="s">
        <v>10</v>
      </c>
      <c r="C1571" s="1">
        <v>45906</v>
      </c>
      <c r="D1571" s="1" t="str">
        <f>TEXT(FMData[[#This Row],[Show_Date]],"mmm")</f>
        <v>Sep</v>
      </c>
      <c r="E1571" s="1" t="str">
        <f>TEXT(FMData[[#This Row],[Show_Date]],"ddd")</f>
        <v>Sat</v>
      </c>
      <c r="F1571" t="s">
        <v>33</v>
      </c>
      <c r="G1571" t="s">
        <v>12</v>
      </c>
      <c r="H1571">
        <v>5</v>
      </c>
      <c r="I1571">
        <v>25</v>
      </c>
      <c r="J1571" t="s">
        <v>23</v>
      </c>
      <c r="K1571" t="s">
        <v>14</v>
      </c>
      <c r="L1571">
        <v>125</v>
      </c>
    </row>
    <row r="1572" spans="1:12" x14ac:dyDescent="0.3">
      <c r="A1572">
        <v>691</v>
      </c>
      <c r="B1572" t="s">
        <v>26</v>
      </c>
      <c r="C1572" s="1">
        <v>45906</v>
      </c>
      <c r="D1572" s="1" t="str">
        <f>TEXT(FMData[[#This Row],[Show_Date]],"mmm")</f>
        <v>Sep</v>
      </c>
      <c r="E1572" s="1" t="str">
        <f>TEXT(FMData[[#This Row],[Show_Date]],"ddd")</f>
        <v>Sat</v>
      </c>
      <c r="F1572" t="s">
        <v>16</v>
      </c>
      <c r="G1572" t="s">
        <v>12</v>
      </c>
      <c r="H1572">
        <v>4</v>
      </c>
      <c r="I1572">
        <v>25</v>
      </c>
      <c r="J1572" t="s">
        <v>21</v>
      </c>
      <c r="K1572" t="s">
        <v>14</v>
      </c>
      <c r="L1572">
        <v>100</v>
      </c>
    </row>
    <row r="1573" spans="1:12" x14ac:dyDescent="0.3">
      <c r="A1573">
        <v>1400</v>
      </c>
      <c r="B1573" t="s">
        <v>15</v>
      </c>
      <c r="C1573" s="1">
        <v>45889</v>
      </c>
      <c r="D1573" s="1" t="str">
        <f>TEXT(FMData[[#This Row],[Show_Date]],"mmm")</f>
        <v>Aug</v>
      </c>
      <c r="E1573" s="1" t="str">
        <f>TEXT(FMData[[#This Row],[Show_Date]],"ddd")</f>
        <v>Wed</v>
      </c>
      <c r="F1573" t="s">
        <v>16</v>
      </c>
      <c r="G1573" t="s">
        <v>12</v>
      </c>
      <c r="H1573">
        <v>4</v>
      </c>
      <c r="I1573">
        <v>25</v>
      </c>
      <c r="J1573" t="s">
        <v>13</v>
      </c>
      <c r="K1573" t="s">
        <v>14</v>
      </c>
      <c r="L1573">
        <v>100</v>
      </c>
    </row>
    <row r="1574" spans="1:12" x14ac:dyDescent="0.3">
      <c r="A1574">
        <v>1616</v>
      </c>
      <c r="B1574" t="s">
        <v>32</v>
      </c>
      <c r="C1574" s="1">
        <v>45863</v>
      </c>
      <c r="D1574" s="1" t="str">
        <f>TEXT(FMData[[#This Row],[Show_Date]],"mmm")</f>
        <v>Jul</v>
      </c>
      <c r="E1574" s="1" t="str">
        <f>TEXT(FMData[[#This Row],[Show_Date]],"ddd")</f>
        <v>Fri</v>
      </c>
      <c r="F1574" t="s">
        <v>11</v>
      </c>
      <c r="G1574" t="s">
        <v>17</v>
      </c>
      <c r="H1574">
        <v>5</v>
      </c>
      <c r="I1574">
        <v>12</v>
      </c>
      <c r="J1574" t="s">
        <v>21</v>
      </c>
      <c r="K1574" t="s">
        <v>18</v>
      </c>
      <c r="L1574">
        <v>60</v>
      </c>
    </row>
    <row r="1575" spans="1:12" x14ac:dyDescent="0.3">
      <c r="A1575">
        <v>872</v>
      </c>
      <c r="B1575" t="s">
        <v>19</v>
      </c>
      <c r="C1575" s="1">
        <v>45893</v>
      </c>
      <c r="D1575" s="1" t="str">
        <f>TEXT(FMData[[#This Row],[Show_Date]],"mmm")</f>
        <v>Aug</v>
      </c>
      <c r="E1575" s="1" t="str">
        <f>TEXT(FMData[[#This Row],[Show_Date]],"ddd")</f>
        <v>Sun</v>
      </c>
      <c r="F1575" t="s">
        <v>20</v>
      </c>
      <c r="G1575" t="s">
        <v>29</v>
      </c>
      <c r="H1575">
        <v>1</v>
      </c>
      <c r="I1575">
        <v>30</v>
      </c>
      <c r="J1575" t="s">
        <v>21</v>
      </c>
      <c r="K1575" t="s">
        <v>27</v>
      </c>
      <c r="L1575">
        <v>30</v>
      </c>
    </row>
    <row r="1576" spans="1:12" x14ac:dyDescent="0.3">
      <c r="A1576">
        <v>132</v>
      </c>
      <c r="B1576" t="s">
        <v>15</v>
      </c>
      <c r="C1576" s="1">
        <v>45871</v>
      </c>
      <c r="D1576" s="1" t="str">
        <f>TEXT(FMData[[#This Row],[Show_Date]],"mmm")</f>
        <v>Aug</v>
      </c>
      <c r="E1576" s="1" t="str">
        <f>TEXT(FMData[[#This Row],[Show_Date]],"ddd")</f>
        <v>Sat</v>
      </c>
      <c r="F1576" t="s">
        <v>33</v>
      </c>
      <c r="G1576" t="s">
        <v>17</v>
      </c>
      <c r="H1576">
        <v>2</v>
      </c>
      <c r="I1576">
        <v>12</v>
      </c>
      <c r="J1576" t="s">
        <v>23</v>
      </c>
      <c r="K1576" t="s">
        <v>18</v>
      </c>
      <c r="L1576">
        <v>24</v>
      </c>
    </row>
    <row r="1577" spans="1:12" x14ac:dyDescent="0.3">
      <c r="A1577">
        <v>1021</v>
      </c>
      <c r="B1577" t="s">
        <v>28</v>
      </c>
      <c r="C1577" s="1">
        <v>45906</v>
      </c>
      <c r="D1577" s="1" t="str">
        <f>TEXT(FMData[[#This Row],[Show_Date]],"mmm")</f>
        <v>Sep</v>
      </c>
      <c r="E1577" s="1" t="str">
        <f>TEXT(FMData[[#This Row],[Show_Date]],"ddd")</f>
        <v>Sat</v>
      </c>
      <c r="F1577" t="s">
        <v>20</v>
      </c>
      <c r="G1577" t="s">
        <v>17</v>
      </c>
      <c r="H1577">
        <v>2</v>
      </c>
      <c r="I1577">
        <v>12</v>
      </c>
      <c r="J1577" t="s">
        <v>21</v>
      </c>
      <c r="K1577" t="s">
        <v>25</v>
      </c>
      <c r="L1577">
        <v>24</v>
      </c>
    </row>
    <row r="1578" spans="1:12" x14ac:dyDescent="0.3">
      <c r="A1578">
        <v>819</v>
      </c>
      <c r="B1578" t="s">
        <v>31</v>
      </c>
      <c r="C1578" s="1">
        <v>45886</v>
      </c>
      <c r="D1578" s="1" t="str">
        <f>TEXT(FMData[[#This Row],[Show_Date]],"mmm")</f>
        <v>Aug</v>
      </c>
      <c r="E1578" s="1" t="str">
        <f>TEXT(FMData[[#This Row],[Show_Date]],"ddd")</f>
        <v>Sun</v>
      </c>
      <c r="F1578" t="s">
        <v>11</v>
      </c>
      <c r="G1578" t="s">
        <v>17</v>
      </c>
      <c r="H1578">
        <v>3</v>
      </c>
      <c r="I1578">
        <v>12</v>
      </c>
      <c r="J1578" t="s">
        <v>13</v>
      </c>
      <c r="K1578" t="s">
        <v>27</v>
      </c>
      <c r="L1578">
        <v>36</v>
      </c>
    </row>
    <row r="1579" spans="1:12" x14ac:dyDescent="0.3">
      <c r="A1579">
        <v>187</v>
      </c>
      <c r="B1579" t="s">
        <v>26</v>
      </c>
      <c r="C1579" s="1">
        <v>45914</v>
      </c>
      <c r="D1579" s="1" t="str">
        <f>TEXT(FMData[[#This Row],[Show_Date]],"mmm")</f>
        <v>Sep</v>
      </c>
      <c r="E1579" s="1" t="str">
        <f>TEXT(FMData[[#This Row],[Show_Date]],"ddd")</f>
        <v>Sun</v>
      </c>
      <c r="F1579" t="s">
        <v>33</v>
      </c>
      <c r="G1579" t="s">
        <v>22</v>
      </c>
      <c r="H1579">
        <v>3</v>
      </c>
      <c r="I1579">
        <v>20</v>
      </c>
      <c r="J1579" t="s">
        <v>23</v>
      </c>
      <c r="K1579" t="s">
        <v>25</v>
      </c>
      <c r="L1579">
        <v>60</v>
      </c>
    </row>
    <row r="1580" spans="1:12" x14ac:dyDescent="0.3">
      <c r="A1580">
        <v>1113</v>
      </c>
      <c r="B1580" t="s">
        <v>19</v>
      </c>
      <c r="C1580" s="1">
        <v>45843</v>
      </c>
      <c r="D1580" s="1" t="str">
        <f>TEXT(FMData[[#This Row],[Show_Date]],"mmm")</f>
        <v>Jul</v>
      </c>
      <c r="E1580" s="1" t="str">
        <f>TEXT(FMData[[#This Row],[Show_Date]],"ddd")</f>
        <v>Sat</v>
      </c>
      <c r="F1580" t="s">
        <v>20</v>
      </c>
      <c r="G1580" t="s">
        <v>30</v>
      </c>
      <c r="H1580">
        <v>2</v>
      </c>
      <c r="I1580">
        <v>8</v>
      </c>
      <c r="J1580" t="s">
        <v>13</v>
      </c>
      <c r="K1580" t="s">
        <v>14</v>
      </c>
      <c r="L1580">
        <v>16</v>
      </c>
    </row>
    <row r="1581" spans="1:12" x14ac:dyDescent="0.3">
      <c r="A1581">
        <v>1391</v>
      </c>
      <c r="B1581" t="s">
        <v>26</v>
      </c>
      <c r="C1581" s="1">
        <v>45852</v>
      </c>
      <c r="D1581" s="1" t="str">
        <f>TEXT(FMData[[#This Row],[Show_Date]],"mmm")</f>
        <v>Jul</v>
      </c>
      <c r="E1581" s="1" t="str">
        <f>TEXT(FMData[[#This Row],[Show_Date]],"ddd")</f>
        <v>Mon</v>
      </c>
      <c r="F1581" t="s">
        <v>16</v>
      </c>
      <c r="G1581" t="s">
        <v>17</v>
      </c>
      <c r="H1581">
        <v>4</v>
      </c>
      <c r="I1581">
        <v>12</v>
      </c>
      <c r="J1581" t="s">
        <v>13</v>
      </c>
      <c r="K1581" t="s">
        <v>25</v>
      </c>
      <c r="L1581">
        <v>48</v>
      </c>
    </row>
    <row r="1582" spans="1:12" x14ac:dyDescent="0.3">
      <c r="A1582">
        <v>831</v>
      </c>
      <c r="B1582" t="s">
        <v>15</v>
      </c>
      <c r="C1582" s="1">
        <v>45839</v>
      </c>
      <c r="D1582" s="1" t="str">
        <f>TEXT(FMData[[#This Row],[Show_Date]],"mmm")</f>
        <v>Jul</v>
      </c>
      <c r="E1582" s="1" t="str">
        <f>TEXT(FMData[[#This Row],[Show_Date]],"ddd")</f>
        <v>Tue</v>
      </c>
      <c r="F1582" t="s">
        <v>16</v>
      </c>
      <c r="G1582" t="s">
        <v>17</v>
      </c>
      <c r="H1582">
        <v>3</v>
      </c>
      <c r="I1582">
        <v>12</v>
      </c>
      <c r="J1582" t="s">
        <v>23</v>
      </c>
      <c r="K1582" t="s">
        <v>27</v>
      </c>
      <c r="L1582">
        <v>36</v>
      </c>
    </row>
    <row r="1583" spans="1:12" x14ac:dyDescent="0.3">
      <c r="A1583">
        <v>1211</v>
      </c>
      <c r="B1583" t="s">
        <v>24</v>
      </c>
      <c r="C1583" s="1">
        <v>45840</v>
      </c>
      <c r="D1583" s="1" t="str">
        <f>TEXT(FMData[[#This Row],[Show_Date]],"mmm")</f>
        <v>Jul</v>
      </c>
      <c r="E1583" s="1" t="str">
        <f>TEXT(FMData[[#This Row],[Show_Date]],"ddd")</f>
        <v>Wed</v>
      </c>
      <c r="F1583" t="s">
        <v>33</v>
      </c>
      <c r="G1583" t="s">
        <v>17</v>
      </c>
      <c r="H1583">
        <v>4</v>
      </c>
      <c r="I1583">
        <v>12</v>
      </c>
      <c r="J1583" t="s">
        <v>21</v>
      </c>
      <c r="K1583" t="s">
        <v>27</v>
      </c>
      <c r="L1583">
        <v>48</v>
      </c>
    </row>
    <row r="1584" spans="1:12" x14ac:dyDescent="0.3">
      <c r="A1584">
        <v>1812</v>
      </c>
      <c r="B1584" t="s">
        <v>24</v>
      </c>
      <c r="C1584" s="1">
        <v>45927</v>
      </c>
      <c r="D1584" s="1" t="str">
        <f>TEXT(FMData[[#This Row],[Show_Date]],"mmm")</f>
        <v>Sep</v>
      </c>
      <c r="E1584" s="1" t="str">
        <f>TEXT(FMData[[#This Row],[Show_Date]],"ddd")</f>
        <v>Sat</v>
      </c>
      <c r="F1584" t="s">
        <v>33</v>
      </c>
      <c r="G1584" t="s">
        <v>17</v>
      </c>
      <c r="H1584">
        <v>4</v>
      </c>
      <c r="I1584">
        <v>12</v>
      </c>
      <c r="J1584" t="s">
        <v>23</v>
      </c>
      <c r="K1584" t="s">
        <v>14</v>
      </c>
      <c r="L1584">
        <v>48</v>
      </c>
    </row>
    <row r="1585" spans="1:12" x14ac:dyDescent="0.3">
      <c r="A1585">
        <v>191</v>
      </c>
      <c r="B1585" t="s">
        <v>28</v>
      </c>
      <c r="C1585" s="1">
        <v>45841</v>
      </c>
      <c r="D1585" s="1" t="str">
        <f>TEXT(FMData[[#This Row],[Show_Date]],"mmm")</f>
        <v>Jul</v>
      </c>
      <c r="E1585" s="1" t="str">
        <f>TEXT(FMData[[#This Row],[Show_Date]],"ddd")</f>
        <v>Thu</v>
      </c>
      <c r="F1585" t="s">
        <v>20</v>
      </c>
      <c r="G1585" t="s">
        <v>17</v>
      </c>
      <c r="H1585">
        <v>1</v>
      </c>
      <c r="I1585">
        <v>12</v>
      </c>
      <c r="J1585" t="s">
        <v>23</v>
      </c>
      <c r="K1585" t="s">
        <v>14</v>
      </c>
      <c r="L1585">
        <v>12</v>
      </c>
    </row>
    <row r="1586" spans="1:12" x14ac:dyDescent="0.3">
      <c r="A1586">
        <v>454</v>
      </c>
      <c r="B1586" t="s">
        <v>10</v>
      </c>
      <c r="C1586" s="1">
        <v>45893</v>
      </c>
      <c r="D1586" s="1" t="str">
        <f>TEXT(FMData[[#This Row],[Show_Date]],"mmm")</f>
        <v>Aug</v>
      </c>
      <c r="E1586" s="1" t="str">
        <f>TEXT(FMData[[#This Row],[Show_Date]],"ddd")</f>
        <v>Sun</v>
      </c>
      <c r="F1586" t="s">
        <v>11</v>
      </c>
      <c r="G1586" t="s">
        <v>17</v>
      </c>
      <c r="H1586">
        <v>4</v>
      </c>
      <c r="I1586">
        <v>12</v>
      </c>
      <c r="J1586" t="s">
        <v>23</v>
      </c>
      <c r="K1586" t="s">
        <v>18</v>
      </c>
      <c r="L1586">
        <v>48</v>
      </c>
    </row>
    <row r="1587" spans="1:12" x14ac:dyDescent="0.3">
      <c r="A1587">
        <v>1402</v>
      </c>
      <c r="B1587" t="s">
        <v>32</v>
      </c>
      <c r="C1587" s="1">
        <v>45900</v>
      </c>
      <c r="D1587" s="1" t="str">
        <f>TEXT(FMData[[#This Row],[Show_Date]],"mmm")</f>
        <v>Aug</v>
      </c>
      <c r="E1587" s="1" t="str">
        <f>TEXT(FMData[[#This Row],[Show_Date]],"ddd")</f>
        <v>Sun</v>
      </c>
      <c r="F1587" t="s">
        <v>16</v>
      </c>
      <c r="G1587" t="s">
        <v>17</v>
      </c>
      <c r="H1587">
        <v>5</v>
      </c>
      <c r="I1587">
        <v>12</v>
      </c>
      <c r="J1587" t="s">
        <v>13</v>
      </c>
      <c r="K1587" t="s">
        <v>27</v>
      </c>
      <c r="L1587">
        <v>60</v>
      </c>
    </row>
    <row r="1588" spans="1:12" x14ac:dyDescent="0.3">
      <c r="A1588">
        <v>901</v>
      </c>
      <c r="B1588" t="s">
        <v>15</v>
      </c>
      <c r="C1588" s="1">
        <v>45900</v>
      </c>
      <c r="D1588" s="1" t="str">
        <f>TEXT(FMData[[#This Row],[Show_Date]],"mmm")</f>
        <v>Aug</v>
      </c>
      <c r="E1588" s="1" t="str">
        <f>TEXT(FMData[[#This Row],[Show_Date]],"ddd")</f>
        <v>Sun</v>
      </c>
      <c r="F1588" t="s">
        <v>20</v>
      </c>
      <c r="G1588" t="s">
        <v>17</v>
      </c>
      <c r="H1588">
        <v>1</v>
      </c>
      <c r="I1588">
        <v>12</v>
      </c>
      <c r="J1588" t="s">
        <v>13</v>
      </c>
      <c r="K1588" t="s">
        <v>25</v>
      </c>
      <c r="L1588">
        <v>12</v>
      </c>
    </row>
    <row r="1589" spans="1:12" x14ac:dyDescent="0.3">
      <c r="A1589">
        <v>1137</v>
      </c>
      <c r="B1589" t="s">
        <v>28</v>
      </c>
      <c r="C1589" s="1">
        <v>45925</v>
      </c>
      <c r="D1589" s="1" t="str">
        <f>TEXT(FMData[[#This Row],[Show_Date]],"mmm")</f>
        <v>Sep</v>
      </c>
      <c r="E1589" s="1" t="str">
        <f>TEXT(FMData[[#This Row],[Show_Date]],"ddd")</f>
        <v>Thu</v>
      </c>
      <c r="F1589" t="s">
        <v>16</v>
      </c>
      <c r="G1589" t="s">
        <v>30</v>
      </c>
      <c r="H1589">
        <v>1</v>
      </c>
      <c r="I1589">
        <v>8</v>
      </c>
      <c r="J1589" t="s">
        <v>21</v>
      </c>
      <c r="K1589" t="s">
        <v>27</v>
      </c>
      <c r="L1589">
        <v>8</v>
      </c>
    </row>
    <row r="1590" spans="1:12" x14ac:dyDescent="0.3">
      <c r="A1590">
        <v>318</v>
      </c>
      <c r="B1590" t="s">
        <v>24</v>
      </c>
      <c r="C1590" s="1">
        <v>45844</v>
      </c>
      <c r="D1590" s="1" t="str">
        <f>TEXT(FMData[[#This Row],[Show_Date]],"mmm")</f>
        <v>Jul</v>
      </c>
      <c r="E1590" s="1" t="str">
        <f>TEXT(FMData[[#This Row],[Show_Date]],"ddd")</f>
        <v>Sun</v>
      </c>
      <c r="F1590" t="s">
        <v>33</v>
      </c>
      <c r="G1590" t="s">
        <v>17</v>
      </c>
      <c r="H1590">
        <v>2</v>
      </c>
      <c r="I1590">
        <v>12</v>
      </c>
      <c r="J1590" t="s">
        <v>21</v>
      </c>
      <c r="K1590" t="s">
        <v>27</v>
      </c>
      <c r="L1590">
        <v>24</v>
      </c>
    </row>
    <row r="1591" spans="1:12" x14ac:dyDescent="0.3">
      <c r="A1591">
        <v>646</v>
      </c>
      <c r="B1591" t="s">
        <v>15</v>
      </c>
      <c r="C1591" s="1">
        <v>45921</v>
      </c>
      <c r="D1591" s="1" t="str">
        <f>TEXT(FMData[[#This Row],[Show_Date]],"mmm")</f>
        <v>Sep</v>
      </c>
      <c r="E1591" s="1" t="str">
        <f>TEXT(FMData[[#This Row],[Show_Date]],"ddd")</f>
        <v>Sun</v>
      </c>
      <c r="F1591" t="s">
        <v>11</v>
      </c>
      <c r="G1591" t="s">
        <v>17</v>
      </c>
      <c r="H1591">
        <v>1</v>
      </c>
      <c r="I1591">
        <v>12</v>
      </c>
      <c r="J1591" t="s">
        <v>13</v>
      </c>
      <c r="K1591" t="s">
        <v>18</v>
      </c>
      <c r="L1591">
        <v>12</v>
      </c>
    </row>
    <row r="1592" spans="1:12" x14ac:dyDescent="0.3">
      <c r="A1592">
        <v>1929</v>
      </c>
      <c r="B1592" t="s">
        <v>19</v>
      </c>
      <c r="C1592" s="1">
        <v>45924</v>
      </c>
      <c r="D1592" s="1" t="str">
        <f>TEXT(FMData[[#This Row],[Show_Date]],"mmm")</f>
        <v>Sep</v>
      </c>
      <c r="E1592" s="1" t="str">
        <f>TEXT(FMData[[#This Row],[Show_Date]],"ddd")</f>
        <v>Wed</v>
      </c>
      <c r="F1592" t="s">
        <v>33</v>
      </c>
      <c r="G1592" t="s">
        <v>30</v>
      </c>
      <c r="H1592">
        <v>4</v>
      </c>
      <c r="I1592">
        <v>8</v>
      </c>
      <c r="J1592" t="s">
        <v>13</v>
      </c>
      <c r="K1592" t="s">
        <v>18</v>
      </c>
      <c r="L1592">
        <v>32</v>
      </c>
    </row>
    <row r="1593" spans="1:12" x14ac:dyDescent="0.3">
      <c r="A1593">
        <v>307</v>
      </c>
      <c r="B1593" t="s">
        <v>31</v>
      </c>
      <c r="C1593" s="1">
        <v>45846</v>
      </c>
      <c r="D1593" s="1" t="str">
        <f>TEXT(FMData[[#This Row],[Show_Date]],"mmm")</f>
        <v>Jul</v>
      </c>
      <c r="E1593" s="1" t="str">
        <f>TEXT(FMData[[#This Row],[Show_Date]],"ddd")</f>
        <v>Tue</v>
      </c>
      <c r="F1593" t="s">
        <v>20</v>
      </c>
      <c r="G1593" t="s">
        <v>17</v>
      </c>
      <c r="H1593">
        <v>3</v>
      </c>
      <c r="I1593">
        <v>12</v>
      </c>
      <c r="J1593" t="s">
        <v>13</v>
      </c>
      <c r="K1593" t="s">
        <v>18</v>
      </c>
      <c r="L1593">
        <v>36</v>
      </c>
    </row>
    <row r="1594" spans="1:12" x14ac:dyDescent="0.3">
      <c r="A1594">
        <v>1002</v>
      </c>
      <c r="B1594" t="s">
        <v>28</v>
      </c>
      <c r="C1594" s="1">
        <v>45842</v>
      </c>
      <c r="D1594" s="1" t="str">
        <f>TEXT(FMData[[#This Row],[Show_Date]],"mmm")</f>
        <v>Jul</v>
      </c>
      <c r="E1594" s="1" t="str">
        <f>TEXT(FMData[[#This Row],[Show_Date]],"ddd")</f>
        <v>Fri</v>
      </c>
      <c r="F1594" t="s">
        <v>20</v>
      </c>
      <c r="G1594" t="s">
        <v>30</v>
      </c>
      <c r="H1594">
        <v>1</v>
      </c>
      <c r="I1594">
        <v>8</v>
      </c>
      <c r="J1594" t="s">
        <v>21</v>
      </c>
      <c r="K1594" t="s">
        <v>27</v>
      </c>
      <c r="L1594">
        <v>8</v>
      </c>
    </row>
    <row r="1595" spans="1:12" x14ac:dyDescent="0.3">
      <c r="A1595">
        <v>1232</v>
      </c>
      <c r="B1595" t="s">
        <v>19</v>
      </c>
      <c r="C1595" s="1">
        <v>45865</v>
      </c>
      <c r="D1595" s="1" t="str">
        <f>TEXT(FMData[[#This Row],[Show_Date]],"mmm")</f>
        <v>Jul</v>
      </c>
      <c r="E1595" s="1" t="str">
        <f>TEXT(FMData[[#This Row],[Show_Date]],"ddd")</f>
        <v>Sun</v>
      </c>
      <c r="F1595" t="s">
        <v>20</v>
      </c>
      <c r="G1595" t="s">
        <v>12</v>
      </c>
      <c r="H1595">
        <v>2</v>
      </c>
      <c r="I1595">
        <v>25</v>
      </c>
      <c r="J1595" t="s">
        <v>13</v>
      </c>
      <c r="K1595" t="s">
        <v>14</v>
      </c>
      <c r="L1595">
        <v>50</v>
      </c>
    </row>
    <row r="1596" spans="1:12" x14ac:dyDescent="0.3">
      <c r="A1596">
        <v>138</v>
      </c>
      <c r="B1596" t="s">
        <v>24</v>
      </c>
      <c r="C1596" s="1">
        <v>45906</v>
      </c>
      <c r="D1596" s="1" t="str">
        <f>TEXT(FMData[[#This Row],[Show_Date]],"mmm")</f>
        <v>Sep</v>
      </c>
      <c r="E1596" s="1" t="str">
        <f>TEXT(FMData[[#This Row],[Show_Date]],"ddd")</f>
        <v>Sat</v>
      </c>
      <c r="F1596" t="s">
        <v>16</v>
      </c>
      <c r="G1596" t="s">
        <v>30</v>
      </c>
      <c r="H1596">
        <v>4</v>
      </c>
      <c r="I1596">
        <v>8</v>
      </c>
      <c r="J1596" t="s">
        <v>13</v>
      </c>
      <c r="K1596" t="s">
        <v>18</v>
      </c>
      <c r="L1596">
        <v>32</v>
      </c>
    </row>
    <row r="1597" spans="1:12" x14ac:dyDescent="0.3">
      <c r="A1597">
        <v>1435</v>
      </c>
      <c r="B1597" t="s">
        <v>31</v>
      </c>
      <c r="C1597" s="1">
        <v>45865</v>
      </c>
      <c r="D1597" s="1" t="str">
        <f>TEXT(FMData[[#This Row],[Show_Date]],"mmm")</f>
        <v>Jul</v>
      </c>
      <c r="E1597" s="1" t="str">
        <f>TEXT(FMData[[#This Row],[Show_Date]],"ddd")</f>
        <v>Sun</v>
      </c>
      <c r="F1597" t="s">
        <v>16</v>
      </c>
      <c r="G1597" t="s">
        <v>30</v>
      </c>
      <c r="H1597">
        <v>3</v>
      </c>
      <c r="I1597">
        <v>8</v>
      </c>
      <c r="J1597" t="s">
        <v>21</v>
      </c>
      <c r="K1597" t="s">
        <v>25</v>
      </c>
      <c r="L1597">
        <v>24</v>
      </c>
    </row>
    <row r="1598" spans="1:12" x14ac:dyDescent="0.3">
      <c r="A1598">
        <v>93</v>
      </c>
      <c r="B1598" t="s">
        <v>26</v>
      </c>
      <c r="C1598" s="1">
        <v>45867</v>
      </c>
      <c r="D1598" s="1" t="str">
        <f>TEXT(FMData[[#This Row],[Show_Date]],"mmm")</f>
        <v>Jul</v>
      </c>
      <c r="E1598" s="1" t="str">
        <f>TEXT(FMData[[#This Row],[Show_Date]],"ddd")</f>
        <v>Tue</v>
      </c>
      <c r="F1598" t="s">
        <v>20</v>
      </c>
      <c r="G1598" t="s">
        <v>17</v>
      </c>
      <c r="H1598">
        <v>4</v>
      </c>
      <c r="I1598">
        <v>12</v>
      </c>
      <c r="J1598" t="s">
        <v>23</v>
      </c>
      <c r="K1598" t="s">
        <v>25</v>
      </c>
      <c r="L1598">
        <v>48</v>
      </c>
    </row>
    <row r="1599" spans="1:12" x14ac:dyDescent="0.3">
      <c r="A1599">
        <v>265</v>
      </c>
      <c r="B1599" t="s">
        <v>32</v>
      </c>
      <c r="C1599" s="1">
        <v>45841</v>
      </c>
      <c r="D1599" s="1" t="str">
        <f>TEXT(FMData[[#This Row],[Show_Date]],"mmm")</f>
        <v>Jul</v>
      </c>
      <c r="E1599" s="1" t="str">
        <f>TEXT(FMData[[#This Row],[Show_Date]],"ddd")</f>
        <v>Thu</v>
      </c>
      <c r="F1599" t="s">
        <v>20</v>
      </c>
      <c r="G1599" t="s">
        <v>12</v>
      </c>
      <c r="H1599">
        <v>5</v>
      </c>
      <c r="I1599">
        <v>25</v>
      </c>
      <c r="J1599" t="s">
        <v>21</v>
      </c>
      <c r="K1599" t="s">
        <v>27</v>
      </c>
      <c r="L1599">
        <v>125</v>
      </c>
    </row>
    <row r="1600" spans="1:12" x14ac:dyDescent="0.3">
      <c r="A1600">
        <v>253</v>
      </c>
      <c r="B1600" t="s">
        <v>31</v>
      </c>
      <c r="C1600" s="1">
        <v>45848</v>
      </c>
      <c r="D1600" s="1" t="str">
        <f>TEXT(FMData[[#This Row],[Show_Date]],"mmm")</f>
        <v>Jul</v>
      </c>
      <c r="E1600" s="1" t="str">
        <f>TEXT(FMData[[#This Row],[Show_Date]],"ddd")</f>
        <v>Thu</v>
      </c>
      <c r="F1600" t="s">
        <v>11</v>
      </c>
      <c r="G1600" t="s">
        <v>30</v>
      </c>
      <c r="H1600">
        <v>4</v>
      </c>
      <c r="I1600">
        <v>8</v>
      </c>
      <c r="J1600" t="s">
        <v>21</v>
      </c>
      <c r="K1600" t="s">
        <v>27</v>
      </c>
      <c r="L1600">
        <v>32</v>
      </c>
    </row>
    <row r="1601" spans="1:12" x14ac:dyDescent="0.3">
      <c r="A1601">
        <v>443</v>
      </c>
      <c r="B1601" t="s">
        <v>24</v>
      </c>
      <c r="C1601" s="1">
        <v>45871</v>
      </c>
      <c r="D1601" s="1" t="str">
        <f>TEXT(FMData[[#This Row],[Show_Date]],"mmm")</f>
        <v>Aug</v>
      </c>
      <c r="E1601" s="1" t="str">
        <f>TEXT(FMData[[#This Row],[Show_Date]],"ddd")</f>
        <v>Sat</v>
      </c>
      <c r="F1601" t="s">
        <v>16</v>
      </c>
      <c r="G1601" t="s">
        <v>30</v>
      </c>
      <c r="H1601">
        <v>1</v>
      </c>
      <c r="I1601">
        <v>8</v>
      </c>
      <c r="J1601" t="s">
        <v>23</v>
      </c>
      <c r="K1601" t="s">
        <v>18</v>
      </c>
      <c r="L1601">
        <v>8</v>
      </c>
    </row>
    <row r="1602" spans="1:12" x14ac:dyDescent="0.3">
      <c r="A1602">
        <v>1722</v>
      </c>
      <c r="B1602" t="s">
        <v>32</v>
      </c>
      <c r="C1602" s="1">
        <v>45920</v>
      </c>
      <c r="D1602" s="1" t="str">
        <f>TEXT(FMData[[#This Row],[Show_Date]],"mmm")</f>
        <v>Sep</v>
      </c>
      <c r="E1602" s="1" t="str">
        <f>TEXT(FMData[[#This Row],[Show_Date]],"ddd")</f>
        <v>Sat</v>
      </c>
      <c r="F1602" t="s">
        <v>11</v>
      </c>
      <c r="G1602" t="s">
        <v>22</v>
      </c>
      <c r="H1602">
        <v>4</v>
      </c>
      <c r="I1602">
        <v>20</v>
      </c>
      <c r="J1602" t="s">
        <v>21</v>
      </c>
      <c r="K1602" t="s">
        <v>27</v>
      </c>
      <c r="L1602">
        <v>80</v>
      </c>
    </row>
    <row r="1603" spans="1:12" x14ac:dyDescent="0.3">
      <c r="A1603">
        <v>342</v>
      </c>
      <c r="B1603" t="s">
        <v>31</v>
      </c>
      <c r="C1603" s="1">
        <v>45890</v>
      </c>
      <c r="D1603" s="1" t="str">
        <f>TEXT(FMData[[#This Row],[Show_Date]],"mmm")</f>
        <v>Aug</v>
      </c>
      <c r="E1603" s="1" t="str">
        <f>TEXT(FMData[[#This Row],[Show_Date]],"ddd")</f>
        <v>Thu</v>
      </c>
      <c r="F1603" t="s">
        <v>11</v>
      </c>
      <c r="G1603" t="s">
        <v>17</v>
      </c>
      <c r="H1603">
        <v>1</v>
      </c>
      <c r="I1603">
        <v>12</v>
      </c>
      <c r="J1603" t="s">
        <v>13</v>
      </c>
      <c r="K1603" t="s">
        <v>27</v>
      </c>
      <c r="L1603">
        <v>12</v>
      </c>
    </row>
    <row r="1604" spans="1:12" x14ac:dyDescent="0.3">
      <c r="A1604">
        <v>1024</v>
      </c>
      <c r="B1604" t="s">
        <v>26</v>
      </c>
      <c r="C1604" s="1">
        <v>45851</v>
      </c>
      <c r="D1604" s="1" t="str">
        <f>TEXT(FMData[[#This Row],[Show_Date]],"mmm")</f>
        <v>Jul</v>
      </c>
      <c r="E1604" s="1" t="str">
        <f>TEXT(FMData[[#This Row],[Show_Date]],"ddd")</f>
        <v>Sun</v>
      </c>
      <c r="F1604" t="s">
        <v>16</v>
      </c>
      <c r="G1604" t="s">
        <v>17</v>
      </c>
      <c r="H1604">
        <v>3</v>
      </c>
      <c r="I1604">
        <v>12</v>
      </c>
      <c r="J1604" t="s">
        <v>21</v>
      </c>
      <c r="K1604" t="s">
        <v>14</v>
      </c>
      <c r="L1604">
        <v>36</v>
      </c>
    </row>
    <row r="1605" spans="1:12" x14ac:dyDescent="0.3">
      <c r="A1605">
        <v>1928</v>
      </c>
      <c r="B1605" t="s">
        <v>32</v>
      </c>
      <c r="C1605" s="1">
        <v>45916</v>
      </c>
      <c r="D1605" s="1" t="str">
        <f>TEXT(FMData[[#This Row],[Show_Date]],"mmm")</f>
        <v>Sep</v>
      </c>
      <c r="E1605" s="1" t="str">
        <f>TEXT(FMData[[#This Row],[Show_Date]],"ddd")</f>
        <v>Tue</v>
      </c>
      <c r="F1605" t="s">
        <v>11</v>
      </c>
      <c r="G1605" t="s">
        <v>30</v>
      </c>
      <c r="H1605">
        <v>2</v>
      </c>
      <c r="I1605">
        <v>8</v>
      </c>
      <c r="J1605" t="s">
        <v>13</v>
      </c>
      <c r="K1605" t="s">
        <v>25</v>
      </c>
      <c r="L1605">
        <v>16</v>
      </c>
    </row>
    <row r="1606" spans="1:12" x14ac:dyDescent="0.3">
      <c r="A1606">
        <v>446</v>
      </c>
      <c r="B1606" t="s">
        <v>32</v>
      </c>
      <c r="C1606" s="1">
        <v>45889</v>
      </c>
      <c r="D1606" s="1" t="str">
        <f>TEXT(FMData[[#This Row],[Show_Date]],"mmm")</f>
        <v>Aug</v>
      </c>
      <c r="E1606" s="1" t="str">
        <f>TEXT(FMData[[#This Row],[Show_Date]],"ddd")</f>
        <v>Wed</v>
      </c>
      <c r="F1606" t="s">
        <v>33</v>
      </c>
      <c r="G1606" t="s">
        <v>17</v>
      </c>
      <c r="H1606">
        <v>2</v>
      </c>
      <c r="I1606">
        <v>12</v>
      </c>
      <c r="J1606" t="s">
        <v>21</v>
      </c>
      <c r="K1606" t="s">
        <v>18</v>
      </c>
      <c r="L1606">
        <v>24</v>
      </c>
    </row>
    <row r="1607" spans="1:12" x14ac:dyDescent="0.3">
      <c r="A1607">
        <v>1541</v>
      </c>
      <c r="B1607" t="s">
        <v>28</v>
      </c>
      <c r="C1607" s="1">
        <v>45876</v>
      </c>
      <c r="D1607" s="1" t="str">
        <f>TEXT(FMData[[#This Row],[Show_Date]],"mmm")</f>
        <v>Aug</v>
      </c>
      <c r="E1607" s="1" t="str">
        <f>TEXT(FMData[[#This Row],[Show_Date]],"ddd")</f>
        <v>Thu</v>
      </c>
      <c r="F1607" t="s">
        <v>20</v>
      </c>
      <c r="G1607" t="s">
        <v>17</v>
      </c>
      <c r="H1607">
        <v>1</v>
      </c>
      <c r="I1607">
        <v>12</v>
      </c>
      <c r="J1607" t="s">
        <v>13</v>
      </c>
      <c r="K1607" t="s">
        <v>18</v>
      </c>
      <c r="L1607">
        <v>12</v>
      </c>
    </row>
    <row r="1608" spans="1:12" x14ac:dyDescent="0.3">
      <c r="A1608">
        <v>486</v>
      </c>
      <c r="B1608" t="s">
        <v>10</v>
      </c>
      <c r="C1608" s="1">
        <v>45874</v>
      </c>
      <c r="D1608" s="1" t="str">
        <f>TEXT(FMData[[#This Row],[Show_Date]],"mmm")</f>
        <v>Aug</v>
      </c>
      <c r="E1608" s="1" t="str">
        <f>TEXT(FMData[[#This Row],[Show_Date]],"ddd")</f>
        <v>Tue</v>
      </c>
      <c r="F1608" t="s">
        <v>11</v>
      </c>
      <c r="G1608" t="s">
        <v>29</v>
      </c>
      <c r="H1608">
        <v>3</v>
      </c>
      <c r="I1608">
        <v>30</v>
      </c>
      <c r="J1608" t="s">
        <v>21</v>
      </c>
      <c r="K1608" t="s">
        <v>14</v>
      </c>
      <c r="L1608">
        <v>90</v>
      </c>
    </row>
    <row r="1609" spans="1:12" x14ac:dyDescent="0.3">
      <c r="A1609">
        <v>258</v>
      </c>
      <c r="B1609" t="s">
        <v>10</v>
      </c>
      <c r="C1609" s="1">
        <v>45896</v>
      </c>
      <c r="D1609" s="1" t="str">
        <f>TEXT(FMData[[#This Row],[Show_Date]],"mmm")</f>
        <v>Aug</v>
      </c>
      <c r="E1609" s="1" t="str">
        <f>TEXT(FMData[[#This Row],[Show_Date]],"ddd")</f>
        <v>Wed</v>
      </c>
      <c r="F1609" t="s">
        <v>20</v>
      </c>
      <c r="G1609" t="s">
        <v>17</v>
      </c>
      <c r="H1609">
        <v>3</v>
      </c>
      <c r="I1609">
        <v>12</v>
      </c>
      <c r="J1609" t="s">
        <v>21</v>
      </c>
      <c r="K1609" t="s">
        <v>27</v>
      </c>
      <c r="L1609">
        <v>36</v>
      </c>
    </row>
    <row r="1610" spans="1:12" x14ac:dyDescent="0.3">
      <c r="A1610">
        <v>204</v>
      </c>
      <c r="B1610" t="s">
        <v>24</v>
      </c>
      <c r="C1610" s="1">
        <v>45850</v>
      </c>
      <c r="D1610" s="1" t="str">
        <f>TEXT(FMData[[#This Row],[Show_Date]],"mmm")</f>
        <v>Jul</v>
      </c>
      <c r="E1610" s="1" t="str">
        <f>TEXT(FMData[[#This Row],[Show_Date]],"ddd")</f>
        <v>Sat</v>
      </c>
      <c r="F1610" t="s">
        <v>11</v>
      </c>
      <c r="G1610" t="s">
        <v>17</v>
      </c>
      <c r="H1610">
        <v>1</v>
      </c>
      <c r="I1610">
        <v>12</v>
      </c>
      <c r="J1610" t="s">
        <v>13</v>
      </c>
      <c r="K1610" t="s">
        <v>14</v>
      </c>
      <c r="L1610">
        <v>12</v>
      </c>
    </row>
    <row r="1611" spans="1:12" x14ac:dyDescent="0.3">
      <c r="A1611">
        <v>393</v>
      </c>
      <c r="B1611" t="s">
        <v>19</v>
      </c>
      <c r="C1611" s="1">
        <v>45857</v>
      </c>
      <c r="D1611" s="1" t="str">
        <f>TEXT(FMData[[#This Row],[Show_Date]],"mmm")</f>
        <v>Jul</v>
      </c>
      <c r="E1611" s="1" t="str">
        <f>TEXT(FMData[[#This Row],[Show_Date]],"ddd")</f>
        <v>Sat</v>
      </c>
      <c r="F1611" t="s">
        <v>16</v>
      </c>
      <c r="G1611" t="s">
        <v>17</v>
      </c>
      <c r="H1611">
        <v>4</v>
      </c>
      <c r="I1611">
        <v>12</v>
      </c>
      <c r="J1611" t="s">
        <v>21</v>
      </c>
      <c r="K1611" t="s">
        <v>18</v>
      </c>
      <c r="L1611">
        <v>48</v>
      </c>
    </row>
    <row r="1612" spans="1:12" x14ac:dyDescent="0.3">
      <c r="A1612">
        <v>1703</v>
      </c>
      <c r="B1612" t="s">
        <v>28</v>
      </c>
      <c r="C1612" s="1">
        <v>45856</v>
      </c>
      <c r="D1612" s="1" t="str">
        <f>TEXT(FMData[[#This Row],[Show_Date]],"mmm")</f>
        <v>Jul</v>
      </c>
      <c r="E1612" s="1" t="str">
        <f>TEXT(FMData[[#This Row],[Show_Date]],"ddd")</f>
        <v>Fri</v>
      </c>
      <c r="F1612" t="s">
        <v>16</v>
      </c>
      <c r="G1612" t="s">
        <v>17</v>
      </c>
      <c r="H1612">
        <v>5</v>
      </c>
      <c r="I1612">
        <v>12</v>
      </c>
      <c r="J1612" t="s">
        <v>13</v>
      </c>
      <c r="K1612" t="s">
        <v>14</v>
      </c>
      <c r="L1612">
        <v>60</v>
      </c>
    </row>
    <row r="1613" spans="1:12" x14ac:dyDescent="0.3">
      <c r="A1613">
        <v>1331</v>
      </c>
      <c r="B1613" t="s">
        <v>10</v>
      </c>
      <c r="C1613" s="1">
        <v>45906</v>
      </c>
      <c r="D1613" s="1" t="str">
        <f>TEXT(FMData[[#This Row],[Show_Date]],"mmm")</f>
        <v>Sep</v>
      </c>
      <c r="E1613" s="1" t="str">
        <f>TEXT(FMData[[#This Row],[Show_Date]],"ddd")</f>
        <v>Sat</v>
      </c>
      <c r="F1613" t="s">
        <v>33</v>
      </c>
      <c r="G1613" t="s">
        <v>12</v>
      </c>
      <c r="H1613">
        <v>4</v>
      </c>
      <c r="I1613">
        <v>25</v>
      </c>
      <c r="J1613" t="s">
        <v>21</v>
      </c>
      <c r="K1613" t="s">
        <v>27</v>
      </c>
      <c r="L1613">
        <v>100</v>
      </c>
    </row>
    <row r="1614" spans="1:12" x14ac:dyDescent="0.3">
      <c r="A1614">
        <v>1085</v>
      </c>
      <c r="B1614" t="s">
        <v>10</v>
      </c>
      <c r="C1614" s="1">
        <v>45864</v>
      </c>
      <c r="D1614" s="1" t="str">
        <f>TEXT(FMData[[#This Row],[Show_Date]],"mmm")</f>
        <v>Jul</v>
      </c>
      <c r="E1614" s="1" t="str">
        <f>TEXT(FMData[[#This Row],[Show_Date]],"ddd")</f>
        <v>Sat</v>
      </c>
      <c r="F1614" t="s">
        <v>20</v>
      </c>
      <c r="G1614" t="s">
        <v>30</v>
      </c>
      <c r="H1614">
        <v>4</v>
      </c>
      <c r="I1614">
        <v>8</v>
      </c>
      <c r="J1614" t="s">
        <v>13</v>
      </c>
      <c r="K1614" t="s">
        <v>27</v>
      </c>
      <c r="L1614">
        <v>32</v>
      </c>
    </row>
    <row r="1615" spans="1:12" x14ac:dyDescent="0.3">
      <c r="A1615">
        <v>889</v>
      </c>
      <c r="B1615" t="s">
        <v>31</v>
      </c>
      <c r="C1615" s="1">
        <v>45845</v>
      </c>
      <c r="D1615" s="1" t="str">
        <f>TEXT(FMData[[#This Row],[Show_Date]],"mmm")</f>
        <v>Jul</v>
      </c>
      <c r="E1615" s="1" t="str">
        <f>TEXT(FMData[[#This Row],[Show_Date]],"ddd")</f>
        <v>Mon</v>
      </c>
      <c r="F1615" t="s">
        <v>33</v>
      </c>
      <c r="G1615" t="s">
        <v>22</v>
      </c>
      <c r="H1615">
        <v>2</v>
      </c>
      <c r="I1615">
        <v>20</v>
      </c>
      <c r="J1615" t="s">
        <v>21</v>
      </c>
      <c r="K1615" t="s">
        <v>25</v>
      </c>
      <c r="L1615">
        <v>40</v>
      </c>
    </row>
    <row r="1616" spans="1:12" x14ac:dyDescent="0.3">
      <c r="A1616">
        <v>730</v>
      </c>
      <c r="B1616" t="s">
        <v>31</v>
      </c>
      <c r="C1616" s="1">
        <v>45843</v>
      </c>
      <c r="D1616" s="1" t="str">
        <f>TEXT(FMData[[#This Row],[Show_Date]],"mmm")</f>
        <v>Jul</v>
      </c>
      <c r="E1616" s="1" t="str">
        <f>TEXT(FMData[[#This Row],[Show_Date]],"ddd")</f>
        <v>Sat</v>
      </c>
      <c r="F1616" t="s">
        <v>33</v>
      </c>
      <c r="G1616" t="s">
        <v>17</v>
      </c>
      <c r="H1616">
        <v>2</v>
      </c>
      <c r="I1616">
        <v>12</v>
      </c>
      <c r="J1616" t="s">
        <v>23</v>
      </c>
      <c r="K1616" t="s">
        <v>14</v>
      </c>
      <c r="L1616">
        <v>24</v>
      </c>
    </row>
    <row r="1617" spans="1:12" x14ac:dyDescent="0.3">
      <c r="A1617">
        <v>635</v>
      </c>
      <c r="B1617" t="s">
        <v>26</v>
      </c>
      <c r="C1617" s="1">
        <v>45851</v>
      </c>
      <c r="D1617" s="1" t="str">
        <f>TEXT(FMData[[#This Row],[Show_Date]],"mmm")</f>
        <v>Jul</v>
      </c>
      <c r="E1617" s="1" t="str">
        <f>TEXT(FMData[[#This Row],[Show_Date]],"ddd")</f>
        <v>Sun</v>
      </c>
      <c r="F1617" t="s">
        <v>20</v>
      </c>
      <c r="G1617" t="s">
        <v>30</v>
      </c>
      <c r="H1617">
        <v>2</v>
      </c>
      <c r="I1617">
        <v>8</v>
      </c>
      <c r="J1617" t="s">
        <v>23</v>
      </c>
      <c r="K1617" t="s">
        <v>27</v>
      </c>
      <c r="L1617">
        <v>16</v>
      </c>
    </row>
    <row r="1618" spans="1:12" x14ac:dyDescent="0.3">
      <c r="A1618">
        <v>1976</v>
      </c>
      <c r="B1618" t="s">
        <v>24</v>
      </c>
      <c r="C1618" s="1">
        <v>45923</v>
      </c>
      <c r="D1618" s="1" t="str">
        <f>TEXT(FMData[[#This Row],[Show_Date]],"mmm")</f>
        <v>Sep</v>
      </c>
      <c r="E1618" s="1" t="str">
        <f>TEXT(FMData[[#This Row],[Show_Date]],"ddd")</f>
        <v>Tue</v>
      </c>
      <c r="F1618" t="s">
        <v>11</v>
      </c>
      <c r="G1618" t="s">
        <v>29</v>
      </c>
      <c r="H1618">
        <v>1</v>
      </c>
      <c r="I1618">
        <v>30</v>
      </c>
      <c r="J1618" t="s">
        <v>13</v>
      </c>
      <c r="K1618" t="s">
        <v>27</v>
      </c>
      <c r="L1618">
        <v>30</v>
      </c>
    </row>
    <row r="1619" spans="1:12" x14ac:dyDescent="0.3">
      <c r="A1619">
        <v>1438</v>
      </c>
      <c r="B1619" t="s">
        <v>15</v>
      </c>
      <c r="C1619" s="1">
        <v>45894</v>
      </c>
      <c r="D1619" s="1" t="str">
        <f>TEXT(FMData[[#This Row],[Show_Date]],"mmm")</f>
        <v>Aug</v>
      </c>
      <c r="E1619" s="1" t="str">
        <f>TEXT(FMData[[#This Row],[Show_Date]],"ddd")</f>
        <v>Mon</v>
      </c>
      <c r="F1619" t="s">
        <v>11</v>
      </c>
      <c r="G1619" t="s">
        <v>12</v>
      </c>
      <c r="H1619">
        <v>5</v>
      </c>
      <c r="I1619">
        <v>25</v>
      </c>
      <c r="J1619" t="s">
        <v>21</v>
      </c>
      <c r="K1619" t="s">
        <v>14</v>
      </c>
      <c r="L1619">
        <v>125</v>
      </c>
    </row>
    <row r="1620" spans="1:12" x14ac:dyDescent="0.3">
      <c r="A1620">
        <v>992</v>
      </c>
      <c r="B1620" t="s">
        <v>31</v>
      </c>
      <c r="C1620" s="1">
        <v>45876</v>
      </c>
      <c r="D1620" s="1" t="str">
        <f>TEXT(FMData[[#This Row],[Show_Date]],"mmm")</f>
        <v>Aug</v>
      </c>
      <c r="E1620" s="1" t="str">
        <f>TEXT(FMData[[#This Row],[Show_Date]],"ddd")</f>
        <v>Thu</v>
      </c>
      <c r="F1620" t="s">
        <v>20</v>
      </c>
      <c r="G1620" t="s">
        <v>22</v>
      </c>
      <c r="H1620">
        <v>3</v>
      </c>
      <c r="I1620">
        <v>20</v>
      </c>
      <c r="J1620" t="s">
        <v>21</v>
      </c>
      <c r="K1620" t="s">
        <v>25</v>
      </c>
      <c r="L1620">
        <v>60</v>
      </c>
    </row>
    <row r="1621" spans="1:12" x14ac:dyDescent="0.3">
      <c r="A1621">
        <v>324</v>
      </c>
      <c r="B1621" t="s">
        <v>26</v>
      </c>
      <c r="C1621" s="1">
        <v>45864</v>
      </c>
      <c r="D1621" s="1" t="str">
        <f>TEXT(FMData[[#This Row],[Show_Date]],"mmm")</f>
        <v>Jul</v>
      </c>
      <c r="E1621" s="1" t="str">
        <f>TEXT(FMData[[#This Row],[Show_Date]],"ddd")</f>
        <v>Sat</v>
      </c>
      <c r="F1621" t="s">
        <v>16</v>
      </c>
      <c r="G1621" t="s">
        <v>17</v>
      </c>
      <c r="H1621">
        <v>3</v>
      </c>
      <c r="I1621">
        <v>12</v>
      </c>
      <c r="J1621" t="s">
        <v>23</v>
      </c>
      <c r="K1621" t="s">
        <v>18</v>
      </c>
      <c r="L1621">
        <v>36</v>
      </c>
    </row>
    <row r="1622" spans="1:12" x14ac:dyDescent="0.3">
      <c r="A1622">
        <v>105</v>
      </c>
      <c r="B1622" t="s">
        <v>26</v>
      </c>
      <c r="C1622" s="1">
        <v>45879</v>
      </c>
      <c r="D1622" s="1" t="str">
        <f>TEXT(FMData[[#This Row],[Show_Date]],"mmm")</f>
        <v>Aug</v>
      </c>
      <c r="E1622" s="1" t="str">
        <f>TEXT(FMData[[#This Row],[Show_Date]],"ddd")</f>
        <v>Sun</v>
      </c>
      <c r="F1622" t="s">
        <v>16</v>
      </c>
      <c r="G1622" t="s">
        <v>30</v>
      </c>
      <c r="H1622">
        <v>5</v>
      </c>
      <c r="I1622">
        <v>8</v>
      </c>
      <c r="J1622" t="s">
        <v>13</v>
      </c>
      <c r="K1622" t="s">
        <v>14</v>
      </c>
      <c r="L1622">
        <v>40</v>
      </c>
    </row>
    <row r="1623" spans="1:12" x14ac:dyDescent="0.3">
      <c r="A1623">
        <v>1063</v>
      </c>
      <c r="B1623" t="s">
        <v>28</v>
      </c>
      <c r="C1623" s="1">
        <v>45878</v>
      </c>
      <c r="D1623" s="1" t="str">
        <f>TEXT(FMData[[#This Row],[Show_Date]],"mmm")</f>
        <v>Aug</v>
      </c>
      <c r="E1623" s="1" t="str">
        <f>TEXT(FMData[[#This Row],[Show_Date]],"ddd")</f>
        <v>Sat</v>
      </c>
      <c r="F1623" t="s">
        <v>16</v>
      </c>
      <c r="G1623" t="s">
        <v>12</v>
      </c>
      <c r="H1623">
        <v>1</v>
      </c>
      <c r="I1623">
        <v>25</v>
      </c>
      <c r="J1623" t="s">
        <v>23</v>
      </c>
      <c r="K1623" t="s">
        <v>25</v>
      </c>
      <c r="L1623">
        <v>25</v>
      </c>
    </row>
    <row r="1624" spans="1:12" x14ac:dyDescent="0.3">
      <c r="A1624">
        <v>651</v>
      </c>
      <c r="B1624" t="s">
        <v>28</v>
      </c>
      <c r="C1624" s="1">
        <v>45887</v>
      </c>
      <c r="D1624" s="1" t="str">
        <f>TEXT(FMData[[#This Row],[Show_Date]],"mmm")</f>
        <v>Aug</v>
      </c>
      <c r="E1624" s="1" t="str">
        <f>TEXT(FMData[[#This Row],[Show_Date]],"ddd")</f>
        <v>Mon</v>
      </c>
      <c r="F1624" t="s">
        <v>16</v>
      </c>
      <c r="G1624" t="s">
        <v>17</v>
      </c>
      <c r="H1624">
        <v>5</v>
      </c>
      <c r="I1624">
        <v>12</v>
      </c>
      <c r="J1624" t="s">
        <v>21</v>
      </c>
      <c r="K1624" t="s">
        <v>14</v>
      </c>
      <c r="L1624">
        <v>60</v>
      </c>
    </row>
    <row r="1625" spans="1:12" x14ac:dyDescent="0.3">
      <c r="A1625">
        <v>597</v>
      </c>
      <c r="B1625" t="s">
        <v>15</v>
      </c>
      <c r="C1625" s="1">
        <v>45884</v>
      </c>
      <c r="D1625" s="1" t="str">
        <f>TEXT(FMData[[#This Row],[Show_Date]],"mmm")</f>
        <v>Aug</v>
      </c>
      <c r="E1625" s="1" t="str">
        <f>TEXT(FMData[[#This Row],[Show_Date]],"ddd")</f>
        <v>Fri</v>
      </c>
      <c r="F1625" t="s">
        <v>11</v>
      </c>
      <c r="G1625" t="s">
        <v>17</v>
      </c>
      <c r="H1625">
        <v>3</v>
      </c>
      <c r="I1625">
        <v>12</v>
      </c>
      <c r="J1625" t="s">
        <v>23</v>
      </c>
      <c r="K1625" t="s">
        <v>14</v>
      </c>
      <c r="L1625">
        <v>36</v>
      </c>
    </row>
    <row r="1626" spans="1:12" x14ac:dyDescent="0.3">
      <c r="A1626">
        <v>1397</v>
      </c>
      <c r="B1626" t="s">
        <v>32</v>
      </c>
      <c r="C1626" s="1">
        <v>45902</v>
      </c>
      <c r="D1626" s="1" t="str">
        <f>TEXT(FMData[[#This Row],[Show_Date]],"mmm")</f>
        <v>Sep</v>
      </c>
      <c r="E1626" s="1" t="str">
        <f>TEXT(FMData[[#This Row],[Show_Date]],"ddd")</f>
        <v>Tue</v>
      </c>
      <c r="F1626" t="s">
        <v>16</v>
      </c>
      <c r="G1626" t="s">
        <v>22</v>
      </c>
      <c r="H1626">
        <v>2</v>
      </c>
      <c r="I1626">
        <v>20</v>
      </c>
      <c r="J1626" t="s">
        <v>13</v>
      </c>
      <c r="K1626" t="s">
        <v>25</v>
      </c>
      <c r="L1626">
        <v>40</v>
      </c>
    </row>
    <row r="1627" spans="1:12" x14ac:dyDescent="0.3">
      <c r="A1627">
        <v>1431</v>
      </c>
      <c r="B1627" t="s">
        <v>24</v>
      </c>
      <c r="C1627" s="1">
        <v>45841</v>
      </c>
      <c r="D1627" s="1" t="str">
        <f>TEXT(FMData[[#This Row],[Show_Date]],"mmm")</f>
        <v>Jul</v>
      </c>
      <c r="E1627" s="1" t="str">
        <f>TEXT(FMData[[#This Row],[Show_Date]],"ddd")</f>
        <v>Thu</v>
      </c>
      <c r="F1627" t="s">
        <v>11</v>
      </c>
      <c r="G1627" t="s">
        <v>12</v>
      </c>
      <c r="H1627">
        <v>1</v>
      </c>
      <c r="I1627">
        <v>25</v>
      </c>
      <c r="J1627" t="s">
        <v>13</v>
      </c>
      <c r="K1627" t="s">
        <v>27</v>
      </c>
      <c r="L1627">
        <v>25</v>
      </c>
    </row>
    <row r="1628" spans="1:12" x14ac:dyDescent="0.3">
      <c r="A1628">
        <v>1298</v>
      </c>
      <c r="B1628" t="s">
        <v>24</v>
      </c>
      <c r="C1628" s="1">
        <v>45916</v>
      </c>
      <c r="D1628" s="1" t="str">
        <f>TEXT(FMData[[#This Row],[Show_Date]],"mmm")</f>
        <v>Sep</v>
      </c>
      <c r="E1628" s="1" t="str">
        <f>TEXT(FMData[[#This Row],[Show_Date]],"ddd")</f>
        <v>Tue</v>
      </c>
      <c r="F1628" t="s">
        <v>16</v>
      </c>
      <c r="G1628" t="s">
        <v>17</v>
      </c>
      <c r="H1628">
        <v>1</v>
      </c>
      <c r="I1628">
        <v>12</v>
      </c>
      <c r="J1628" t="s">
        <v>21</v>
      </c>
      <c r="K1628" t="s">
        <v>25</v>
      </c>
      <c r="L1628">
        <v>12</v>
      </c>
    </row>
    <row r="1629" spans="1:12" x14ac:dyDescent="0.3">
      <c r="A1629">
        <v>112</v>
      </c>
      <c r="B1629" t="s">
        <v>28</v>
      </c>
      <c r="C1629" s="1">
        <v>45885</v>
      </c>
      <c r="D1629" s="1" t="str">
        <f>TEXT(FMData[[#This Row],[Show_Date]],"mmm")</f>
        <v>Aug</v>
      </c>
      <c r="E1629" s="1" t="str">
        <f>TEXT(FMData[[#This Row],[Show_Date]],"ddd")</f>
        <v>Sat</v>
      </c>
      <c r="F1629" t="s">
        <v>33</v>
      </c>
      <c r="G1629" t="s">
        <v>17</v>
      </c>
      <c r="H1629">
        <v>2</v>
      </c>
      <c r="I1629">
        <v>12</v>
      </c>
      <c r="J1629" t="s">
        <v>23</v>
      </c>
      <c r="K1629" t="s">
        <v>14</v>
      </c>
      <c r="L1629">
        <v>24</v>
      </c>
    </row>
    <row r="1630" spans="1:12" x14ac:dyDescent="0.3">
      <c r="A1630">
        <v>409</v>
      </c>
      <c r="B1630" t="s">
        <v>31</v>
      </c>
      <c r="C1630" s="1">
        <v>45878</v>
      </c>
      <c r="D1630" s="1" t="str">
        <f>TEXT(FMData[[#This Row],[Show_Date]],"mmm")</f>
        <v>Aug</v>
      </c>
      <c r="E1630" s="1" t="str">
        <f>TEXT(FMData[[#This Row],[Show_Date]],"ddd")</f>
        <v>Sat</v>
      </c>
      <c r="F1630" t="s">
        <v>11</v>
      </c>
      <c r="G1630" t="s">
        <v>29</v>
      </c>
      <c r="H1630">
        <v>1</v>
      </c>
      <c r="I1630">
        <v>30</v>
      </c>
      <c r="J1630" t="s">
        <v>13</v>
      </c>
      <c r="K1630" t="s">
        <v>27</v>
      </c>
      <c r="L1630">
        <v>30</v>
      </c>
    </row>
    <row r="1631" spans="1:12" x14ac:dyDescent="0.3">
      <c r="A1631">
        <v>403</v>
      </c>
      <c r="B1631" t="s">
        <v>32</v>
      </c>
      <c r="C1631" s="1">
        <v>45853</v>
      </c>
      <c r="D1631" s="1" t="str">
        <f>TEXT(FMData[[#This Row],[Show_Date]],"mmm")</f>
        <v>Jul</v>
      </c>
      <c r="E1631" s="1" t="str">
        <f>TEXT(FMData[[#This Row],[Show_Date]],"ddd")</f>
        <v>Tue</v>
      </c>
      <c r="F1631" t="s">
        <v>11</v>
      </c>
      <c r="G1631" t="s">
        <v>17</v>
      </c>
      <c r="H1631">
        <v>5</v>
      </c>
      <c r="I1631">
        <v>12</v>
      </c>
      <c r="J1631" t="s">
        <v>13</v>
      </c>
      <c r="K1631" t="s">
        <v>14</v>
      </c>
      <c r="L1631">
        <v>60</v>
      </c>
    </row>
    <row r="1632" spans="1:12" x14ac:dyDescent="0.3">
      <c r="A1632">
        <v>1946</v>
      </c>
      <c r="B1632" t="s">
        <v>19</v>
      </c>
      <c r="C1632" s="1">
        <v>45904</v>
      </c>
      <c r="D1632" s="1" t="str">
        <f>TEXT(FMData[[#This Row],[Show_Date]],"mmm")</f>
        <v>Sep</v>
      </c>
      <c r="E1632" s="1" t="str">
        <f>TEXT(FMData[[#This Row],[Show_Date]],"ddd")</f>
        <v>Thu</v>
      </c>
      <c r="F1632" t="s">
        <v>20</v>
      </c>
      <c r="G1632" t="s">
        <v>17</v>
      </c>
      <c r="H1632">
        <v>5</v>
      </c>
      <c r="I1632">
        <v>12</v>
      </c>
      <c r="J1632" t="s">
        <v>13</v>
      </c>
      <c r="K1632" t="s">
        <v>27</v>
      </c>
      <c r="L1632">
        <v>60</v>
      </c>
    </row>
    <row r="1633" spans="1:12" x14ac:dyDescent="0.3">
      <c r="A1633">
        <v>1609</v>
      </c>
      <c r="B1633" t="s">
        <v>10</v>
      </c>
      <c r="C1633" s="1">
        <v>45844</v>
      </c>
      <c r="D1633" s="1" t="str">
        <f>TEXT(FMData[[#This Row],[Show_Date]],"mmm")</f>
        <v>Jul</v>
      </c>
      <c r="E1633" s="1" t="str">
        <f>TEXT(FMData[[#This Row],[Show_Date]],"ddd")</f>
        <v>Sun</v>
      </c>
      <c r="F1633" t="s">
        <v>11</v>
      </c>
      <c r="G1633" t="s">
        <v>29</v>
      </c>
      <c r="H1633">
        <v>4</v>
      </c>
      <c r="I1633">
        <v>30</v>
      </c>
      <c r="J1633" t="s">
        <v>13</v>
      </c>
      <c r="K1633" t="s">
        <v>14</v>
      </c>
      <c r="L1633">
        <v>120</v>
      </c>
    </row>
    <row r="1634" spans="1:12" x14ac:dyDescent="0.3">
      <c r="A1634">
        <v>167</v>
      </c>
      <c r="B1634" t="s">
        <v>19</v>
      </c>
      <c r="C1634" s="1">
        <v>45885</v>
      </c>
      <c r="D1634" s="1" t="str">
        <f>TEXT(FMData[[#This Row],[Show_Date]],"mmm")</f>
        <v>Aug</v>
      </c>
      <c r="E1634" s="1" t="str">
        <f>TEXT(FMData[[#This Row],[Show_Date]],"ddd")</f>
        <v>Sat</v>
      </c>
      <c r="F1634" t="s">
        <v>16</v>
      </c>
      <c r="G1634" t="s">
        <v>12</v>
      </c>
      <c r="H1634">
        <v>2</v>
      </c>
      <c r="I1634">
        <v>25</v>
      </c>
      <c r="J1634" t="s">
        <v>21</v>
      </c>
      <c r="K1634" t="s">
        <v>18</v>
      </c>
      <c r="L1634">
        <v>50</v>
      </c>
    </row>
    <row r="1635" spans="1:12" x14ac:dyDescent="0.3">
      <c r="A1635">
        <v>66</v>
      </c>
      <c r="B1635" t="s">
        <v>26</v>
      </c>
      <c r="C1635" s="1">
        <v>45893</v>
      </c>
      <c r="D1635" s="1" t="str">
        <f>TEXT(FMData[[#This Row],[Show_Date]],"mmm")</f>
        <v>Aug</v>
      </c>
      <c r="E1635" s="1" t="str">
        <f>TEXT(FMData[[#This Row],[Show_Date]],"ddd")</f>
        <v>Sun</v>
      </c>
      <c r="F1635" t="s">
        <v>16</v>
      </c>
      <c r="G1635" t="s">
        <v>30</v>
      </c>
      <c r="H1635">
        <v>1</v>
      </c>
      <c r="I1635">
        <v>8</v>
      </c>
      <c r="J1635" t="s">
        <v>23</v>
      </c>
      <c r="K1635" t="s">
        <v>18</v>
      </c>
      <c r="L1635">
        <v>8</v>
      </c>
    </row>
    <row r="1636" spans="1:12" x14ac:dyDescent="0.3">
      <c r="A1636">
        <v>19</v>
      </c>
      <c r="B1636" t="s">
        <v>19</v>
      </c>
      <c r="C1636" s="1">
        <v>45899</v>
      </c>
      <c r="D1636" s="1" t="str">
        <f>TEXT(FMData[[#This Row],[Show_Date]],"mmm")</f>
        <v>Aug</v>
      </c>
      <c r="E1636" s="1" t="str">
        <f>TEXT(FMData[[#This Row],[Show_Date]],"ddd")</f>
        <v>Sat</v>
      </c>
      <c r="F1636" t="s">
        <v>33</v>
      </c>
      <c r="G1636" t="s">
        <v>17</v>
      </c>
      <c r="H1636">
        <v>5</v>
      </c>
      <c r="I1636">
        <v>12</v>
      </c>
      <c r="J1636" t="s">
        <v>23</v>
      </c>
      <c r="K1636" t="s">
        <v>18</v>
      </c>
      <c r="L1636">
        <v>60</v>
      </c>
    </row>
    <row r="1637" spans="1:12" x14ac:dyDescent="0.3">
      <c r="A1637">
        <v>1654</v>
      </c>
      <c r="B1637" t="s">
        <v>28</v>
      </c>
      <c r="C1637" s="1">
        <v>45914</v>
      </c>
      <c r="D1637" s="1" t="str">
        <f>TEXT(FMData[[#This Row],[Show_Date]],"mmm")</f>
        <v>Sep</v>
      </c>
      <c r="E1637" s="1" t="str">
        <f>TEXT(FMData[[#This Row],[Show_Date]],"ddd")</f>
        <v>Sun</v>
      </c>
      <c r="F1637" t="s">
        <v>11</v>
      </c>
      <c r="G1637" t="s">
        <v>17</v>
      </c>
      <c r="H1637">
        <v>3</v>
      </c>
      <c r="I1637">
        <v>12</v>
      </c>
      <c r="J1637" t="s">
        <v>13</v>
      </c>
      <c r="K1637" t="s">
        <v>27</v>
      </c>
      <c r="L1637">
        <v>36</v>
      </c>
    </row>
    <row r="1638" spans="1:12" x14ac:dyDescent="0.3">
      <c r="A1638">
        <v>278</v>
      </c>
      <c r="B1638" t="s">
        <v>10</v>
      </c>
      <c r="C1638" s="1">
        <v>45849</v>
      </c>
      <c r="D1638" s="1" t="str">
        <f>TEXT(FMData[[#This Row],[Show_Date]],"mmm")</f>
        <v>Jul</v>
      </c>
      <c r="E1638" s="1" t="str">
        <f>TEXT(FMData[[#This Row],[Show_Date]],"ddd")</f>
        <v>Fri</v>
      </c>
      <c r="F1638" t="s">
        <v>20</v>
      </c>
      <c r="G1638" t="s">
        <v>12</v>
      </c>
      <c r="H1638">
        <v>3</v>
      </c>
      <c r="I1638">
        <v>25</v>
      </c>
      <c r="J1638" t="s">
        <v>13</v>
      </c>
      <c r="K1638" t="s">
        <v>18</v>
      </c>
      <c r="L1638">
        <v>75</v>
      </c>
    </row>
    <row r="1639" spans="1:12" x14ac:dyDescent="0.3">
      <c r="A1639">
        <v>465</v>
      </c>
      <c r="B1639" t="s">
        <v>31</v>
      </c>
      <c r="C1639" s="1">
        <v>45864</v>
      </c>
      <c r="D1639" s="1" t="str">
        <f>TEXT(FMData[[#This Row],[Show_Date]],"mmm")</f>
        <v>Jul</v>
      </c>
      <c r="E1639" s="1" t="str">
        <f>TEXT(FMData[[#This Row],[Show_Date]],"ddd")</f>
        <v>Sat</v>
      </c>
      <c r="F1639" t="s">
        <v>33</v>
      </c>
      <c r="G1639" t="s">
        <v>12</v>
      </c>
      <c r="H1639">
        <v>2</v>
      </c>
      <c r="I1639">
        <v>25</v>
      </c>
      <c r="J1639" t="s">
        <v>13</v>
      </c>
      <c r="K1639" t="s">
        <v>25</v>
      </c>
      <c r="L1639">
        <v>50</v>
      </c>
    </row>
    <row r="1640" spans="1:12" x14ac:dyDescent="0.3">
      <c r="A1640">
        <v>1957</v>
      </c>
      <c r="B1640" t="s">
        <v>10</v>
      </c>
      <c r="C1640" s="1">
        <v>45844</v>
      </c>
      <c r="D1640" s="1" t="str">
        <f>TEXT(FMData[[#This Row],[Show_Date]],"mmm")</f>
        <v>Jul</v>
      </c>
      <c r="E1640" s="1" t="str">
        <f>TEXT(FMData[[#This Row],[Show_Date]],"ddd")</f>
        <v>Sun</v>
      </c>
      <c r="F1640" t="s">
        <v>11</v>
      </c>
      <c r="G1640" t="s">
        <v>29</v>
      </c>
      <c r="H1640">
        <v>2</v>
      </c>
      <c r="I1640">
        <v>30</v>
      </c>
      <c r="J1640" t="s">
        <v>21</v>
      </c>
      <c r="K1640" t="s">
        <v>25</v>
      </c>
      <c r="L1640">
        <v>60</v>
      </c>
    </row>
    <row r="1641" spans="1:12" x14ac:dyDescent="0.3">
      <c r="A1641">
        <v>427</v>
      </c>
      <c r="B1641" t="s">
        <v>24</v>
      </c>
      <c r="C1641" s="1">
        <v>45851</v>
      </c>
      <c r="D1641" s="1" t="str">
        <f>TEXT(FMData[[#This Row],[Show_Date]],"mmm")</f>
        <v>Jul</v>
      </c>
      <c r="E1641" s="1" t="str">
        <f>TEXT(FMData[[#This Row],[Show_Date]],"ddd")</f>
        <v>Sun</v>
      </c>
      <c r="F1641" t="s">
        <v>11</v>
      </c>
      <c r="G1641" t="s">
        <v>17</v>
      </c>
      <c r="H1641">
        <v>2</v>
      </c>
      <c r="I1641">
        <v>12</v>
      </c>
      <c r="J1641" t="s">
        <v>13</v>
      </c>
      <c r="K1641" t="s">
        <v>14</v>
      </c>
      <c r="L1641">
        <v>24</v>
      </c>
    </row>
    <row r="1642" spans="1:12" x14ac:dyDescent="0.3">
      <c r="A1642">
        <v>950</v>
      </c>
      <c r="B1642" t="s">
        <v>15</v>
      </c>
      <c r="C1642" s="1">
        <v>45923</v>
      </c>
      <c r="D1642" s="1" t="str">
        <f>TEXT(FMData[[#This Row],[Show_Date]],"mmm")</f>
        <v>Sep</v>
      </c>
      <c r="E1642" s="1" t="str">
        <f>TEXT(FMData[[#This Row],[Show_Date]],"ddd")</f>
        <v>Tue</v>
      </c>
      <c r="F1642" t="s">
        <v>16</v>
      </c>
      <c r="G1642" t="s">
        <v>29</v>
      </c>
      <c r="H1642">
        <v>1</v>
      </c>
      <c r="I1642">
        <v>30</v>
      </c>
      <c r="J1642" t="s">
        <v>13</v>
      </c>
      <c r="K1642" t="s">
        <v>14</v>
      </c>
      <c r="L1642">
        <v>30</v>
      </c>
    </row>
    <row r="1643" spans="1:12" x14ac:dyDescent="0.3">
      <c r="A1643">
        <v>1707</v>
      </c>
      <c r="B1643" t="s">
        <v>32</v>
      </c>
      <c r="C1643" s="1">
        <v>45882</v>
      </c>
      <c r="D1643" s="1" t="str">
        <f>TEXT(FMData[[#This Row],[Show_Date]],"mmm")</f>
        <v>Aug</v>
      </c>
      <c r="E1643" s="1" t="str">
        <f>TEXT(FMData[[#This Row],[Show_Date]],"ddd")</f>
        <v>Wed</v>
      </c>
      <c r="F1643" t="s">
        <v>33</v>
      </c>
      <c r="G1643" t="s">
        <v>30</v>
      </c>
      <c r="H1643">
        <v>1</v>
      </c>
      <c r="I1643">
        <v>8</v>
      </c>
      <c r="J1643" t="s">
        <v>21</v>
      </c>
      <c r="K1643" t="s">
        <v>18</v>
      </c>
      <c r="L1643">
        <v>8</v>
      </c>
    </row>
    <row r="1644" spans="1:12" x14ac:dyDescent="0.3">
      <c r="A1644">
        <v>1686</v>
      </c>
      <c r="B1644" t="s">
        <v>24</v>
      </c>
      <c r="C1644" s="1">
        <v>45929</v>
      </c>
      <c r="D1644" s="1" t="str">
        <f>TEXT(FMData[[#This Row],[Show_Date]],"mmm")</f>
        <v>Sep</v>
      </c>
      <c r="E1644" s="1" t="str">
        <f>TEXT(FMData[[#This Row],[Show_Date]],"ddd")</f>
        <v>Mon</v>
      </c>
      <c r="F1644" t="s">
        <v>20</v>
      </c>
      <c r="G1644" t="s">
        <v>12</v>
      </c>
      <c r="H1644">
        <v>4</v>
      </c>
      <c r="I1644">
        <v>25</v>
      </c>
      <c r="J1644" t="s">
        <v>13</v>
      </c>
      <c r="K1644" t="s">
        <v>18</v>
      </c>
      <c r="L1644">
        <v>100</v>
      </c>
    </row>
    <row r="1645" spans="1:12" x14ac:dyDescent="0.3">
      <c r="A1645">
        <v>1550</v>
      </c>
      <c r="B1645" t="s">
        <v>19</v>
      </c>
      <c r="C1645" s="1">
        <v>45889</v>
      </c>
      <c r="D1645" s="1" t="str">
        <f>TEXT(FMData[[#This Row],[Show_Date]],"mmm")</f>
        <v>Aug</v>
      </c>
      <c r="E1645" s="1" t="str">
        <f>TEXT(FMData[[#This Row],[Show_Date]],"ddd")</f>
        <v>Wed</v>
      </c>
      <c r="F1645" t="s">
        <v>16</v>
      </c>
      <c r="G1645" t="s">
        <v>12</v>
      </c>
      <c r="H1645">
        <v>3</v>
      </c>
      <c r="I1645">
        <v>25</v>
      </c>
      <c r="J1645" t="s">
        <v>23</v>
      </c>
      <c r="K1645" t="s">
        <v>25</v>
      </c>
      <c r="L1645">
        <v>75</v>
      </c>
    </row>
    <row r="1646" spans="1:12" x14ac:dyDescent="0.3">
      <c r="A1646">
        <v>818</v>
      </c>
      <c r="B1646" t="s">
        <v>32</v>
      </c>
      <c r="C1646" s="1">
        <v>45921</v>
      </c>
      <c r="D1646" s="1" t="str">
        <f>TEXT(FMData[[#This Row],[Show_Date]],"mmm")</f>
        <v>Sep</v>
      </c>
      <c r="E1646" s="1" t="str">
        <f>TEXT(FMData[[#This Row],[Show_Date]],"ddd")</f>
        <v>Sun</v>
      </c>
      <c r="F1646" t="s">
        <v>11</v>
      </c>
      <c r="G1646" t="s">
        <v>17</v>
      </c>
      <c r="H1646">
        <v>1</v>
      </c>
      <c r="I1646">
        <v>12</v>
      </c>
      <c r="J1646" t="s">
        <v>13</v>
      </c>
      <c r="K1646" t="s">
        <v>18</v>
      </c>
      <c r="L1646">
        <v>12</v>
      </c>
    </row>
    <row r="1647" spans="1:12" x14ac:dyDescent="0.3">
      <c r="A1647">
        <v>1269</v>
      </c>
      <c r="B1647" t="s">
        <v>15</v>
      </c>
      <c r="C1647" s="1">
        <v>45866</v>
      </c>
      <c r="D1647" s="1" t="str">
        <f>TEXT(FMData[[#This Row],[Show_Date]],"mmm")</f>
        <v>Jul</v>
      </c>
      <c r="E1647" s="1" t="str">
        <f>TEXT(FMData[[#This Row],[Show_Date]],"ddd")</f>
        <v>Mon</v>
      </c>
      <c r="F1647" t="s">
        <v>16</v>
      </c>
      <c r="G1647" t="s">
        <v>12</v>
      </c>
      <c r="H1647">
        <v>2</v>
      </c>
      <c r="I1647">
        <v>25</v>
      </c>
      <c r="J1647" t="s">
        <v>21</v>
      </c>
      <c r="K1647" t="s">
        <v>14</v>
      </c>
      <c r="L1647">
        <v>50</v>
      </c>
    </row>
    <row r="1648" spans="1:12" x14ac:dyDescent="0.3">
      <c r="A1648">
        <v>858</v>
      </c>
      <c r="B1648" t="s">
        <v>32</v>
      </c>
      <c r="C1648" s="1">
        <v>45853</v>
      </c>
      <c r="D1648" s="1" t="str">
        <f>TEXT(FMData[[#This Row],[Show_Date]],"mmm")</f>
        <v>Jul</v>
      </c>
      <c r="E1648" s="1" t="str">
        <f>TEXT(FMData[[#This Row],[Show_Date]],"ddd")</f>
        <v>Tue</v>
      </c>
      <c r="F1648" t="s">
        <v>33</v>
      </c>
      <c r="G1648" t="s">
        <v>17</v>
      </c>
      <c r="H1648">
        <v>1</v>
      </c>
      <c r="I1648">
        <v>12</v>
      </c>
      <c r="J1648" t="s">
        <v>21</v>
      </c>
      <c r="K1648" t="s">
        <v>18</v>
      </c>
      <c r="L1648">
        <v>12</v>
      </c>
    </row>
    <row r="1649" spans="1:12" x14ac:dyDescent="0.3">
      <c r="A1649">
        <v>834</v>
      </c>
      <c r="B1649" t="s">
        <v>31</v>
      </c>
      <c r="C1649" s="1">
        <v>45849</v>
      </c>
      <c r="D1649" s="1" t="str">
        <f>TEXT(FMData[[#This Row],[Show_Date]],"mmm")</f>
        <v>Jul</v>
      </c>
      <c r="E1649" s="1" t="str">
        <f>TEXT(FMData[[#This Row],[Show_Date]],"ddd")</f>
        <v>Fri</v>
      </c>
      <c r="F1649" t="s">
        <v>33</v>
      </c>
      <c r="G1649" t="s">
        <v>17</v>
      </c>
      <c r="H1649">
        <v>5</v>
      </c>
      <c r="I1649">
        <v>12</v>
      </c>
      <c r="J1649" t="s">
        <v>21</v>
      </c>
      <c r="K1649" t="s">
        <v>14</v>
      </c>
      <c r="L1649">
        <v>60</v>
      </c>
    </row>
    <row r="1650" spans="1:12" x14ac:dyDescent="0.3">
      <c r="A1650">
        <v>228</v>
      </c>
      <c r="B1650" t="s">
        <v>10</v>
      </c>
      <c r="C1650" s="1">
        <v>45929</v>
      </c>
      <c r="D1650" s="1" t="str">
        <f>TEXT(FMData[[#This Row],[Show_Date]],"mmm")</f>
        <v>Sep</v>
      </c>
      <c r="E1650" s="1" t="str">
        <f>TEXT(FMData[[#This Row],[Show_Date]],"ddd")</f>
        <v>Mon</v>
      </c>
      <c r="F1650" t="s">
        <v>33</v>
      </c>
      <c r="G1650" t="s">
        <v>12</v>
      </c>
      <c r="H1650">
        <v>4</v>
      </c>
      <c r="I1650">
        <v>25</v>
      </c>
      <c r="J1650" t="s">
        <v>23</v>
      </c>
      <c r="K1650" t="s">
        <v>27</v>
      </c>
      <c r="L1650">
        <v>100</v>
      </c>
    </row>
    <row r="1651" spans="1:12" x14ac:dyDescent="0.3">
      <c r="A1651">
        <v>1018</v>
      </c>
      <c r="B1651" t="s">
        <v>32</v>
      </c>
      <c r="C1651" s="1">
        <v>45916</v>
      </c>
      <c r="D1651" s="1" t="str">
        <f>TEXT(FMData[[#This Row],[Show_Date]],"mmm")</f>
        <v>Sep</v>
      </c>
      <c r="E1651" s="1" t="str">
        <f>TEXT(FMData[[#This Row],[Show_Date]],"ddd")</f>
        <v>Tue</v>
      </c>
      <c r="F1651" t="s">
        <v>11</v>
      </c>
      <c r="G1651" t="s">
        <v>17</v>
      </c>
      <c r="H1651">
        <v>4</v>
      </c>
      <c r="I1651">
        <v>12</v>
      </c>
      <c r="J1651" t="s">
        <v>13</v>
      </c>
      <c r="K1651" t="s">
        <v>14</v>
      </c>
      <c r="L1651">
        <v>48</v>
      </c>
    </row>
    <row r="1652" spans="1:12" x14ac:dyDescent="0.3">
      <c r="A1652">
        <v>313</v>
      </c>
      <c r="B1652" t="s">
        <v>31</v>
      </c>
      <c r="C1652" s="1">
        <v>45891</v>
      </c>
      <c r="D1652" s="1" t="str">
        <f>TEXT(FMData[[#This Row],[Show_Date]],"mmm")</f>
        <v>Aug</v>
      </c>
      <c r="E1652" s="1" t="str">
        <f>TEXT(FMData[[#This Row],[Show_Date]],"ddd")</f>
        <v>Fri</v>
      </c>
      <c r="F1652" t="s">
        <v>11</v>
      </c>
      <c r="G1652" t="s">
        <v>17</v>
      </c>
      <c r="H1652">
        <v>5</v>
      </c>
      <c r="I1652">
        <v>12</v>
      </c>
      <c r="J1652" t="s">
        <v>21</v>
      </c>
      <c r="K1652" t="s">
        <v>25</v>
      </c>
      <c r="L1652">
        <v>60</v>
      </c>
    </row>
    <row r="1653" spans="1:12" x14ac:dyDescent="0.3">
      <c r="A1653">
        <v>1998</v>
      </c>
      <c r="B1653" t="s">
        <v>24</v>
      </c>
      <c r="C1653" s="1">
        <v>45854</v>
      </c>
      <c r="D1653" s="1" t="str">
        <f>TEXT(FMData[[#This Row],[Show_Date]],"mmm")</f>
        <v>Jul</v>
      </c>
      <c r="E1653" s="1" t="str">
        <f>TEXT(FMData[[#This Row],[Show_Date]],"ddd")</f>
        <v>Wed</v>
      </c>
      <c r="F1653" t="s">
        <v>20</v>
      </c>
      <c r="G1653" t="s">
        <v>17</v>
      </c>
      <c r="H1653">
        <v>2</v>
      </c>
      <c r="I1653">
        <v>12</v>
      </c>
      <c r="J1653" t="s">
        <v>13</v>
      </c>
      <c r="K1653" t="s">
        <v>27</v>
      </c>
      <c r="L1653">
        <v>24</v>
      </c>
    </row>
    <row r="1654" spans="1:12" x14ac:dyDescent="0.3">
      <c r="A1654">
        <v>455</v>
      </c>
      <c r="B1654" t="s">
        <v>15</v>
      </c>
      <c r="C1654" s="1">
        <v>45908</v>
      </c>
      <c r="D1654" s="1" t="str">
        <f>TEXT(FMData[[#This Row],[Show_Date]],"mmm")</f>
        <v>Sep</v>
      </c>
      <c r="E1654" s="1" t="str">
        <f>TEXT(FMData[[#This Row],[Show_Date]],"ddd")</f>
        <v>Mon</v>
      </c>
      <c r="F1654" t="s">
        <v>33</v>
      </c>
      <c r="G1654" t="s">
        <v>12</v>
      </c>
      <c r="H1654">
        <v>3</v>
      </c>
      <c r="I1654">
        <v>25</v>
      </c>
      <c r="J1654" t="s">
        <v>23</v>
      </c>
      <c r="K1654" t="s">
        <v>18</v>
      </c>
      <c r="L1654">
        <v>75</v>
      </c>
    </row>
    <row r="1655" spans="1:12" x14ac:dyDescent="0.3">
      <c r="A1655">
        <v>1887</v>
      </c>
      <c r="B1655" t="s">
        <v>26</v>
      </c>
      <c r="C1655" s="1">
        <v>45846</v>
      </c>
      <c r="D1655" s="1" t="str">
        <f>TEXT(FMData[[#This Row],[Show_Date]],"mmm")</f>
        <v>Jul</v>
      </c>
      <c r="E1655" s="1" t="str">
        <f>TEXT(FMData[[#This Row],[Show_Date]],"ddd")</f>
        <v>Tue</v>
      </c>
      <c r="F1655" t="s">
        <v>20</v>
      </c>
      <c r="G1655" t="s">
        <v>29</v>
      </c>
      <c r="H1655">
        <v>2</v>
      </c>
      <c r="I1655">
        <v>30</v>
      </c>
      <c r="J1655" t="s">
        <v>23</v>
      </c>
      <c r="K1655" t="s">
        <v>14</v>
      </c>
      <c r="L1655">
        <v>60</v>
      </c>
    </row>
    <row r="1656" spans="1:12" x14ac:dyDescent="0.3">
      <c r="A1656">
        <v>747</v>
      </c>
      <c r="B1656" t="s">
        <v>32</v>
      </c>
      <c r="C1656" s="1">
        <v>45924</v>
      </c>
      <c r="D1656" s="1" t="str">
        <f>TEXT(FMData[[#This Row],[Show_Date]],"mmm")</f>
        <v>Sep</v>
      </c>
      <c r="E1656" s="1" t="str">
        <f>TEXT(FMData[[#This Row],[Show_Date]],"ddd")</f>
        <v>Wed</v>
      </c>
      <c r="F1656" t="s">
        <v>33</v>
      </c>
      <c r="G1656" t="s">
        <v>12</v>
      </c>
      <c r="H1656">
        <v>2</v>
      </c>
      <c r="I1656">
        <v>25</v>
      </c>
      <c r="J1656" t="s">
        <v>13</v>
      </c>
      <c r="K1656" t="s">
        <v>14</v>
      </c>
      <c r="L1656">
        <v>50</v>
      </c>
    </row>
    <row r="1657" spans="1:12" x14ac:dyDescent="0.3">
      <c r="A1657">
        <v>1608</v>
      </c>
      <c r="B1657" t="s">
        <v>24</v>
      </c>
      <c r="C1657" s="1">
        <v>45899</v>
      </c>
      <c r="D1657" s="1" t="str">
        <f>TEXT(FMData[[#This Row],[Show_Date]],"mmm")</f>
        <v>Aug</v>
      </c>
      <c r="E1657" s="1" t="str">
        <f>TEXT(FMData[[#This Row],[Show_Date]],"ddd")</f>
        <v>Sat</v>
      </c>
      <c r="F1657" t="s">
        <v>16</v>
      </c>
      <c r="G1657" t="s">
        <v>17</v>
      </c>
      <c r="H1657">
        <v>3</v>
      </c>
      <c r="I1657">
        <v>12</v>
      </c>
      <c r="J1657" t="s">
        <v>13</v>
      </c>
      <c r="K1657" t="s">
        <v>25</v>
      </c>
      <c r="L1657">
        <v>36</v>
      </c>
    </row>
    <row r="1658" spans="1:12" x14ac:dyDescent="0.3">
      <c r="A1658">
        <v>1369</v>
      </c>
      <c r="B1658" t="s">
        <v>24</v>
      </c>
      <c r="C1658" s="1">
        <v>45846</v>
      </c>
      <c r="D1658" s="1" t="str">
        <f>TEXT(FMData[[#This Row],[Show_Date]],"mmm")</f>
        <v>Jul</v>
      </c>
      <c r="E1658" s="1" t="str">
        <f>TEXT(FMData[[#This Row],[Show_Date]],"ddd")</f>
        <v>Tue</v>
      </c>
      <c r="F1658" t="s">
        <v>33</v>
      </c>
      <c r="G1658" t="s">
        <v>17</v>
      </c>
      <c r="H1658">
        <v>5</v>
      </c>
      <c r="I1658">
        <v>12</v>
      </c>
      <c r="J1658" t="s">
        <v>13</v>
      </c>
      <c r="K1658" t="s">
        <v>27</v>
      </c>
      <c r="L1658">
        <v>60</v>
      </c>
    </row>
    <row r="1659" spans="1:12" x14ac:dyDescent="0.3">
      <c r="A1659">
        <v>1422</v>
      </c>
      <c r="B1659" t="s">
        <v>24</v>
      </c>
      <c r="C1659" s="1">
        <v>45882</v>
      </c>
      <c r="D1659" s="1" t="str">
        <f>TEXT(FMData[[#This Row],[Show_Date]],"mmm")</f>
        <v>Aug</v>
      </c>
      <c r="E1659" s="1" t="str">
        <f>TEXT(FMData[[#This Row],[Show_Date]],"ddd")</f>
        <v>Wed</v>
      </c>
      <c r="F1659" t="s">
        <v>11</v>
      </c>
      <c r="G1659" t="s">
        <v>12</v>
      </c>
      <c r="H1659">
        <v>5</v>
      </c>
      <c r="I1659">
        <v>25</v>
      </c>
      <c r="J1659" t="s">
        <v>13</v>
      </c>
      <c r="K1659" t="s">
        <v>27</v>
      </c>
      <c r="L1659">
        <v>125</v>
      </c>
    </row>
    <row r="1660" spans="1:12" x14ac:dyDescent="0.3">
      <c r="A1660">
        <v>332</v>
      </c>
      <c r="B1660" t="s">
        <v>24</v>
      </c>
      <c r="C1660" s="1">
        <v>45843</v>
      </c>
      <c r="D1660" s="1" t="str">
        <f>TEXT(FMData[[#This Row],[Show_Date]],"mmm")</f>
        <v>Jul</v>
      </c>
      <c r="E1660" s="1" t="str">
        <f>TEXT(FMData[[#This Row],[Show_Date]],"ddd")</f>
        <v>Sat</v>
      </c>
      <c r="F1660" t="s">
        <v>20</v>
      </c>
      <c r="G1660" t="s">
        <v>17</v>
      </c>
      <c r="H1660">
        <v>3</v>
      </c>
      <c r="I1660">
        <v>12</v>
      </c>
      <c r="J1660" t="s">
        <v>21</v>
      </c>
      <c r="K1660" t="s">
        <v>27</v>
      </c>
      <c r="L1660">
        <v>36</v>
      </c>
    </row>
    <row r="1661" spans="1:12" x14ac:dyDescent="0.3">
      <c r="A1661">
        <v>986</v>
      </c>
      <c r="B1661" t="s">
        <v>26</v>
      </c>
      <c r="C1661" s="1">
        <v>45916</v>
      </c>
      <c r="D1661" s="1" t="str">
        <f>TEXT(FMData[[#This Row],[Show_Date]],"mmm")</f>
        <v>Sep</v>
      </c>
      <c r="E1661" s="1" t="str">
        <f>TEXT(FMData[[#This Row],[Show_Date]],"ddd")</f>
        <v>Tue</v>
      </c>
      <c r="F1661" t="s">
        <v>20</v>
      </c>
      <c r="G1661" t="s">
        <v>29</v>
      </c>
      <c r="H1661">
        <v>1</v>
      </c>
      <c r="I1661">
        <v>30</v>
      </c>
      <c r="J1661" t="s">
        <v>13</v>
      </c>
      <c r="K1661" t="s">
        <v>18</v>
      </c>
      <c r="L1661">
        <v>30</v>
      </c>
    </row>
    <row r="1662" spans="1:12" x14ac:dyDescent="0.3">
      <c r="A1662">
        <v>820</v>
      </c>
      <c r="B1662" t="s">
        <v>24</v>
      </c>
      <c r="C1662" s="1">
        <v>45898</v>
      </c>
      <c r="D1662" s="1" t="str">
        <f>TEXT(FMData[[#This Row],[Show_Date]],"mmm")</f>
        <v>Aug</v>
      </c>
      <c r="E1662" s="1" t="str">
        <f>TEXT(FMData[[#This Row],[Show_Date]],"ddd")</f>
        <v>Fri</v>
      </c>
      <c r="F1662" t="s">
        <v>20</v>
      </c>
      <c r="G1662" t="s">
        <v>17</v>
      </c>
      <c r="H1662">
        <v>4</v>
      </c>
      <c r="I1662">
        <v>12</v>
      </c>
      <c r="J1662" t="s">
        <v>13</v>
      </c>
      <c r="K1662" t="s">
        <v>14</v>
      </c>
      <c r="L1662">
        <v>48</v>
      </c>
    </row>
    <row r="1663" spans="1:12" x14ac:dyDescent="0.3">
      <c r="A1663">
        <v>1763</v>
      </c>
      <c r="B1663" t="s">
        <v>32</v>
      </c>
      <c r="C1663" s="1">
        <v>45849</v>
      </c>
      <c r="D1663" s="1" t="str">
        <f>TEXT(FMData[[#This Row],[Show_Date]],"mmm")</f>
        <v>Jul</v>
      </c>
      <c r="E1663" s="1" t="str">
        <f>TEXT(FMData[[#This Row],[Show_Date]],"ddd")</f>
        <v>Fri</v>
      </c>
      <c r="F1663" t="s">
        <v>11</v>
      </c>
      <c r="G1663" t="s">
        <v>12</v>
      </c>
      <c r="H1663">
        <v>4</v>
      </c>
      <c r="I1663">
        <v>25</v>
      </c>
      <c r="J1663" t="s">
        <v>13</v>
      </c>
      <c r="K1663" t="s">
        <v>18</v>
      </c>
      <c r="L1663">
        <v>100</v>
      </c>
    </row>
    <row r="1664" spans="1:12" x14ac:dyDescent="0.3">
      <c r="A1664">
        <v>254</v>
      </c>
      <c r="B1664" t="s">
        <v>15</v>
      </c>
      <c r="C1664" s="1">
        <v>45844</v>
      </c>
      <c r="D1664" s="1" t="str">
        <f>TEXT(FMData[[#This Row],[Show_Date]],"mmm")</f>
        <v>Jul</v>
      </c>
      <c r="E1664" s="1" t="str">
        <f>TEXT(FMData[[#This Row],[Show_Date]],"ddd")</f>
        <v>Sun</v>
      </c>
      <c r="F1664" t="s">
        <v>20</v>
      </c>
      <c r="G1664" t="s">
        <v>22</v>
      </c>
      <c r="H1664">
        <v>4</v>
      </c>
      <c r="I1664">
        <v>20</v>
      </c>
      <c r="J1664" t="s">
        <v>13</v>
      </c>
      <c r="K1664" t="s">
        <v>27</v>
      </c>
      <c r="L1664">
        <v>80</v>
      </c>
    </row>
    <row r="1665" spans="1:12" x14ac:dyDescent="0.3">
      <c r="A1665">
        <v>1698</v>
      </c>
      <c r="B1665" t="s">
        <v>28</v>
      </c>
      <c r="C1665" s="1">
        <v>45894</v>
      </c>
      <c r="D1665" s="1" t="str">
        <f>TEXT(FMData[[#This Row],[Show_Date]],"mmm")</f>
        <v>Aug</v>
      </c>
      <c r="E1665" s="1" t="str">
        <f>TEXT(FMData[[#This Row],[Show_Date]],"ddd")</f>
        <v>Mon</v>
      </c>
      <c r="F1665" t="s">
        <v>33</v>
      </c>
      <c r="G1665" t="s">
        <v>30</v>
      </c>
      <c r="H1665">
        <v>1</v>
      </c>
      <c r="I1665">
        <v>8</v>
      </c>
      <c r="J1665" t="s">
        <v>23</v>
      </c>
      <c r="K1665" t="s">
        <v>14</v>
      </c>
      <c r="L1665">
        <v>8</v>
      </c>
    </row>
    <row r="1666" spans="1:12" x14ac:dyDescent="0.3">
      <c r="A1666">
        <v>1678</v>
      </c>
      <c r="B1666" t="s">
        <v>32</v>
      </c>
      <c r="C1666" s="1">
        <v>45879</v>
      </c>
      <c r="D1666" s="1" t="str">
        <f>TEXT(FMData[[#This Row],[Show_Date]],"mmm")</f>
        <v>Aug</v>
      </c>
      <c r="E1666" s="1" t="str">
        <f>TEXT(FMData[[#This Row],[Show_Date]],"ddd")</f>
        <v>Sun</v>
      </c>
      <c r="F1666" t="s">
        <v>20</v>
      </c>
      <c r="G1666" t="s">
        <v>17</v>
      </c>
      <c r="H1666">
        <v>1</v>
      </c>
      <c r="I1666">
        <v>12</v>
      </c>
      <c r="J1666" t="s">
        <v>23</v>
      </c>
      <c r="K1666" t="s">
        <v>27</v>
      </c>
      <c r="L1666">
        <v>12</v>
      </c>
    </row>
    <row r="1667" spans="1:12" x14ac:dyDescent="0.3">
      <c r="A1667">
        <v>771</v>
      </c>
      <c r="B1667" t="s">
        <v>15</v>
      </c>
      <c r="C1667" s="1">
        <v>45858</v>
      </c>
      <c r="D1667" s="1" t="str">
        <f>TEXT(FMData[[#This Row],[Show_Date]],"mmm")</f>
        <v>Jul</v>
      </c>
      <c r="E1667" s="1" t="str">
        <f>TEXT(FMData[[#This Row],[Show_Date]],"ddd")</f>
        <v>Sun</v>
      </c>
      <c r="F1667" t="s">
        <v>11</v>
      </c>
      <c r="G1667" t="s">
        <v>17</v>
      </c>
      <c r="H1667">
        <v>4</v>
      </c>
      <c r="I1667">
        <v>12</v>
      </c>
      <c r="J1667" t="s">
        <v>23</v>
      </c>
      <c r="K1667" t="s">
        <v>27</v>
      </c>
      <c r="L1667">
        <v>48</v>
      </c>
    </row>
    <row r="1668" spans="1:12" x14ac:dyDescent="0.3">
      <c r="A1668">
        <v>989</v>
      </c>
      <c r="B1668" t="s">
        <v>26</v>
      </c>
      <c r="C1668" s="1">
        <v>45901</v>
      </c>
      <c r="D1668" s="1" t="str">
        <f>TEXT(FMData[[#This Row],[Show_Date]],"mmm")</f>
        <v>Sep</v>
      </c>
      <c r="E1668" s="1" t="str">
        <f>TEXT(FMData[[#This Row],[Show_Date]],"ddd")</f>
        <v>Mon</v>
      </c>
      <c r="F1668" t="s">
        <v>11</v>
      </c>
      <c r="G1668" t="s">
        <v>30</v>
      </c>
      <c r="H1668">
        <v>1</v>
      </c>
      <c r="I1668">
        <v>8</v>
      </c>
      <c r="J1668" t="s">
        <v>13</v>
      </c>
      <c r="K1668" t="s">
        <v>14</v>
      </c>
      <c r="L1668">
        <v>8</v>
      </c>
    </row>
    <row r="1669" spans="1:12" x14ac:dyDescent="0.3">
      <c r="A1669">
        <v>344</v>
      </c>
      <c r="B1669" t="s">
        <v>26</v>
      </c>
      <c r="C1669" s="1">
        <v>45877</v>
      </c>
      <c r="D1669" s="1" t="str">
        <f>TEXT(FMData[[#This Row],[Show_Date]],"mmm")</f>
        <v>Aug</v>
      </c>
      <c r="E1669" s="1" t="str">
        <f>TEXT(FMData[[#This Row],[Show_Date]],"ddd")</f>
        <v>Fri</v>
      </c>
      <c r="F1669" t="s">
        <v>33</v>
      </c>
      <c r="G1669" t="s">
        <v>17</v>
      </c>
      <c r="H1669">
        <v>2</v>
      </c>
      <c r="I1669">
        <v>12</v>
      </c>
      <c r="J1669" t="s">
        <v>21</v>
      </c>
      <c r="K1669" t="s">
        <v>27</v>
      </c>
      <c r="L1669">
        <v>24</v>
      </c>
    </row>
    <row r="1670" spans="1:12" x14ac:dyDescent="0.3">
      <c r="A1670">
        <v>331</v>
      </c>
      <c r="B1670" t="s">
        <v>24</v>
      </c>
      <c r="C1670" s="1">
        <v>45928</v>
      </c>
      <c r="D1670" s="1" t="str">
        <f>TEXT(FMData[[#This Row],[Show_Date]],"mmm")</f>
        <v>Sep</v>
      </c>
      <c r="E1670" s="1" t="str">
        <f>TEXT(FMData[[#This Row],[Show_Date]],"ddd")</f>
        <v>Sun</v>
      </c>
      <c r="F1670" t="s">
        <v>16</v>
      </c>
      <c r="G1670" t="s">
        <v>17</v>
      </c>
      <c r="H1670">
        <v>1</v>
      </c>
      <c r="I1670">
        <v>12</v>
      </c>
      <c r="J1670" t="s">
        <v>21</v>
      </c>
      <c r="K1670" t="s">
        <v>27</v>
      </c>
      <c r="L1670">
        <v>12</v>
      </c>
    </row>
    <row r="1671" spans="1:12" x14ac:dyDescent="0.3">
      <c r="A1671">
        <v>1878</v>
      </c>
      <c r="B1671" t="s">
        <v>26</v>
      </c>
      <c r="C1671" s="1">
        <v>45925</v>
      </c>
      <c r="D1671" s="1" t="str">
        <f>TEXT(FMData[[#This Row],[Show_Date]],"mmm")</f>
        <v>Sep</v>
      </c>
      <c r="E1671" s="1" t="str">
        <f>TEXT(FMData[[#This Row],[Show_Date]],"ddd")</f>
        <v>Thu</v>
      </c>
      <c r="F1671" t="s">
        <v>11</v>
      </c>
      <c r="G1671" t="s">
        <v>22</v>
      </c>
      <c r="H1671">
        <v>3</v>
      </c>
      <c r="I1671">
        <v>20</v>
      </c>
      <c r="J1671" t="s">
        <v>21</v>
      </c>
      <c r="K1671" t="s">
        <v>25</v>
      </c>
      <c r="L1671">
        <v>60</v>
      </c>
    </row>
    <row r="1672" spans="1:12" x14ac:dyDescent="0.3">
      <c r="A1672">
        <v>1286</v>
      </c>
      <c r="B1672" t="s">
        <v>10</v>
      </c>
      <c r="C1672" s="1">
        <v>45913</v>
      </c>
      <c r="D1672" s="1" t="str">
        <f>TEXT(FMData[[#This Row],[Show_Date]],"mmm")</f>
        <v>Sep</v>
      </c>
      <c r="E1672" s="1" t="str">
        <f>TEXT(FMData[[#This Row],[Show_Date]],"ddd")</f>
        <v>Sat</v>
      </c>
      <c r="F1672" t="s">
        <v>16</v>
      </c>
      <c r="G1672" t="s">
        <v>17</v>
      </c>
      <c r="H1672">
        <v>2</v>
      </c>
      <c r="I1672">
        <v>12</v>
      </c>
      <c r="J1672" t="s">
        <v>13</v>
      </c>
      <c r="K1672" t="s">
        <v>18</v>
      </c>
      <c r="L1672">
        <v>24</v>
      </c>
    </row>
    <row r="1673" spans="1:12" x14ac:dyDescent="0.3">
      <c r="A1673">
        <v>1765</v>
      </c>
      <c r="B1673" t="s">
        <v>15</v>
      </c>
      <c r="C1673" s="1">
        <v>45889</v>
      </c>
      <c r="D1673" s="1" t="str">
        <f>TEXT(FMData[[#This Row],[Show_Date]],"mmm")</f>
        <v>Aug</v>
      </c>
      <c r="E1673" s="1" t="str">
        <f>TEXT(FMData[[#This Row],[Show_Date]],"ddd")</f>
        <v>Wed</v>
      </c>
      <c r="F1673" t="s">
        <v>11</v>
      </c>
      <c r="G1673" t="s">
        <v>17</v>
      </c>
      <c r="H1673">
        <v>4</v>
      </c>
      <c r="I1673">
        <v>12</v>
      </c>
      <c r="J1673" t="s">
        <v>13</v>
      </c>
      <c r="K1673" t="s">
        <v>14</v>
      </c>
      <c r="L1673">
        <v>48</v>
      </c>
    </row>
    <row r="1674" spans="1:12" x14ac:dyDescent="0.3">
      <c r="A1674">
        <v>1902</v>
      </c>
      <c r="B1674" t="s">
        <v>15</v>
      </c>
      <c r="C1674" s="1">
        <v>45913</v>
      </c>
      <c r="D1674" s="1" t="str">
        <f>TEXT(FMData[[#This Row],[Show_Date]],"mmm")</f>
        <v>Sep</v>
      </c>
      <c r="E1674" s="1" t="str">
        <f>TEXT(FMData[[#This Row],[Show_Date]],"ddd")</f>
        <v>Sat</v>
      </c>
      <c r="F1674" t="s">
        <v>11</v>
      </c>
      <c r="G1674" t="s">
        <v>17</v>
      </c>
      <c r="H1674">
        <v>3</v>
      </c>
      <c r="I1674">
        <v>12</v>
      </c>
      <c r="J1674" t="s">
        <v>21</v>
      </c>
      <c r="K1674" t="s">
        <v>27</v>
      </c>
      <c r="L1674">
        <v>36</v>
      </c>
    </row>
    <row r="1675" spans="1:12" x14ac:dyDescent="0.3">
      <c r="A1675">
        <v>1101</v>
      </c>
      <c r="B1675" t="s">
        <v>32</v>
      </c>
      <c r="C1675" s="1">
        <v>45909</v>
      </c>
      <c r="D1675" s="1" t="str">
        <f>TEXT(FMData[[#This Row],[Show_Date]],"mmm")</f>
        <v>Sep</v>
      </c>
      <c r="E1675" s="1" t="str">
        <f>TEXT(FMData[[#This Row],[Show_Date]],"ddd")</f>
        <v>Tue</v>
      </c>
      <c r="F1675" t="s">
        <v>11</v>
      </c>
      <c r="G1675" t="s">
        <v>17</v>
      </c>
      <c r="H1675">
        <v>3</v>
      </c>
      <c r="I1675">
        <v>12</v>
      </c>
      <c r="J1675" t="s">
        <v>23</v>
      </c>
      <c r="K1675" t="s">
        <v>25</v>
      </c>
      <c r="L1675">
        <v>36</v>
      </c>
    </row>
    <row r="1676" spans="1:12" x14ac:dyDescent="0.3">
      <c r="A1676">
        <v>758</v>
      </c>
      <c r="B1676" t="s">
        <v>32</v>
      </c>
      <c r="C1676" s="1">
        <v>45901</v>
      </c>
      <c r="D1676" s="1" t="str">
        <f>TEXT(FMData[[#This Row],[Show_Date]],"mmm")</f>
        <v>Sep</v>
      </c>
      <c r="E1676" s="1" t="str">
        <f>TEXT(FMData[[#This Row],[Show_Date]],"ddd")</f>
        <v>Mon</v>
      </c>
      <c r="F1676" t="s">
        <v>16</v>
      </c>
      <c r="G1676" t="s">
        <v>22</v>
      </c>
      <c r="H1676">
        <v>4</v>
      </c>
      <c r="I1676">
        <v>20</v>
      </c>
      <c r="J1676" t="s">
        <v>23</v>
      </c>
      <c r="K1676" t="s">
        <v>25</v>
      </c>
      <c r="L1676">
        <v>80</v>
      </c>
    </row>
    <row r="1677" spans="1:12" x14ac:dyDescent="0.3">
      <c r="A1677">
        <v>1092</v>
      </c>
      <c r="B1677" t="s">
        <v>28</v>
      </c>
      <c r="C1677" s="1">
        <v>45899</v>
      </c>
      <c r="D1677" s="1" t="str">
        <f>TEXT(FMData[[#This Row],[Show_Date]],"mmm")</f>
        <v>Aug</v>
      </c>
      <c r="E1677" s="1" t="str">
        <f>TEXT(FMData[[#This Row],[Show_Date]],"ddd")</f>
        <v>Sat</v>
      </c>
      <c r="F1677" t="s">
        <v>20</v>
      </c>
      <c r="G1677" t="s">
        <v>29</v>
      </c>
      <c r="H1677">
        <v>2</v>
      </c>
      <c r="I1677">
        <v>30</v>
      </c>
      <c r="J1677" t="s">
        <v>13</v>
      </c>
      <c r="K1677" t="s">
        <v>14</v>
      </c>
      <c r="L1677">
        <v>60</v>
      </c>
    </row>
    <row r="1678" spans="1:12" x14ac:dyDescent="0.3">
      <c r="A1678">
        <v>1828</v>
      </c>
      <c r="B1678" t="s">
        <v>19</v>
      </c>
      <c r="C1678" s="1">
        <v>45877</v>
      </c>
      <c r="D1678" s="1" t="str">
        <f>TEXT(FMData[[#This Row],[Show_Date]],"mmm")</f>
        <v>Aug</v>
      </c>
      <c r="E1678" s="1" t="str">
        <f>TEXT(FMData[[#This Row],[Show_Date]],"ddd")</f>
        <v>Fri</v>
      </c>
      <c r="F1678" t="s">
        <v>11</v>
      </c>
      <c r="G1678" t="s">
        <v>17</v>
      </c>
      <c r="H1678">
        <v>5</v>
      </c>
      <c r="I1678">
        <v>12</v>
      </c>
      <c r="J1678" t="s">
        <v>13</v>
      </c>
      <c r="K1678" t="s">
        <v>25</v>
      </c>
      <c r="L1678">
        <v>60</v>
      </c>
    </row>
    <row r="1679" spans="1:12" x14ac:dyDescent="0.3">
      <c r="A1679">
        <v>74</v>
      </c>
      <c r="B1679" t="s">
        <v>26</v>
      </c>
      <c r="C1679" s="1">
        <v>45903</v>
      </c>
      <c r="D1679" s="1" t="str">
        <f>TEXT(FMData[[#This Row],[Show_Date]],"mmm")</f>
        <v>Sep</v>
      </c>
      <c r="E1679" s="1" t="str">
        <f>TEXT(FMData[[#This Row],[Show_Date]],"ddd")</f>
        <v>Wed</v>
      </c>
      <c r="F1679" t="s">
        <v>20</v>
      </c>
      <c r="G1679" t="s">
        <v>22</v>
      </c>
      <c r="H1679">
        <v>1</v>
      </c>
      <c r="I1679">
        <v>20</v>
      </c>
      <c r="J1679" t="s">
        <v>21</v>
      </c>
      <c r="K1679" t="s">
        <v>14</v>
      </c>
      <c r="L1679">
        <v>20</v>
      </c>
    </row>
    <row r="1680" spans="1:12" x14ac:dyDescent="0.3">
      <c r="A1680">
        <v>1350</v>
      </c>
      <c r="B1680" t="s">
        <v>15</v>
      </c>
      <c r="C1680" s="1">
        <v>45906</v>
      </c>
      <c r="D1680" s="1" t="str">
        <f>TEXT(FMData[[#This Row],[Show_Date]],"mmm")</f>
        <v>Sep</v>
      </c>
      <c r="E1680" s="1" t="str">
        <f>TEXT(FMData[[#This Row],[Show_Date]],"ddd")</f>
        <v>Sat</v>
      </c>
      <c r="F1680" t="s">
        <v>11</v>
      </c>
      <c r="G1680" t="s">
        <v>17</v>
      </c>
      <c r="H1680">
        <v>2</v>
      </c>
      <c r="I1680">
        <v>12</v>
      </c>
      <c r="J1680" t="s">
        <v>13</v>
      </c>
      <c r="K1680" t="s">
        <v>27</v>
      </c>
      <c r="L1680">
        <v>24</v>
      </c>
    </row>
    <row r="1681" spans="1:12" x14ac:dyDescent="0.3">
      <c r="A1681">
        <v>1839</v>
      </c>
      <c r="B1681" t="s">
        <v>19</v>
      </c>
      <c r="C1681" s="1">
        <v>45884</v>
      </c>
      <c r="D1681" s="1" t="str">
        <f>TEXT(FMData[[#This Row],[Show_Date]],"mmm")</f>
        <v>Aug</v>
      </c>
      <c r="E1681" s="1" t="str">
        <f>TEXT(FMData[[#This Row],[Show_Date]],"ddd")</f>
        <v>Fri</v>
      </c>
      <c r="F1681" t="s">
        <v>33</v>
      </c>
      <c r="G1681" t="s">
        <v>29</v>
      </c>
      <c r="H1681">
        <v>5</v>
      </c>
      <c r="I1681">
        <v>30</v>
      </c>
      <c r="J1681" t="s">
        <v>23</v>
      </c>
      <c r="K1681" t="s">
        <v>25</v>
      </c>
      <c r="L1681">
        <v>150</v>
      </c>
    </row>
    <row r="1682" spans="1:12" x14ac:dyDescent="0.3">
      <c r="A1682">
        <v>97</v>
      </c>
      <c r="B1682" t="s">
        <v>26</v>
      </c>
      <c r="C1682" s="1">
        <v>45913</v>
      </c>
      <c r="D1682" s="1" t="str">
        <f>TEXT(FMData[[#This Row],[Show_Date]],"mmm")</f>
        <v>Sep</v>
      </c>
      <c r="E1682" s="1" t="str">
        <f>TEXT(FMData[[#This Row],[Show_Date]],"ddd")</f>
        <v>Sat</v>
      </c>
      <c r="F1682" t="s">
        <v>20</v>
      </c>
      <c r="G1682" t="s">
        <v>12</v>
      </c>
      <c r="H1682">
        <v>1</v>
      </c>
      <c r="I1682">
        <v>25</v>
      </c>
      <c r="J1682" t="s">
        <v>23</v>
      </c>
      <c r="K1682" t="s">
        <v>14</v>
      </c>
      <c r="L1682">
        <v>25</v>
      </c>
    </row>
    <row r="1683" spans="1:12" x14ac:dyDescent="0.3">
      <c r="A1683">
        <v>1584</v>
      </c>
      <c r="B1683" t="s">
        <v>19</v>
      </c>
      <c r="C1683" s="1">
        <v>45878</v>
      </c>
      <c r="D1683" s="1" t="str">
        <f>TEXT(FMData[[#This Row],[Show_Date]],"mmm")</f>
        <v>Aug</v>
      </c>
      <c r="E1683" s="1" t="str">
        <f>TEXT(FMData[[#This Row],[Show_Date]],"ddd")</f>
        <v>Sat</v>
      </c>
      <c r="F1683" t="s">
        <v>16</v>
      </c>
      <c r="G1683" t="s">
        <v>22</v>
      </c>
      <c r="H1683">
        <v>2</v>
      </c>
      <c r="I1683">
        <v>20</v>
      </c>
      <c r="J1683" t="s">
        <v>23</v>
      </c>
      <c r="K1683" t="s">
        <v>18</v>
      </c>
      <c r="L1683">
        <v>40</v>
      </c>
    </row>
    <row r="1684" spans="1:12" x14ac:dyDescent="0.3">
      <c r="A1684">
        <v>1992</v>
      </c>
      <c r="B1684" t="s">
        <v>32</v>
      </c>
      <c r="C1684" s="1">
        <v>45908</v>
      </c>
      <c r="D1684" s="1" t="str">
        <f>TEXT(FMData[[#This Row],[Show_Date]],"mmm")</f>
        <v>Sep</v>
      </c>
      <c r="E1684" s="1" t="str">
        <f>TEXT(FMData[[#This Row],[Show_Date]],"ddd")</f>
        <v>Mon</v>
      </c>
      <c r="F1684" t="s">
        <v>33</v>
      </c>
      <c r="G1684" t="s">
        <v>17</v>
      </c>
      <c r="H1684">
        <v>1</v>
      </c>
      <c r="I1684">
        <v>12</v>
      </c>
      <c r="J1684" t="s">
        <v>21</v>
      </c>
      <c r="K1684" t="s">
        <v>25</v>
      </c>
      <c r="L1684">
        <v>12</v>
      </c>
    </row>
    <row r="1685" spans="1:12" x14ac:dyDescent="0.3">
      <c r="A1685">
        <v>969</v>
      </c>
      <c r="B1685" t="s">
        <v>10</v>
      </c>
      <c r="C1685" s="1">
        <v>45892</v>
      </c>
      <c r="D1685" s="1" t="str">
        <f>TEXT(FMData[[#This Row],[Show_Date]],"mmm")</f>
        <v>Aug</v>
      </c>
      <c r="E1685" s="1" t="str">
        <f>TEXT(FMData[[#This Row],[Show_Date]],"ddd")</f>
        <v>Sat</v>
      </c>
      <c r="F1685" t="s">
        <v>11</v>
      </c>
      <c r="G1685" t="s">
        <v>29</v>
      </c>
      <c r="H1685">
        <v>1</v>
      </c>
      <c r="I1685">
        <v>30</v>
      </c>
      <c r="J1685" t="s">
        <v>21</v>
      </c>
      <c r="K1685" t="s">
        <v>25</v>
      </c>
      <c r="L1685">
        <v>30</v>
      </c>
    </row>
    <row r="1686" spans="1:12" x14ac:dyDescent="0.3">
      <c r="A1686">
        <v>292</v>
      </c>
      <c r="B1686" t="s">
        <v>32</v>
      </c>
      <c r="C1686" s="1">
        <v>45847</v>
      </c>
      <c r="D1686" s="1" t="str">
        <f>TEXT(FMData[[#This Row],[Show_Date]],"mmm")</f>
        <v>Jul</v>
      </c>
      <c r="E1686" s="1" t="str">
        <f>TEXT(FMData[[#This Row],[Show_Date]],"ddd")</f>
        <v>Wed</v>
      </c>
      <c r="F1686" t="s">
        <v>16</v>
      </c>
      <c r="G1686" t="s">
        <v>17</v>
      </c>
      <c r="H1686">
        <v>4</v>
      </c>
      <c r="I1686">
        <v>12</v>
      </c>
      <c r="J1686" t="s">
        <v>13</v>
      </c>
      <c r="K1686" t="s">
        <v>14</v>
      </c>
      <c r="L1686">
        <v>48</v>
      </c>
    </row>
    <row r="1687" spans="1:12" x14ac:dyDescent="0.3">
      <c r="A1687">
        <v>1650</v>
      </c>
      <c r="B1687" t="s">
        <v>26</v>
      </c>
      <c r="C1687" s="1">
        <v>45891</v>
      </c>
      <c r="D1687" s="1" t="str">
        <f>TEXT(FMData[[#This Row],[Show_Date]],"mmm")</f>
        <v>Aug</v>
      </c>
      <c r="E1687" s="1" t="str">
        <f>TEXT(FMData[[#This Row],[Show_Date]],"ddd")</f>
        <v>Fri</v>
      </c>
      <c r="F1687" t="s">
        <v>33</v>
      </c>
      <c r="G1687" t="s">
        <v>29</v>
      </c>
      <c r="H1687">
        <v>5</v>
      </c>
      <c r="I1687">
        <v>30</v>
      </c>
      <c r="J1687" t="s">
        <v>21</v>
      </c>
      <c r="K1687" t="s">
        <v>27</v>
      </c>
      <c r="L1687">
        <v>150</v>
      </c>
    </row>
    <row r="1688" spans="1:12" x14ac:dyDescent="0.3">
      <c r="A1688">
        <v>1289</v>
      </c>
      <c r="B1688" t="s">
        <v>31</v>
      </c>
      <c r="C1688" s="1">
        <v>45860</v>
      </c>
      <c r="D1688" s="1" t="str">
        <f>TEXT(FMData[[#This Row],[Show_Date]],"mmm")</f>
        <v>Jul</v>
      </c>
      <c r="E1688" s="1" t="str">
        <f>TEXT(FMData[[#This Row],[Show_Date]],"ddd")</f>
        <v>Tue</v>
      </c>
      <c r="F1688" t="s">
        <v>20</v>
      </c>
      <c r="G1688" t="s">
        <v>29</v>
      </c>
      <c r="H1688">
        <v>2</v>
      </c>
      <c r="I1688">
        <v>30</v>
      </c>
      <c r="J1688" t="s">
        <v>13</v>
      </c>
      <c r="K1688" t="s">
        <v>25</v>
      </c>
      <c r="L1688">
        <v>60</v>
      </c>
    </row>
    <row r="1689" spans="1:12" x14ac:dyDescent="0.3">
      <c r="A1689">
        <v>529</v>
      </c>
      <c r="B1689" t="s">
        <v>26</v>
      </c>
      <c r="C1689" s="1">
        <v>45865</v>
      </c>
      <c r="D1689" s="1" t="str">
        <f>TEXT(FMData[[#This Row],[Show_Date]],"mmm")</f>
        <v>Jul</v>
      </c>
      <c r="E1689" s="1" t="str">
        <f>TEXT(FMData[[#This Row],[Show_Date]],"ddd")</f>
        <v>Sun</v>
      </c>
      <c r="F1689" t="s">
        <v>16</v>
      </c>
      <c r="G1689" t="s">
        <v>17</v>
      </c>
      <c r="H1689">
        <v>1</v>
      </c>
      <c r="I1689">
        <v>12</v>
      </c>
      <c r="J1689" t="s">
        <v>23</v>
      </c>
      <c r="K1689" t="s">
        <v>14</v>
      </c>
      <c r="L1689">
        <v>12</v>
      </c>
    </row>
    <row r="1690" spans="1:12" x14ac:dyDescent="0.3">
      <c r="A1690">
        <v>1531</v>
      </c>
      <c r="B1690" t="s">
        <v>10</v>
      </c>
      <c r="C1690" s="1">
        <v>45893</v>
      </c>
      <c r="D1690" s="1" t="str">
        <f>TEXT(FMData[[#This Row],[Show_Date]],"mmm")</f>
        <v>Aug</v>
      </c>
      <c r="E1690" s="1" t="str">
        <f>TEXT(FMData[[#This Row],[Show_Date]],"ddd")</f>
        <v>Sun</v>
      </c>
      <c r="F1690" t="s">
        <v>16</v>
      </c>
      <c r="G1690" t="s">
        <v>17</v>
      </c>
      <c r="H1690">
        <v>2</v>
      </c>
      <c r="I1690">
        <v>12</v>
      </c>
      <c r="J1690" t="s">
        <v>23</v>
      </c>
      <c r="K1690" t="s">
        <v>27</v>
      </c>
      <c r="L1690">
        <v>24</v>
      </c>
    </row>
    <row r="1691" spans="1:12" x14ac:dyDescent="0.3">
      <c r="A1691">
        <v>1117</v>
      </c>
      <c r="B1691" t="s">
        <v>28</v>
      </c>
      <c r="C1691" s="1">
        <v>45862</v>
      </c>
      <c r="D1691" s="1" t="str">
        <f>TEXT(FMData[[#This Row],[Show_Date]],"mmm")</f>
        <v>Jul</v>
      </c>
      <c r="E1691" s="1" t="str">
        <f>TEXT(FMData[[#This Row],[Show_Date]],"ddd")</f>
        <v>Thu</v>
      </c>
      <c r="F1691" t="s">
        <v>33</v>
      </c>
      <c r="G1691" t="s">
        <v>30</v>
      </c>
      <c r="H1691">
        <v>4</v>
      </c>
      <c r="I1691">
        <v>8</v>
      </c>
      <c r="J1691" t="s">
        <v>23</v>
      </c>
      <c r="K1691" t="s">
        <v>27</v>
      </c>
      <c r="L1691">
        <v>32</v>
      </c>
    </row>
    <row r="1692" spans="1:12" x14ac:dyDescent="0.3">
      <c r="A1692">
        <v>42</v>
      </c>
      <c r="B1692" t="s">
        <v>28</v>
      </c>
      <c r="C1692" s="1">
        <v>45857</v>
      </c>
      <c r="D1692" s="1" t="str">
        <f>TEXT(FMData[[#This Row],[Show_Date]],"mmm")</f>
        <v>Jul</v>
      </c>
      <c r="E1692" s="1" t="str">
        <f>TEXT(FMData[[#This Row],[Show_Date]],"ddd")</f>
        <v>Sat</v>
      </c>
      <c r="F1692" t="s">
        <v>11</v>
      </c>
      <c r="G1692" t="s">
        <v>12</v>
      </c>
      <c r="H1692">
        <v>2</v>
      </c>
      <c r="I1692">
        <v>25</v>
      </c>
      <c r="J1692" t="s">
        <v>23</v>
      </c>
      <c r="K1692" t="s">
        <v>14</v>
      </c>
      <c r="L1692">
        <v>50</v>
      </c>
    </row>
    <row r="1693" spans="1:12" x14ac:dyDescent="0.3">
      <c r="A1693">
        <v>783</v>
      </c>
      <c r="B1693" t="s">
        <v>19</v>
      </c>
      <c r="C1693" s="1">
        <v>45872</v>
      </c>
      <c r="D1693" s="1" t="str">
        <f>TEXT(FMData[[#This Row],[Show_Date]],"mmm")</f>
        <v>Aug</v>
      </c>
      <c r="E1693" s="1" t="str">
        <f>TEXT(FMData[[#This Row],[Show_Date]],"ddd")</f>
        <v>Sun</v>
      </c>
      <c r="F1693" t="s">
        <v>11</v>
      </c>
      <c r="G1693" t="s">
        <v>29</v>
      </c>
      <c r="H1693">
        <v>5</v>
      </c>
      <c r="I1693">
        <v>30</v>
      </c>
      <c r="J1693" t="s">
        <v>21</v>
      </c>
      <c r="K1693" t="s">
        <v>25</v>
      </c>
      <c r="L1693">
        <v>150</v>
      </c>
    </row>
    <row r="1694" spans="1:12" x14ac:dyDescent="0.3">
      <c r="A1694">
        <v>847</v>
      </c>
      <c r="B1694" t="s">
        <v>26</v>
      </c>
      <c r="C1694" s="1">
        <v>45888</v>
      </c>
      <c r="D1694" s="1" t="str">
        <f>TEXT(FMData[[#This Row],[Show_Date]],"mmm")</f>
        <v>Aug</v>
      </c>
      <c r="E1694" s="1" t="str">
        <f>TEXT(FMData[[#This Row],[Show_Date]],"ddd")</f>
        <v>Tue</v>
      </c>
      <c r="F1694" t="s">
        <v>20</v>
      </c>
      <c r="G1694" t="s">
        <v>30</v>
      </c>
      <c r="H1694">
        <v>3</v>
      </c>
      <c r="I1694">
        <v>8</v>
      </c>
      <c r="J1694" t="s">
        <v>21</v>
      </c>
      <c r="K1694" t="s">
        <v>27</v>
      </c>
      <c r="L1694">
        <v>24</v>
      </c>
    </row>
    <row r="1695" spans="1:12" x14ac:dyDescent="0.3">
      <c r="A1695">
        <v>698</v>
      </c>
      <c r="B1695" t="s">
        <v>26</v>
      </c>
      <c r="C1695" s="1">
        <v>45858</v>
      </c>
      <c r="D1695" s="1" t="str">
        <f>TEXT(FMData[[#This Row],[Show_Date]],"mmm")</f>
        <v>Jul</v>
      </c>
      <c r="E1695" s="1" t="str">
        <f>TEXT(FMData[[#This Row],[Show_Date]],"ddd")</f>
        <v>Sun</v>
      </c>
      <c r="F1695" t="s">
        <v>16</v>
      </c>
      <c r="G1695" t="s">
        <v>17</v>
      </c>
      <c r="H1695">
        <v>2</v>
      </c>
      <c r="I1695">
        <v>12</v>
      </c>
      <c r="J1695" t="s">
        <v>13</v>
      </c>
      <c r="K1695" t="s">
        <v>18</v>
      </c>
      <c r="L1695">
        <v>24</v>
      </c>
    </row>
    <row r="1696" spans="1:12" x14ac:dyDescent="0.3">
      <c r="A1696">
        <v>1577</v>
      </c>
      <c r="B1696" t="s">
        <v>28</v>
      </c>
      <c r="C1696" s="1">
        <v>45854</v>
      </c>
      <c r="D1696" s="1" t="str">
        <f>TEXT(FMData[[#This Row],[Show_Date]],"mmm")</f>
        <v>Jul</v>
      </c>
      <c r="E1696" s="1" t="str">
        <f>TEXT(FMData[[#This Row],[Show_Date]],"ddd")</f>
        <v>Wed</v>
      </c>
      <c r="F1696" t="s">
        <v>16</v>
      </c>
      <c r="G1696" t="s">
        <v>17</v>
      </c>
      <c r="H1696">
        <v>5</v>
      </c>
      <c r="I1696">
        <v>12</v>
      </c>
      <c r="J1696" t="s">
        <v>13</v>
      </c>
      <c r="K1696" t="s">
        <v>25</v>
      </c>
      <c r="L1696">
        <v>60</v>
      </c>
    </row>
    <row r="1697" spans="1:12" x14ac:dyDescent="0.3">
      <c r="A1697">
        <v>1111</v>
      </c>
      <c r="B1697" t="s">
        <v>24</v>
      </c>
      <c r="C1697" s="1">
        <v>45913</v>
      </c>
      <c r="D1697" s="1" t="str">
        <f>TEXT(FMData[[#This Row],[Show_Date]],"mmm")</f>
        <v>Sep</v>
      </c>
      <c r="E1697" s="1" t="str">
        <f>TEXT(FMData[[#This Row],[Show_Date]],"ddd")</f>
        <v>Sat</v>
      </c>
      <c r="F1697" t="s">
        <v>33</v>
      </c>
      <c r="G1697" t="s">
        <v>12</v>
      </c>
      <c r="H1697">
        <v>5</v>
      </c>
      <c r="I1697">
        <v>25</v>
      </c>
      <c r="J1697" t="s">
        <v>21</v>
      </c>
      <c r="K1697" t="s">
        <v>18</v>
      </c>
      <c r="L1697">
        <v>125</v>
      </c>
    </row>
    <row r="1698" spans="1:12" x14ac:dyDescent="0.3">
      <c r="A1698">
        <v>319</v>
      </c>
      <c r="B1698" t="s">
        <v>28</v>
      </c>
      <c r="C1698" s="1">
        <v>45882</v>
      </c>
      <c r="D1698" s="1" t="str">
        <f>TEXT(FMData[[#This Row],[Show_Date]],"mmm")</f>
        <v>Aug</v>
      </c>
      <c r="E1698" s="1" t="str">
        <f>TEXT(FMData[[#This Row],[Show_Date]],"ddd")</f>
        <v>Wed</v>
      </c>
      <c r="F1698" t="s">
        <v>11</v>
      </c>
      <c r="G1698" t="s">
        <v>17</v>
      </c>
      <c r="H1698">
        <v>1</v>
      </c>
      <c r="I1698">
        <v>12</v>
      </c>
      <c r="J1698" t="s">
        <v>23</v>
      </c>
      <c r="K1698" t="s">
        <v>25</v>
      </c>
      <c r="L1698">
        <v>12</v>
      </c>
    </row>
    <row r="1699" spans="1:12" x14ac:dyDescent="0.3">
      <c r="A1699">
        <v>1661</v>
      </c>
      <c r="B1699" t="s">
        <v>32</v>
      </c>
      <c r="C1699" s="1">
        <v>45870</v>
      </c>
      <c r="D1699" s="1" t="str">
        <f>TEXT(FMData[[#This Row],[Show_Date]],"mmm")</f>
        <v>Aug</v>
      </c>
      <c r="E1699" s="1" t="str">
        <f>TEXT(FMData[[#This Row],[Show_Date]],"ddd")</f>
        <v>Fri</v>
      </c>
      <c r="F1699" t="s">
        <v>16</v>
      </c>
      <c r="G1699" t="s">
        <v>12</v>
      </c>
      <c r="H1699">
        <v>3</v>
      </c>
      <c r="I1699">
        <v>25</v>
      </c>
      <c r="J1699" t="s">
        <v>21</v>
      </c>
      <c r="K1699" t="s">
        <v>14</v>
      </c>
      <c r="L1699">
        <v>75</v>
      </c>
    </row>
    <row r="1700" spans="1:12" x14ac:dyDescent="0.3">
      <c r="A1700">
        <v>1602</v>
      </c>
      <c r="B1700" t="s">
        <v>28</v>
      </c>
      <c r="C1700" s="1">
        <v>45921</v>
      </c>
      <c r="D1700" s="1" t="str">
        <f>TEXT(FMData[[#This Row],[Show_Date]],"mmm")</f>
        <v>Sep</v>
      </c>
      <c r="E1700" s="1" t="str">
        <f>TEXT(FMData[[#This Row],[Show_Date]],"ddd")</f>
        <v>Sun</v>
      </c>
      <c r="F1700" t="s">
        <v>16</v>
      </c>
      <c r="G1700" t="s">
        <v>12</v>
      </c>
      <c r="H1700">
        <v>1</v>
      </c>
      <c r="I1700">
        <v>25</v>
      </c>
      <c r="J1700" t="s">
        <v>21</v>
      </c>
      <c r="K1700" t="s">
        <v>25</v>
      </c>
      <c r="L1700">
        <v>25</v>
      </c>
    </row>
    <row r="1701" spans="1:12" x14ac:dyDescent="0.3">
      <c r="A1701">
        <v>794</v>
      </c>
      <c r="B1701" t="s">
        <v>31</v>
      </c>
      <c r="C1701" s="1">
        <v>45903</v>
      </c>
      <c r="D1701" s="1" t="str">
        <f>TEXT(FMData[[#This Row],[Show_Date]],"mmm")</f>
        <v>Sep</v>
      </c>
      <c r="E1701" s="1" t="str">
        <f>TEXT(FMData[[#This Row],[Show_Date]],"ddd")</f>
        <v>Wed</v>
      </c>
      <c r="F1701" t="s">
        <v>33</v>
      </c>
      <c r="G1701" t="s">
        <v>17</v>
      </c>
      <c r="H1701">
        <v>2</v>
      </c>
      <c r="I1701">
        <v>12</v>
      </c>
      <c r="J1701" t="s">
        <v>21</v>
      </c>
      <c r="K1701" t="s">
        <v>27</v>
      </c>
      <c r="L1701">
        <v>24</v>
      </c>
    </row>
    <row r="1702" spans="1:12" x14ac:dyDescent="0.3">
      <c r="A1702">
        <v>929</v>
      </c>
      <c r="B1702" t="s">
        <v>10</v>
      </c>
      <c r="C1702" s="1">
        <v>45907</v>
      </c>
      <c r="D1702" s="1" t="str">
        <f>TEXT(FMData[[#This Row],[Show_Date]],"mmm")</f>
        <v>Sep</v>
      </c>
      <c r="E1702" s="1" t="str">
        <f>TEXT(FMData[[#This Row],[Show_Date]],"ddd")</f>
        <v>Sun</v>
      </c>
      <c r="F1702" t="s">
        <v>20</v>
      </c>
      <c r="G1702" t="s">
        <v>30</v>
      </c>
      <c r="H1702">
        <v>2</v>
      </c>
      <c r="I1702">
        <v>8</v>
      </c>
      <c r="J1702" t="s">
        <v>21</v>
      </c>
      <c r="K1702" t="s">
        <v>25</v>
      </c>
      <c r="L1702">
        <v>16</v>
      </c>
    </row>
    <row r="1703" spans="1:12" x14ac:dyDescent="0.3">
      <c r="A1703">
        <v>1099</v>
      </c>
      <c r="B1703" t="s">
        <v>10</v>
      </c>
      <c r="C1703" s="1">
        <v>45930</v>
      </c>
      <c r="D1703" s="1" t="str">
        <f>TEXT(FMData[[#This Row],[Show_Date]],"mmm")</f>
        <v>Sep</v>
      </c>
      <c r="E1703" s="1" t="str">
        <f>TEXT(FMData[[#This Row],[Show_Date]],"ddd")</f>
        <v>Tue</v>
      </c>
      <c r="F1703" t="s">
        <v>20</v>
      </c>
      <c r="G1703" t="s">
        <v>17</v>
      </c>
      <c r="H1703">
        <v>2</v>
      </c>
      <c r="I1703">
        <v>12</v>
      </c>
      <c r="J1703" t="s">
        <v>21</v>
      </c>
      <c r="K1703" t="s">
        <v>14</v>
      </c>
      <c r="L1703">
        <v>24</v>
      </c>
    </row>
    <row r="1704" spans="1:12" x14ac:dyDescent="0.3">
      <c r="A1704">
        <v>1378</v>
      </c>
      <c r="B1704" t="s">
        <v>15</v>
      </c>
      <c r="C1704" s="1">
        <v>45881</v>
      </c>
      <c r="D1704" s="1" t="str">
        <f>TEXT(FMData[[#This Row],[Show_Date]],"mmm")</f>
        <v>Aug</v>
      </c>
      <c r="E1704" s="1" t="str">
        <f>TEXT(FMData[[#This Row],[Show_Date]],"ddd")</f>
        <v>Tue</v>
      </c>
      <c r="F1704" t="s">
        <v>16</v>
      </c>
      <c r="G1704" t="s">
        <v>17</v>
      </c>
      <c r="H1704">
        <v>4</v>
      </c>
      <c r="I1704">
        <v>12</v>
      </c>
      <c r="J1704" t="s">
        <v>13</v>
      </c>
      <c r="K1704" t="s">
        <v>18</v>
      </c>
      <c r="L1704">
        <v>48</v>
      </c>
    </row>
    <row r="1705" spans="1:12" x14ac:dyDescent="0.3">
      <c r="A1705">
        <v>1749</v>
      </c>
      <c r="B1705" t="s">
        <v>28</v>
      </c>
      <c r="C1705" s="1">
        <v>45927</v>
      </c>
      <c r="D1705" s="1" t="str">
        <f>TEXT(FMData[[#This Row],[Show_Date]],"mmm")</f>
        <v>Sep</v>
      </c>
      <c r="E1705" s="1" t="str">
        <f>TEXT(FMData[[#This Row],[Show_Date]],"ddd")</f>
        <v>Sat</v>
      </c>
      <c r="F1705" t="s">
        <v>33</v>
      </c>
      <c r="G1705" t="s">
        <v>17</v>
      </c>
      <c r="H1705">
        <v>2</v>
      </c>
      <c r="I1705">
        <v>12</v>
      </c>
      <c r="J1705" t="s">
        <v>21</v>
      </c>
      <c r="K1705" t="s">
        <v>18</v>
      </c>
      <c r="L1705">
        <v>24</v>
      </c>
    </row>
    <row r="1706" spans="1:12" x14ac:dyDescent="0.3">
      <c r="A1706">
        <v>1364</v>
      </c>
      <c r="B1706" t="s">
        <v>10</v>
      </c>
      <c r="C1706" s="1">
        <v>45890</v>
      </c>
      <c r="D1706" s="1" t="str">
        <f>TEXT(FMData[[#This Row],[Show_Date]],"mmm")</f>
        <v>Aug</v>
      </c>
      <c r="E1706" s="1" t="str">
        <f>TEXT(FMData[[#This Row],[Show_Date]],"ddd")</f>
        <v>Thu</v>
      </c>
      <c r="F1706" t="s">
        <v>20</v>
      </c>
      <c r="G1706" t="s">
        <v>17</v>
      </c>
      <c r="H1706">
        <v>1</v>
      </c>
      <c r="I1706">
        <v>12</v>
      </c>
      <c r="J1706" t="s">
        <v>23</v>
      </c>
      <c r="K1706" t="s">
        <v>18</v>
      </c>
      <c r="L1706">
        <v>12</v>
      </c>
    </row>
    <row r="1707" spans="1:12" x14ac:dyDescent="0.3">
      <c r="A1707">
        <v>145</v>
      </c>
      <c r="B1707" t="s">
        <v>19</v>
      </c>
      <c r="C1707" s="1">
        <v>45925</v>
      </c>
      <c r="D1707" s="1" t="str">
        <f>TEXT(FMData[[#This Row],[Show_Date]],"mmm")</f>
        <v>Sep</v>
      </c>
      <c r="E1707" s="1" t="str">
        <f>TEXT(FMData[[#This Row],[Show_Date]],"ddd")</f>
        <v>Thu</v>
      </c>
      <c r="F1707" t="s">
        <v>33</v>
      </c>
      <c r="G1707" t="s">
        <v>17</v>
      </c>
      <c r="H1707">
        <v>4</v>
      </c>
      <c r="I1707">
        <v>12</v>
      </c>
      <c r="J1707" t="s">
        <v>23</v>
      </c>
      <c r="K1707" t="s">
        <v>27</v>
      </c>
      <c r="L1707">
        <v>48</v>
      </c>
    </row>
    <row r="1708" spans="1:12" x14ac:dyDescent="0.3">
      <c r="A1708">
        <v>528</v>
      </c>
      <c r="B1708" t="s">
        <v>26</v>
      </c>
      <c r="C1708" s="1">
        <v>45844</v>
      </c>
      <c r="D1708" s="1" t="str">
        <f>TEXT(FMData[[#This Row],[Show_Date]],"mmm")</f>
        <v>Jul</v>
      </c>
      <c r="E1708" s="1" t="str">
        <f>TEXT(FMData[[#This Row],[Show_Date]],"ddd")</f>
        <v>Sun</v>
      </c>
      <c r="F1708" t="s">
        <v>33</v>
      </c>
      <c r="G1708" t="s">
        <v>29</v>
      </c>
      <c r="H1708">
        <v>3</v>
      </c>
      <c r="I1708">
        <v>30</v>
      </c>
      <c r="J1708" t="s">
        <v>21</v>
      </c>
      <c r="K1708" t="s">
        <v>27</v>
      </c>
      <c r="L1708">
        <v>90</v>
      </c>
    </row>
    <row r="1709" spans="1:12" x14ac:dyDescent="0.3">
      <c r="A1709">
        <v>49</v>
      </c>
      <c r="B1709" t="s">
        <v>10</v>
      </c>
      <c r="C1709" s="1">
        <v>45921</v>
      </c>
      <c r="D1709" s="1" t="str">
        <f>TEXT(FMData[[#This Row],[Show_Date]],"mmm")</f>
        <v>Sep</v>
      </c>
      <c r="E1709" s="1" t="str">
        <f>TEXT(FMData[[#This Row],[Show_Date]],"ddd")</f>
        <v>Sun</v>
      </c>
      <c r="F1709" t="s">
        <v>11</v>
      </c>
      <c r="G1709" t="s">
        <v>12</v>
      </c>
      <c r="H1709">
        <v>2</v>
      </c>
      <c r="I1709">
        <v>25</v>
      </c>
      <c r="J1709" t="s">
        <v>13</v>
      </c>
      <c r="K1709" t="s">
        <v>18</v>
      </c>
      <c r="L1709">
        <v>50</v>
      </c>
    </row>
    <row r="1710" spans="1:12" x14ac:dyDescent="0.3">
      <c r="A1710">
        <v>1467</v>
      </c>
      <c r="B1710" t="s">
        <v>26</v>
      </c>
      <c r="C1710" s="1">
        <v>45913</v>
      </c>
      <c r="D1710" s="1" t="str">
        <f>TEXT(FMData[[#This Row],[Show_Date]],"mmm")</f>
        <v>Sep</v>
      </c>
      <c r="E1710" s="1" t="str">
        <f>TEXT(FMData[[#This Row],[Show_Date]],"ddd")</f>
        <v>Sat</v>
      </c>
      <c r="F1710" t="s">
        <v>11</v>
      </c>
      <c r="G1710" t="s">
        <v>17</v>
      </c>
      <c r="H1710">
        <v>4</v>
      </c>
      <c r="I1710">
        <v>12</v>
      </c>
      <c r="J1710" t="s">
        <v>13</v>
      </c>
      <c r="K1710" t="s">
        <v>25</v>
      </c>
      <c r="L1710">
        <v>48</v>
      </c>
    </row>
    <row r="1711" spans="1:12" x14ac:dyDescent="0.3">
      <c r="A1711">
        <v>578</v>
      </c>
      <c r="B1711" t="s">
        <v>10</v>
      </c>
      <c r="C1711" s="1">
        <v>45891</v>
      </c>
      <c r="D1711" s="1" t="str">
        <f>TEXT(FMData[[#This Row],[Show_Date]],"mmm")</f>
        <v>Aug</v>
      </c>
      <c r="E1711" s="1" t="str">
        <f>TEXT(FMData[[#This Row],[Show_Date]],"ddd")</f>
        <v>Fri</v>
      </c>
      <c r="F1711" t="s">
        <v>33</v>
      </c>
      <c r="G1711" t="s">
        <v>12</v>
      </c>
      <c r="H1711">
        <v>5</v>
      </c>
      <c r="I1711">
        <v>25</v>
      </c>
      <c r="J1711" t="s">
        <v>13</v>
      </c>
      <c r="K1711" t="s">
        <v>25</v>
      </c>
      <c r="L1711">
        <v>125</v>
      </c>
    </row>
    <row r="1712" spans="1:12" x14ac:dyDescent="0.3">
      <c r="A1712">
        <v>1927</v>
      </c>
      <c r="B1712" t="s">
        <v>15</v>
      </c>
      <c r="C1712" s="1">
        <v>45892</v>
      </c>
      <c r="D1712" s="1" t="str">
        <f>TEXT(FMData[[#This Row],[Show_Date]],"mmm")</f>
        <v>Aug</v>
      </c>
      <c r="E1712" s="1" t="str">
        <f>TEXT(FMData[[#This Row],[Show_Date]],"ddd")</f>
        <v>Sat</v>
      </c>
      <c r="F1712" t="s">
        <v>11</v>
      </c>
      <c r="G1712" t="s">
        <v>12</v>
      </c>
      <c r="H1712">
        <v>3</v>
      </c>
      <c r="I1712">
        <v>25</v>
      </c>
      <c r="J1712" t="s">
        <v>23</v>
      </c>
      <c r="K1712" t="s">
        <v>14</v>
      </c>
      <c r="L1712">
        <v>75</v>
      </c>
    </row>
    <row r="1713" spans="1:12" x14ac:dyDescent="0.3">
      <c r="A1713">
        <v>997</v>
      </c>
      <c r="B1713" t="s">
        <v>24</v>
      </c>
      <c r="C1713" s="1">
        <v>45907</v>
      </c>
      <c r="D1713" s="1" t="str">
        <f>TEXT(FMData[[#This Row],[Show_Date]],"mmm")</f>
        <v>Sep</v>
      </c>
      <c r="E1713" s="1" t="str">
        <f>TEXT(FMData[[#This Row],[Show_Date]],"ddd")</f>
        <v>Sun</v>
      </c>
      <c r="F1713" t="s">
        <v>11</v>
      </c>
      <c r="G1713" t="s">
        <v>17</v>
      </c>
      <c r="H1713">
        <v>5</v>
      </c>
      <c r="I1713">
        <v>12</v>
      </c>
      <c r="J1713" t="s">
        <v>23</v>
      </c>
      <c r="K1713" t="s">
        <v>18</v>
      </c>
      <c r="L1713">
        <v>60</v>
      </c>
    </row>
    <row r="1714" spans="1:12" x14ac:dyDescent="0.3">
      <c r="A1714">
        <v>1869</v>
      </c>
      <c r="B1714" t="s">
        <v>15</v>
      </c>
      <c r="C1714" s="1">
        <v>45915</v>
      </c>
      <c r="D1714" s="1" t="str">
        <f>TEXT(FMData[[#This Row],[Show_Date]],"mmm")</f>
        <v>Sep</v>
      </c>
      <c r="E1714" s="1" t="str">
        <f>TEXT(FMData[[#This Row],[Show_Date]],"ddd")</f>
        <v>Mon</v>
      </c>
      <c r="F1714" t="s">
        <v>20</v>
      </c>
      <c r="G1714" t="s">
        <v>30</v>
      </c>
      <c r="H1714">
        <v>1</v>
      </c>
      <c r="I1714">
        <v>8</v>
      </c>
      <c r="J1714" t="s">
        <v>13</v>
      </c>
      <c r="K1714" t="s">
        <v>14</v>
      </c>
      <c r="L1714">
        <v>8</v>
      </c>
    </row>
    <row r="1715" spans="1:12" x14ac:dyDescent="0.3">
      <c r="A1715">
        <v>763</v>
      </c>
      <c r="B1715" t="s">
        <v>15</v>
      </c>
      <c r="C1715" s="1">
        <v>45926</v>
      </c>
      <c r="D1715" s="1" t="str">
        <f>TEXT(FMData[[#This Row],[Show_Date]],"mmm")</f>
        <v>Sep</v>
      </c>
      <c r="E1715" s="1" t="str">
        <f>TEXT(FMData[[#This Row],[Show_Date]],"ddd")</f>
        <v>Fri</v>
      </c>
      <c r="F1715" t="s">
        <v>11</v>
      </c>
      <c r="G1715" t="s">
        <v>12</v>
      </c>
      <c r="H1715">
        <v>3</v>
      </c>
      <c r="I1715">
        <v>25</v>
      </c>
      <c r="J1715" t="s">
        <v>21</v>
      </c>
      <c r="K1715" t="s">
        <v>27</v>
      </c>
      <c r="L1715">
        <v>75</v>
      </c>
    </row>
    <row r="1716" spans="1:12" x14ac:dyDescent="0.3">
      <c r="A1716">
        <v>175</v>
      </c>
      <c r="B1716" t="s">
        <v>19</v>
      </c>
      <c r="C1716" s="1">
        <v>45903</v>
      </c>
      <c r="D1716" s="1" t="str">
        <f>TEXT(FMData[[#This Row],[Show_Date]],"mmm")</f>
        <v>Sep</v>
      </c>
      <c r="E1716" s="1" t="str">
        <f>TEXT(FMData[[#This Row],[Show_Date]],"ddd")</f>
        <v>Wed</v>
      </c>
      <c r="F1716" t="s">
        <v>33</v>
      </c>
      <c r="G1716" t="s">
        <v>17</v>
      </c>
      <c r="H1716">
        <v>3</v>
      </c>
      <c r="I1716">
        <v>12</v>
      </c>
      <c r="J1716" t="s">
        <v>13</v>
      </c>
      <c r="K1716" t="s">
        <v>25</v>
      </c>
      <c r="L1716">
        <v>36</v>
      </c>
    </row>
    <row r="1717" spans="1:12" x14ac:dyDescent="0.3">
      <c r="A1717">
        <v>1662</v>
      </c>
      <c r="B1717" t="s">
        <v>32</v>
      </c>
      <c r="C1717" s="1">
        <v>45878</v>
      </c>
      <c r="D1717" s="1" t="str">
        <f>TEXT(FMData[[#This Row],[Show_Date]],"mmm")</f>
        <v>Aug</v>
      </c>
      <c r="E1717" s="1" t="str">
        <f>TEXT(FMData[[#This Row],[Show_Date]],"ddd")</f>
        <v>Sat</v>
      </c>
      <c r="F1717" t="s">
        <v>20</v>
      </c>
      <c r="G1717" t="s">
        <v>12</v>
      </c>
      <c r="H1717">
        <v>1</v>
      </c>
      <c r="I1717">
        <v>25</v>
      </c>
      <c r="J1717" t="s">
        <v>13</v>
      </c>
      <c r="K1717" t="s">
        <v>14</v>
      </c>
      <c r="L1717">
        <v>25</v>
      </c>
    </row>
    <row r="1718" spans="1:12" x14ac:dyDescent="0.3">
      <c r="A1718">
        <v>516</v>
      </c>
      <c r="B1718" t="s">
        <v>32</v>
      </c>
      <c r="C1718" s="1">
        <v>45880</v>
      </c>
      <c r="D1718" s="1" t="str">
        <f>TEXT(FMData[[#This Row],[Show_Date]],"mmm")</f>
        <v>Aug</v>
      </c>
      <c r="E1718" s="1" t="str">
        <f>TEXT(FMData[[#This Row],[Show_Date]],"ddd")</f>
        <v>Mon</v>
      </c>
      <c r="F1718" t="s">
        <v>16</v>
      </c>
      <c r="G1718" t="s">
        <v>29</v>
      </c>
      <c r="H1718">
        <v>3</v>
      </c>
      <c r="I1718">
        <v>30</v>
      </c>
      <c r="J1718" t="s">
        <v>13</v>
      </c>
      <c r="K1718" t="s">
        <v>25</v>
      </c>
      <c r="L1718">
        <v>90</v>
      </c>
    </row>
    <row r="1719" spans="1:12" x14ac:dyDescent="0.3">
      <c r="A1719">
        <v>1204</v>
      </c>
      <c r="B1719" t="s">
        <v>26</v>
      </c>
      <c r="C1719" s="1">
        <v>45911</v>
      </c>
      <c r="D1719" s="1" t="str">
        <f>TEXT(FMData[[#This Row],[Show_Date]],"mmm")</f>
        <v>Sep</v>
      </c>
      <c r="E1719" s="1" t="str">
        <f>TEXT(FMData[[#This Row],[Show_Date]],"ddd")</f>
        <v>Thu</v>
      </c>
      <c r="F1719" t="s">
        <v>33</v>
      </c>
      <c r="G1719" t="s">
        <v>22</v>
      </c>
      <c r="H1719">
        <v>2</v>
      </c>
      <c r="I1719">
        <v>20</v>
      </c>
      <c r="J1719" t="s">
        <v>13</v>
      </c>
      <c r="K1719" t="s">
        <v>18</v>
      </c>
      <c r="L1719">
        <v>40</v>
      </c>
    </row>
    <row r="1720" spans="1:12" x14ac:dyDescent="0.3">
      <c r="A1720">
        <v>1348</v>
      </c>
      <c r="B1720" t="s">
        <v>28</v>
      </c>
      <c r="C1720" s="1">
        <v>45846</v>
      </c>
      <c r="D1720" s="1" t="str">
        <f>TEXT(FMData[[#This Row],[Show_Date]],"mmm")</f>
        <v>Jul</v>
      </c>
      <c r="E1720" s="1" t="str">
        <f>TEXT(FMData[[#This Row],[Show_Date]],"ddd")</f>
        <v>Tue</v>
      </c>
      <c r="F1720" t="s">
        <v>11</v>
      </c>
      <c r="G1720" t="s">
        <v>17</v>
      </c>
      <c r="H1720">
        <v>4</v>
      </c>
      <c r="I1720">
        <v>12</v>
      </c>
      <c r="J1720" t="s">
        <v>13</v>
      </c>
      <c r="K1720" t="s">
        <v>27</v>
      </c>
      <c r="L1720">
        <v>48</v>
      </c>
    </row>
    <row r="1721" spans="1:12" x14ac:dyDescent="0.3">
      <c r="A1721">
        <v>1500</v>
      </c>
      <c r="B1721" t="s">
        <v>28</v>
      </c>
      <c r="C1721" s="1">
        <v>45849</v>
      </c>
      <c r="D1721" s="1" t="str">
        <f>TEXT(FMData[[#This Row],[Show_Date]],"mmm")</f>
        <v>Jul</v>
      </c>
      <c r="E1721" s="1" t="str">
        <f>TEXT(FMData[[#This Row],[Show_Date]],"ddd")</f>
        <v>Fri</v>
      </c>
      <c r="F1721" t="s">
        <v>16</v>
      </c>
      <c r="G1721" t="s">
        <v>30</v>
      </c>
      <c r="H1721">
        <v>3</v>
      </c>
      <c r="I1721">
        <v>8</v>
      </c>
      <c r="J1721" t="s">
        <v>13</v>
      </c>
      <c r="K1721" t="s">
        <v>14</v>
      </c>
      <c r="L1721">
        <v>24</v>
      </c>
    </row>
    <row r="1722" spans="1:12" x14ac:dyDescent="0.3">
      <c r="A1722">
        <v>86</v>
      </c>
      <c r="B1722" t="s">
        <v>32</v>
      </c>
      <c r="C1722" s="1">
        <v>45900</v>
      </c>
      <c r="D1722" s="1" t="str">
        <f>TEXT(FMData[[#This Row],[Show_Date]],"mmm")</f>
        <v>Aug</v>
      </c>
      <c r="E1722" s="1" t="str">
        <f>TEXT(FMData[[#This Row],[Show_Date]],"ddd")</f>
        <v>Sun</v>
      </c>
      <c r="F1722" t="s">
        <v>33</v>
      </c>
      <c r="G1722" t="s">
        <v>17</v>
      </c>
      <c r="H1722">
        <v>2</v>
      </c>
      <c r="I1722">
        <v>12</v>
      </c>
      <c r="J1722" t="s">
        <v>21</v>
      </c>
      <c r="K1722" t="s">
        <v>25</v>
      </c>
      <c r="L1722">
        <v>24</v>
      </c>
    </row>
    <row r="1723" spans="1:12" x14ac:dyDescent="0.3">
      <c r="A1723">
        <v>1883</v>
      </c>
      <c r="B1723" t="s">
        <v>24</v>
      </c>
      <c r="C1723" s="1">
        <v>45848</v>
      </c>
      <c r="D1723" s="1" t="str">
        <f>TEXT(FMData[[#This Row],[Show_Date]],"mmm")</f>
        <v>Jul</v>
      </c>
      <c r="E1723" s="1" t="str">
        <f>TEXT(FMData[[#This Row],[Show_Date]],"ddd")</f>
        <v>Thu</v>
      </c>
      <c r="F1723" t="s">
        <v>33</v>
      </c>
      <c r="G1723" t="s">
        <v>29</v>
      </c>
      <c r="H1723">
        <v>5</v>
      </c>
      <c r="I1723">
        <v>30</v>
      </c>
      <c r="J1723" t="s">
        <v>13</v>
      </c>
      <c r="K1723" t="s">
        <v>18</v>
      </c>
      <c r="L1723">
        <v>150</v>
      </c>
    </row>
    <row r="1724" spans="1:12" x14ac:dyDescent="0.3">
      <c r="A1724">
        <v>1826</v>
      </c>
      <c r="B1724" t="s">
        <v>15</v>
      </c>
      <c r="C1724" s="1">
        <v>45854</v>
      </c>
      <c r="D1724" s="1" t="str">
        <f>TEXT(FMData[[#This Row],[Show_Date]],"mmm")</f>
        <v>Jul</v>
      </c>
      <c r="E1724" s="1" t="str">
        <f>TEXT(FMData[[#This Row],[Show_Date]],"ddd")</f>
        <v>Wed</v>
      </c>
      <c r="F1724" t="s">
        <v>20</v>
      </c>
      <c r="G1724" t="s">
        <v>17</v>
      </c>
      <c r="H1724">
        <v>5</v>
      </c>
      <c r="I1724">
        <v>12</v>
      </c>
      <c r="J1724" t="s">
        <v>23</v>
      </c>
      <c r="K1724" t="s">
        <v>14</v>
      </c>
      <c r="L1724">
        <v>60</v>
      </c>
    </row>
    <row r="1725" spans="1:12" x14ac:dyDescent="0.3">
      <c r="A1725">
        <v>1160</v>
      </c>
      <c r="B1725" t="s">
        <v>31</v>
      </c>
      <c r="C1725" s="1">
        <v>45875</v>
      </c>
      <c r="D1725" s="1" t="str">
        <f>TEXT(FMData[[#This Row],[Show_Date]],"mmm")</f>
        <v>Aug</v>
      </c>
      <c r="E1725" s="1" t="str">
        <f>TEXT(FMData[[#This Row],[Show_Date]],"ddd")</f>
        <v>Wed</v>
      </c>
      <c r="F1725" t="s">
        <v>11</v>
      </c>
      <c r="G1725" t="s">
        <v>17</v>
      </c>
      <c r="H1725">
        <v>1</v>
      </c>
      <c r="I1725">
        <v>12</v>
      </c>
      <c r="J1725" t="s">
        <v>13</v>
      </c>
      <c r="K1725" t="s">
        <v>14</v>
      </c>
      <c r="L1725">
        <v>12</v>
      </c>
    </row>
    <row r="1726" spans="1:12" x14ac:dyDescent="0.3">
      <c r="A1726">
        <v>1827</v>
      </c>
      <c r="B1726" t="s">
        <v>10</v>
      </c>
      <c r="C1726" s="1">
        <v>45841</v>
      </c>
      <c r="D1726" s="1" t="str">
        <f>TEXT(FMData[[#This Row],[Show_Date]],"mmm")</f>
        <v>Jul</v>
      </c>
      <c r="E1726" s="1" t="str">
        <f>TEXT(FMData[[#This Row],[Show_Date]],"ddd")</f>
        <v>Thu</v>
      </c>
      <c r="F1726" t="s">
        <v>16</v>
      </c>
      <c r="G1726" t="s">
        <v>17</v>
      </c>
      <c r="H1726">
        <v>3</v>
      </c>
      <c r="I1726">
        <v>12</v>
      </c>
      <c r="J1726" t="s">
        <v>13</v>
      </c>
      <c r="K1726" t="s">
        <v>25</v>
      </c>
      <c r="L1726">
        <v>36</v>
      </c>
    </row>
    <row r="1727" spans="1:12" x14ac:dyDescent="0.3">
      <c r="A1727">
        <v>1983</v>
      </c>
      <c r="B1727" t="s">
        <v>31</v>
      </c>
      <c r="C1727" s="1">
        <v>45916</v>
      </c>
      <c r="D1727" s="1" t="str">
        <f>TEXT(FMData[[#This Row],[Show_Date]],"mmm")</f>
        <v>Sep</v>
      </c>
      <c r="E1727" s="1" t="str">
        <f>TEXT(FMData[[#This Row],[Show_Date]],"ddd")</f>
        <v>Tue</v>
      </c>
      <c r="F1727" t="s">
        <v>20</v>
      </c>
      <c r="G1727" t="s">
        <v>17</v>
      </c>
      <c r="H1727">
        <v>4</v>
      </c>
      <c r="I1727">
        <v>12</v>
      </c>
      <c r="J1727" t="s">
        <v>21</v>
      </c>
      <c r="K1727" t="s">
        <v>18</v>
      </c>
      <c r="L1727">
        <v>48</v>
      </c>
    </row>
    <row r="1728" spans="1:12" x14ac:dyDescent="0.3">
      <c r="A1728">
        <v>1628</v>
      </c>
      <c r="B1728" t="s">
        <v>24</v>
      </c>
      <c r="C1728" s="1">
        <v>45872</v>
      </c>
      <c r="D1728" s="1" t="str">
        <f>TEXT(FMData[[#This Row],[Show_Date]],"mmm")</f>
        <v>Aug</v>
      </c>
      <c r="E1728" s="1" t="str">
        <f>TEXT(FMData[[#This Row],[Show_Date]],"ddd")</f>
        <v>Sun</v>
      </c>
      <c r="F1728" t="s">
        <v>11</v>
      </c>
      <c r="G1728" t="s">
        <v>22</v>
      </c>
      <c r="H1728">
        <v>2</v>
      </c>
      <c r="I1728">
        <v>20</v>
      </c>
      <c r="J1728" t="s">
        <v>23</v>
      </c>
      <c r="K1728" t="s">
        <v>14</v>
      </c>
      <c r="L1728">
        <v>40</v>
      </c>
    </row>
    <row r="1729" spans="1:12" x14ac:dyDescent="0.3">
      <c r="A1729">
        <v>1343</v>
      </c>
      <c r="B1729" t="s">
        <v>28</v>
      </c>
      <c r="C1729" s="1">
        <v>45917</v>
      </c>
      <c r="D1729" s="1" t="str">
        <f>TEXT(FMData[[#This Row],[Show_Date]],"mmm")</f>
        <v>Sep</v>
      </c>
      <c r="E1729" s="1" t="str">
        <f>TEXT(FMData[[#This Row],[Show_Date]],"ddd")</f>
        <v>Wed</v>
      </c>
      <c r="F1729" t="s">
        <v>16</v>
      </c>
      <c r="G1729" t="s">
        <v>12</v>
      </c>
      <c r="H1729">
        <v>1</v>
      </c>
      <c r="I1729">
        <v>25</v>
      </c>
      <c r="J1729" t="s">
        <v>23</v>
      </c>
      <c r="K1729" t="s">
        <v>27</v>
      </c>
      <c r="L1729">
        <v>25</v>
      </c>
    </row>
    <row r="1730" spans="1:12" x14ac:dyDescent="0.3">
      <c r="A1730">
        <v>1036</v>
      </c>
      <c r="B1730" t="s">
        <v>26</v>
      </c>
      <c r="C1730" s="1">
        <v>45879</v>
      </c>
      <c r="D1730" s="1" t="str">
        <f>TEXT(FMData[[#This Row],[Show_Date]],"mmm")</f>
        <v>Aug</v>
      </c>
      <c r="E1730" s="1" t="str">
        <f>TEXT(FMData[[#This Row],[Show_Date]],"ddd")</f>
        <v>Sun</v>
      </c>
      <c r="F1730" t="s">
        <v>11</v>
      </c>
      <c r="G1730" t="s">
        <v>17</v>
      </c>
      <c r="H1730">
        <v>2</v>
      </c>
      <c r="I1730">
        <v>12</v>
      </c>
      <c r="J1730" t="s">
        <v>13</v>
      </c>
      <c r="K1730" t="s">
        <v>14</v>
      </c>
      <c r="L1730">
        <v>24</v>
      </c>
    </row>
    <row r="1731" spans="1:12" x14ac:dyDescent="0.3">
      <c r="A1731">
        <v>1056</v>
      </c>
      <c r="B1731" t="s">
        <v>15</v>
      </c>
      <c r="C1731" s="1">
        <v>45895</v>
      </c>
      <c r="D1731" s="1" t="str">
        <f>TEXT(FMData[[#This Row],[Show_Date]],"mmm")</f>
        <v>Aug</v>
      </c>
      <c r="E1731" s="1" t="str">
        <f>TEXT(FMData[[#This Row],[Show_Date]],"ddd")</f>
        <v>Tue</v>
      </c>
      <c r="F1731" t="s">
        <v>33</v>
      </c>
      <c r="G1731" t="s">
        <v>29</v>
      </c>
      <c r="H1731">
        <v>5</v>
      </c>
      <c r="I1731">
        <v>30</v>
      </c>
      <c r="J1731" t="s">
        <v>23</v>
      </c>
      <c r="K1731" t="s">
        <v>25</v>
      </c>
      <c r="L1731">
        <v>150</v>
      </c>
    </row>
    <row r="1732" spans="1:12" x14ac:dyDescent="0.3">
      <c r="A1732">
        <v>1593</v>
      </c>
      <c r="B1732" t="s">
        <v>31</v>
      </c>
      <c r="C1732" s="1">
        <v>45893</v>
      </c>
      <c r="D1732" s="1" t="str">
        <f>TEXT(FMData[[#This Row],[Show_Date]],"mmm")</f>
        <v>Aug</v>
      </c>
      <c r="E1732" s="1" t="str">
        <f>TEXT(FMData[[#This Row],[Show_Date]],"ddd")</f>
        <v>Sun</v>
      </c>
      <c r="F1732" t="s">
        <v>11</v>
      </c>
      <c r="G1732" t="s">
        <v>12</v>
      </c>
      <c r="H1732">
        <v>4</v>
      </c>
      <c r="I1732">
        <v>25</v>
      </c>
      <c r="J1732" t="s">
        <v>13</v>
      </c>
      <c r="K1732" t="s">
        <v>18</v>
      </c>
      <c r="L1732">
        <v>100</v>
      </c>
    </row>
    <row r="1733" spans="1:12" x14ac:dyDescent="0.3">
      <c r="A1733">
        <v>1049</v>
      </c>
      <c r="B1733" t="s">
        <v>15</v>
      </c>
      <c r="C1733" s="1">
        <v>45893</v>
      </c>
      <c r="D1733" s="1" t="str">
        <f>TEXT(FMData[[#This Row],[Show_Date]],"mmm")</f>
        <v>Aug</v>
      </c>
      <c r="E1733" s="1" t="str">
        <f>TEXT(FMData[[#This Row],[Show_Date]],"ddd")</f>
        <v>Sun</v>
      </c>
      <c r="F1733" t="s">
        <v>33</v>
      </c>
      <c r="G1733" t="s">
        <v>17</v>
      </c>
      <c r="H1733">
        <v>3</v>
      </c>
      <c r="I1733">
        <v>12</v>
      </c>
      <c r="J1733" t="s">
        <v>23</v>
      </c>
      <c r="K1733" t="s">
        <v>25</v>
      </c>
      <c r="L1733">
        <v>36</v>
      </c>
    </row>
    <row r="1734" spans="1:12" x14ac:dyDescent="0.3">
      <c r="A1734">
        <v>595</v>
      </c>
      <c r="B1734" t="s">
        <v>31</v>
      </c>
      <c r="C1734" s="1">
        <v>45844</v>
      </c>
      <c r="D1734" s="1" t="str">
        <f>TEXT(FMData[[#This Row],[Show_Date]],"mmm")</f>
        <v>Jul</v>
      </c>
      <c r="E1734" s="1" t="str">
        <f>TEXT(FMData[[#This Row],[Show_Date]],"ddd")</f>
        <v>Sun</v>
      </c>
      <c r="F1734" t="s">
        <v>33</v>
      </c>
      <c r="G1734" t="s">
        <v>17</v>
      </c>
      <c r="H1734">
        <v>1</v>
      </c>
      <c r="I1734">
        <v>12</v>
      </c>
      <c r="J1734" t="s">
        <v>23</v>
      </c>
      <c r="K1734" t="s">
        <v>18</v>
      </c>
      <c r="L1734">
        <v>12</v>
      </c>
    </row>
    <row r="1735" spans="1:12" x14ac:dyDescent="0.3">
      <c r="A1735">
        <v>761</v>
      </c>
      <c r="B1735" t="s">
        <v>31</v>
      </c>
      <c r="C1735" s="1">
        <v>45907</v>
      </c>
      <c r="D1735" s="1" t="str">
        <f>TEXT(FMData[[#This Row],[Show_Date]],"mmm")</f>
        <v>Sep</v>
      </c>
      <c r="E1735" s="1" t="str">
        <f>TEXT(FMData[[#This Row],[Show_Date]],"ddd")</f>
        <v>Sun</v>
      </c>
      <c r="F1735" t="s">
        <v>20</v>
      </c>
      <c r="G1735" t="s">
        <v>17</v>
      </c>
      <c r="H1735">
        <v>3</v>
      </c>
      <c r="I1735">
        <v>12</v>
      </c>
      <c r="J1735" t="s">
        <v>13</v>
      </c>
      <c r="K1735" t="s">
        <v>14</v>
      </c>
      <c r="L1735">
        <v>36</v>
      </c>
    </row>
    <row r="1736" spans="1:12" x14ac:dyDescent="0.3">
      <c r="A1736">
        <v>1790</v>
      </c>
      <c r="B1736" t="s">
        <v>10</v>
      </c>
      <c r="C1736" s="1">
        <v>45883</v>
      </c>
      <c r="D1736" s="1" t="str">
        <f>TEXT(FMData[[#This Row],[Show_Date]],"mmm")</f>
        <v>Aug</v>
      </c>
      <c r="E1736" s="1" t="str">
        <f>TEXT(FMData[[#This Row],[Show_Date]],"ddd")</f>
        <v>Thu</v>
      </c>
      <c r="F1736" t="s">
        <v>33</v>
      </c>
      <c r="G1736" t="s">
        <v>29</v>
      </c>
      <c r="H1736">
        <v>1</v>
      </c>
      <c r="I1736">
        <v>30</v>
      </c>
      <c r="J1736" t="s">
        <v>23</v>
      </c>
      <c r="K1736" t="s">
        <v>27</v>
      </c>
      <c r="L1736">
        <v>30</v>
      </c>
    </row>
    <row r="1737" spans="1:12" x14ac:dyDescent="0.3">
      <c r="A1737">
        <v>891</v>
      </c>
      <c r="B1737" t="s">
        <v>28</v>
      </c>
      <c r="C1737" s="1">
        <v>45882</v>
      </c>
      <c r="D1737" s="1" t="str">
        <f>TEXT(FMData[[#This Row],[Show_Date]],"mmm")</f>
        <v>Aug</v>
      </c>
      <c r="E1737" s="1" t="str">
        <f>TEXT(FMData[[#This Row],[Show_Date]],"ddd")</f>
        <v>Wed</v>
      </c>
      <c r="F1737" t="s">
        <v>20</v>
      </c>
      <c r="G1737" t="s">
        <v>17</v>
      </c>
      <c r="H1737">
        <v>1</v>
      </c>
      <c r="I1737">
        <v>12</v>
      </c>
      <c r="J1737" t="s">
        <v>23</v>
      </c>
      <c r="K1737" t="s">
        <v>18</v>
      </c>
      <c r="L1737">
        <v>12</v>
      </c>
    </row>
    <row r="1738" spans="1:12" x14ac:dyDescent="0.3">
      <c r="A1738">
        <v>1612</v>
      </c>
      <c r="B1738" t="s">
        <v>10</v>
      </c>
      <c r="C1738" s="1">
        <v>45920</v>
      </c>
      <c r="D1738" s="1" t="str">
        <f>TEXT(FMData[[#This Row],[Show_Date]],"mmm")</f>
        <v>Sep</v>
      </c>
      <c r="E1738" s="1" t="str">
        <f>TEXT(FMData[[#This Row],[Show_Date]],"ddd")</f>
        <v>Sat</v>
      </c>
      <c r="F1738" t="s">
        <v>11</v>
      </c>
      <c r="G1738" t="s">
        <v>17</v>
      </c>
      <c r="H1738">
        <v>1</v>
      </c>
      <c r="I1738">
        <v>12</v>
      </c>
      <c r="J1738" t="s">
        <v>23</v>
      </c>
      <c r="K1738" t="s">
        <v>18</v>
      </c>
      <c r="L1738">
        <v>12</v>
      </c>
    </row>
    <row r="1739" spans="1:12" x14ac:dyDescent="0.3">
      <c r="A1739">
        <v>1771</v>
      </c>
      <c r="B1739" t="s">
        <v>32</v>
      </c>
      <c r="C1739" s="1">
        <v>45895</v>
      </c>
      <c r="D1739" s="1" t="str">
        <f>TEXT(FMData[[#This Row],[Show_Date]],"mmm")</f>
        <v>Aug</v>
      </c>
      <c r="E1739" s="1" t="str">
        <f>TEXT(FMData[[#This Row],[Show_Date]],"ddd")</f>
        <v>Tue</v>
      </c>
      <c r="F1739" t="s">
        <v>20</v>
      </c>
      <c r="G1739" t="s">
        <v>12</v>
      </c>
      <c r="H1739">
        <v>4</v>
      </c>
      <c r="I1739">
        <v>25</v>
      </c>
      <c r="J1739" t="s">
        <v>21</v>
      </c>
      <c r="K1739" t="s">
        <v>14</v>
      </c>
      <c r="L1739">
        <v>100</v>
      </c>
    </row>
    <row r="1740" spans="1:12" x14ac:dyDescent="0.3">
      <c r="A1740">
        <v>1729</v>
      </c>
      <c r="B1740" t="s">
        <v>26</v>
      </c>
      <c r="C1740" s="1">
        <v>45909</v>
      </c>
      <c r="D1740" s="1" t="str">
        <f>TEXT(FMData[[#This Row],[Show_Date]],"mmm")</f>
        <v>Sep</v>
      </c>
      <c r="E1740" s="1" t="str">
        <f>TEXT(FMData[[#This Row],[Show_Date]],"ddd")</f>
        <v>Tue</v>
      </c>
      <c r="F1740" t="s">
        <v>11</v>
      </c>
      <c r="G1740" t="s">
        <v>17</v>
      </c>
      <c r="H1740">
        <v>3</v>
      </c>
      <c r="I1740">
        <v>12</v>
      </c>
      <c r="J1740" t="s">
        <v>21</v>
      </c>
      <c r="K1740" t="s">
        <v>25</v>
      </c>
      <c r="L1740">
        <v>36</v>
      </c>
    </row>
    <row r="1741" spans="1:12" x14ac:dyDescent="0.3">
      <c r="A1741">
        <v>1059</v>
      </c>
      <c r="B1741" t="s">
        <v>10</v>
      </c>
      <c r="C1741" s="1">
        <v>45859</v>
      </c>
      <c r="D1741" s="1" t="str">
        <f>TEXT(FMData[[#This Row],[Show_Date]],"mmm")</f>
        <v>Jul</v>
      </c>
      <c r="E1741" s="1" t="str">
        <f>TEXT(FMData[[#This Row],[Show_Date]],"ddd")</f>
        <v>Mon</v>
      </c>
      <c r="F1741" t="s">
        <v>11</v>
      </c>
      <c r="G1741" t="s">
        <v>17</v>
      </c>
      <c r="H1741">
        <v>3</v>
      </c>
      <c r="I1741">
        <v>12</v>
      </c>
      <c r="J1741" t="s">
        <v>21</v>
      </c>
      <c r="K1741" t="s">
        <v>14</v>
      </c>
      <c r="L1741">
        <v>36</v>
      </c>
    </row>
    <row r="1742" spans="1:12" x14ac:dyDescent="0.3">
      <c r="A1742">
        <v>607</v>
      </c>
      <c r="B1742" t="s">
        <v>28</v>
      </c>
      <c r="C1742" s="1">
        <v>45924</v>
      </c>
      <c r="D1742" s="1" t="str">
        <f>TEXT(FMData[[#This Row],[Show_Date]],"mmm")</f>
        <v>Sep</v>
      </c>
      <c r="E1742" s="1" t="str">
        <f>TEXT(FMData[[#This Row],[Show_Date]],"ddd")</f>
        <v>Wed</v>
      </c>
      <c r="F1742" t="s">
        <v>16</v>
      </c>
      <c r="G1742" t="s">
        <v>17</v>
      </c>
      <c r="H1742">
        <v>4</v>
      </c>
      <c r="I1742">
        <v>12</v>
      </c>
      <c r="J1742" t="s">
        <v>23</v>
      </c>
      <c r="K1742" t="s">
        <v>27</v>
      </c>
      <c r="L1742">
        <v>48</v>
      </c>
    </row>
    <row r="1743" spans="1:12" x14ac:dyDescent="0.3">
      <c r="A1743">
        <v>229</v>
      </c>
      <c r="B1743" t="s">
        <v>24</v>
      </c>
      <c r="C1743" s="1">
        <v>45921</v>
      </c>
      <c r="D1743" s="1" t="str">
        <f>TEXT(FMData[[#This Row],[Show_Date]],"mmm")</f>
        <v>Sep</v>
      </c>
      <c r="E1743" s="1" t="str">
        <f>TEXT(FMData[[#This Row],[Show_Date]],"ddd")</f>
        <v>Sun</v>
      </c>
      <c r="F1743" t="s">
        <v>33</v>
      </c>
      <c r="G1743" t="s">
        <v>17</v>
      </c>
      <c r="H1743">
        <v>5</v>
      </c>
      <c r="I1743">
        <v>12</v>
      </c>
      <c r="J1743" t="s">
        <v>13</v>
      </c>
      <c r="K1743" t="s">
        <v>14</v>
      </c>
      <c r="L1743">
        <v>60</v>
      </c>
    </row>
    <row r="1744" spans="1:12" x14ac:dyDescent="0.3">
      <c r="A1744">
        <v>62</v>
      </c>
      <c r="B1744" t="s">
        <v>28</v>
      </c>
      <c r="C1744" s="1">
        <v>45884</v>
      </c>
      <c r="D1744" s="1" t="str">
        <f>TEXT(FMData[[#This Row],[Show_Date]],"mmm")</f>
        <v>Aug</v>
      </c>
      <c r="E1744" s="1" t="str">
        <f>TEXT(FMData[[#This Row],[Show_Date]],"ddd")</f>
        <v>Fri</v>
      </c>
      <c r="F1744" t="s">
        <v>20</v>
      </c>
      <c r="G1744" t="s">
        <v>12</v>
      </c>
      <c r="H1744">
        <v>4</v>
      </c>
      <c r="I1744">
        <v>25</v>
      </c>
      <c r="J1744" t="s">
        <v>21</v>
      </c>
      <c r="K1744" t="s">
        <v>18</v>
      </c>
      <c r="L1744">
        <v>100</v>
      </c>
    </row>
    <row r="1745" spans="1:12" x14ac:dyDescent="0.3">
      <c r="A1745">
        <v>1569</v>
      </c>
      <c r="B1745" t="s">
        <v>32</v>
      </c>
      <c r="C1745" s="1">
        <v>45850</v>
      </c>
      <c r="D1745" s="1" t="str">
        <f>TEXT(FMData[[#This Row],[Show_Date]],"mmm")</f>
        <v>Jul</v>
      </c>
      <c r="E1745" s="1" t="str">
        <f>TEXT(FMData[[#This Row],[Show_Date]],"ddd")</f>
        <v>Sat</v>
      </c>
      <c r="F1745" t="s">
        <v>20</v>
      </c>
      <c r="G1745" t="s">
        <v>30</v>
      </c>
      <c r="H1745">
        <v>5</v>
      </c>
      <c r="I1745">
        <v>8</v>
      </c>
      <c r="J1745" t="s">
        <v>21</v>
      </c>
      <c r="K1745" t="s">
        <v>14</v>
      </c>
      <c r="L1745">
        <v>40</v>
      </c>
    </row>
    <row r="1746" spans="1:12" x14ac:dyDescent="0.3">
      <c r="A1746">
        <v>508</v>
      </c>
      <c r="B1746" t="s">
        <v>32</v>
      </c>
      <c r="C1746" s="1">
        <v>45887</v>
      </c>
      <c r="D1746" s="1" t="str">
        <f>TEXT(FMData[[#This Row],[Show_Date]],"mmm")</f>
        <v>Aug</v>
      </c>
      <c r="E1746" s="1" t="str">
        <f>TEXT(FMData[[#This Row],[Show_Date]],"ddd")</f>
        <v>Mon</v>
      </c>
      <c r="F1746" t="s">
        <v>20</v>
      </c>
      <c r="G1746" t="s">
        <v>17</v>
      </c>
      <c r="H1746">
        <v>1</v>
      </c>
      <c r="I1746">
        <v>12</v>
      </c>
      <c r="J1746" t="s">
        <v>21</v>
      </c>
      <c r="K1746" t="s">
        <v>14</v>
      </c>
      <c r="L1746">
        <v>12</v>
      </c>
    </row>
    <row r="1747" spans="1:12" x14ac:dyDescent="0.3">
      <c r="A1747">
        <v>1523</v>
      </c>
      <c r="B1747" t="s">
        <v>24</v>
      </c>
      <c r="C1747" s="1">
        <v>45866</v>
      </c>
      <c r="D1747" s="1" t="str">
        <f>TEXT(FMData[[#This Row],[Show_Date]],"mmm")</f>
        <v>Jul</v>
      </c>
      <c r="E1747" s="1" t="str">
        <f>TEXT(FMData[[#This Row],[Show_Date]],"ddd")</f>
        <v>Mon</v>
      </c>
      <c r="F1747" t="s">
        <v>16</v>
      </c>
      <c r="G1747" t="s">
        <v>17</v>
      </c>
      <c r="H1747">
        <v>1</v>
      </c>
      <c r="I1747">
        <v>12</v>
      </c>
      <c r="J1747" t="s">
        <v>23</v>
      </c>
      <c r="K1747" t="s">
        <v>14</v>
      </c>
      <c r="L1747">
        <v>12</v>
      </c>
    </row>
    <row r="1748" spans="1:12" x14ac:dyDescent="0.3">
      <c r="A1748">
        <v>26</v>
      </c>
      <c r="B1748" t="s">
        <v>10</v>
      </c>
      <c r="C1748" s="1">
        <v>45893</v>
      </c>
      <c r="D1748" s="1" t="str">
        <f>TEXT(FMData[[#This Row],[Show_Date]],"mmm")</f>
        <v>Aug</v>
      </c>
      <c r="E1748" s="1" t="str">
        <f>TEXT(FMData[[#This Row],[Show_Date]],"ddd")</f>
        <v>Sun</v>
      </c>
      <c r="F1748" t="s">
        <v>20</v>
      </c>
      <c r="G1748" t="s">
        <v>17</v>
      </c>
      <c r="H1748">
        <v>3</v>
      </c>
      <c r="I1748">
        <v>12</v>
      </c>
      <c r="J1748" t="s">
        <v>13</v>
      </c>
      <c r="K1748" t="s">
        <v>27</v>
      </c>
      <c r="L1748">
        <v>36</v>
      </c>
    </row>
    <row r="1749" spans="1:12" x14ac:dyDescent="0.3">
      <c r="A1749">
        <v>1138</v>
      </c>
      <c r="B1749" t="s">
        <v>26</v>
      </c>
      <c r="C1749" s="1">
        <v>45907</v>
      </c>
      <c r="D1749" s="1" t="str">
        <f>TEXT(FMData[[#This Row],[Show_Date]],"mmm")</f>
        <v>Sep</v>
      </c>
      <c r="E1749" s="1" t="str">
        <f>TEXT(FMData[[#This Row],[Show_Date]],"ddd")</f>
        <v>Sun</v>
      </c>
      <c r="F1749" t="s">
        <v>20</v>
      </c>
      <c r="G1749" t="s">
        <v>30</v>
      </c>
      <c r="H1749">
        <v>1</v>
      </c>
      <c r="I1749">
        <v>8</v>
      </c>
      <c r="J1749" t="s">
        <v>13</v>
      </c>
      <c r="K1749" t="s">
        <v>18</v>
      </c>
      <c r="L1749">
        <v>8</v>
      </c>
    </row>
    <row r="1750" spans="1:12" x14ac:dyDescent="0.3">
      <c r="A1750">
        <v>1895</v>
      </c>
      <c r="B1750" t="s">
        <v>24</v>
      </c>
      <c r="C1750" s="1">
        <v>45882</v>
      </c>
      <c r="D1750" s="1" t="str">
        <f>TEXT(FMData[[#This Row],[Show_Date]],"mmm")</f>
        <v>Aug</v>
      </c>
      <c r="E1750" s="1" t="str">
        <f>TEXT(FMData[[#This Row],[Show_Date]],"ddd")</f>
        <v>Wed</v>
      </c>
      <c r="F1750" t="s">
        <v>16</v>
      </c>
      <c r="G1750" t="s">
        <v>30</v>
      </c>
      <c r="H1750">
        <v>1</v>
      </c>
      <c r="I1750">
        <v>8</v>
      </c>
      <c r="J1750" t="s">
        <v>13</v>
      </c>
      <c r="K1750" t="s">
        <v>27</v>
      </c>
      <c r="L1750">
        <v>8</v>
      </c>
    </row>
    <row r="1751" spans="1:12" x14ac:dyDescent="0.3">
      <c r="A1751">
        <v>1216</v>
      </c>
      <c r="B1751" t="s">
        <v>24</v>
      </c>
      <c r="C1751" s="1">
        <v>45907</v>
      </c>
      <c r="D1751" s="1" t="str">
        <f>TEXT(FMData[[#This Row],[Show_Date]],"mmm")</f>
        <v>Sep</v>
      </c>
      <c r="E1751" s="1" t="str">
        <f>TEXT(FMData[[#This Row],[Show_Date]],"ddd")</f>
        <v>Sun</v>
      </c>
      <c r="F1751" t="s">
        <v>16</v>
      </c>
      <c r="G1751" t="s">
        <v>17</v>
      </c>
      <c r="H1751">
        <v>2</v>
      </c>
      <c r="I1751">
        <v>12</v>
      </c>
      <c r="J1751" t="s">
        <v>21</v>
      </c>
      <c r="K1751" t="s">
        <v>25</v>
      </c>
      <c r="L1751">
        <v>24</v>
      </c>
    </row>
    <row r="1752" spans="1:12" x14ac:dyDescent="0.3">
      <c r="A1752">
        <v>449</v>
      </c>
      <c r="B1752" t="s">
        <v>28</v>
      </c>
      <c r="C1752" s="1">
        <v>45908</v>
      </c>
      <c r="D1752" s="1" t="str">
        <f>TEXT(FMData[[#This Row],[Show_Date]],"mmm")</f>
        <v>Sep</v>
      </c>
      <c r="E1752" s="1" t="str">
        <f>TEXT(FMData[[#This Row],[Show_Date]],"ddd")</f>
        <v>Mon</v>
      </c>
      <c r="F1752" t="s">
        <v>16</v>
      </c>
      <c r="G1752" t="s">
        <v>17</v>
      </c>
      <c r="H1752">
        <v>1</v>
      </c>
      <c r="I1752">
        <v>12</v>
      </c>
      <c r="J1752" t="s">
        <v>21</v>
      </c>
      <c r="K1752" t="s">
        <v>18</v>
      </c>
      <c r="L1752">
        <v>12</v>
      </c>
    </row>
    <row r="1753" spans="1:12" x14ac:dyDescent="0.3">
      <c r="A1753">
        <v>1681</v>
      </c>
      <c r="B1753" t="s">
        <v>31</v>
      </c>
      <c r="C1753" s="1">
        <v>45879</v>
      </c>
      <c r="D1753" s="1" t="str">
        <f>TEXT(FMData[[#This Row],[Show_Date]],"mmm")</f>
        <v>Aug</v>
      </c>
      <c r="E1753" s="1" t="str">
        <f>TEXT(FMData[[#This Row],[Show_Date]],"ddd")</f>
        <v>Sun</v>
      </c>
      <c r="F1753" t="s">
        <v>33</v>
      </c>
      <c r="G1753" t="s">
        <v>30</v>
      </c>
      <c r="H1753">
        <v>3</v>
      </c>
      <c r="I1753">
        <v>8</v>
      </c>
      <c r="J1753" t="s">
        <v>21</v>
      </c>
      <c r="K1753" t="s">
        <v>18</v>
      </c>
      <c r="L1753">
        <v>24</v>
      </c>
    </row>
    <row r="1754" spans="1:12" x14ac:dyDescent="0.3">
      <c r="A1754">
        <v>1287</v>
      </c>
      <c r="B1754" t="s">
        <v>26</v>
      </c>
      <c r="C1754" s="1">
        <v>45868</v>
      </c>
      <c r="D1754" s="1" t="str">
        <f>TEXT(FMData[[#This Row],[Show_Date]],"mmm")</f>
        <v>Jul</v>
      </c>
      <c r="E1754" s="1" t="str">
        <f>TEXT(FMData[[#This Row],[Show_Date]],"ddd")</f>
        <v>Wed</v>
      </c>
      <c r="F1754" t="s">
        <v>20</v>
      </c>
      <c r="G1754" t="s">
        <v>17</v>
      </c>
      <c r="H1754">
        <v>5</v>
      </c>
      <c r="I1754">
        <v>12</v>
      </c>
      <c r="J1754" t="s">
        <v>13</v>
      </c>
      <c r="K1754" t="s">
        <v>27</v>
      </c>
      <c r="L1754">
        <v>60</v>
      </c>
    </row>
    <row r="1755" spans="1:12" x14ac:dyDescent="0.3">
      <c r="A1755">
        <v>12</v>
      </c>
      <c r="B1755" t="s">
        <v>28</v>
      </c>
      <c r="C1755" s="1">
        <v>45926</v>
      </c>
      <c r="D1755" s="1" t="str">
        <f>TEXT(FMData[[#This Row],[Show_Date]],"mmm")</f>
        <v>Sep</v>
      </c>
      <c r="E1755" s="1" t="str">
        <f>TEXT(FMData[[#This Row],[Show_Date]],"ddd")</f>
        <v>Fri</v>
      </c>
      <c r="F1755" t="s">
        <v>33</v>
      </c>
      <c r="G1755" t="s">
        <v>17</v>
      </c>
      <c r="H1755">
        <v>5</v>
      </c>
      <c r="I1755">
        <v>12</v>
      </c>
      <c r="J1755" t="s">
        <v>23</v>
      </c>
      <c r="K1755" t="s">
        <v>14</v>
      </c>
      <c r="L1755">
        <v>60</v>
      </c>
    </row>
    <row r="1756" spans="1:12" x14ac:dyDescent="0.3">
      <c r="A1756">
        <v>1806</v>
      </c>
      <c r="B1756" t="s">
        <v>32</v>
      </c>
      <c r="C1756" s="1">
        <v>45918</v>
      </c>
      <c r="D1756" s="1" t="str">
        <f>TEXT(FMData[[#This Row],[Show_Date]],"mmm")</f>
        <v>Sep</v>
      </c>
      <c r="E1756" s="1" t="str">
        <f>TEXT(FMData[[#This Row],[Show_Date]],"ddd")</f>
        <v>Thu</v>
      </c>
      <c r="F1756" t="s">
        <v>20</v>
      </c>
      <c r="G1756" t="s">
        <v>29</v>
      </c>
      <c r="H1756">
        <v>3</v>
      </c>
      <c r="I1756">
        <v>30</v>
      </c>
      <c r="J1756" t="s">
        <v>23</v>
      </c>
      <c r="K1756" t="s">
        <v>27</v>
      </c>
      <c r="L1756">
        <v>90</v>
      </c>
    </row>
    <row r="1757" spans="1:12" x14ac:dyDescent="0.3">
      <c r="A1757">
        <v>1546</v>
      </c>
      <c r="B1757" t="s">
        <v>31</v>
      </c>
      <c r="C1757" s="1">
        <v>45897</v>
      </c>
      <c r="D1757" s="1" t="str">
        <f>TEXT(FMData[[#This Row],[Show_Date]],"mmm")</f>
        <v>Aug</v>
      </c>
      <c r="E1757" s="1" t="str">
        <f>TEXT(FMData[[#This Row],[Show_Date]],"ddd")</f>
        <v>Thu</v>
      </c>
      <c r="F1757" t="s">
        <v>33</v>
      </c>
      <c r="G1757" t="s">
        <v>17</v>
      </c>
      <c r="H1757">
        <v>4</v>
      </c>
      <c r="I1757">
        <v>12</v>
      </c>
      <c r="J1757" t="s">
        <v>13</v>
      </c>
      <c r="K1757" t="s">
        <v>14</v>
      </c>
      <c r="L1757">
        <v>48</v>
      </c>
    </row>
    <row r="1758" spans="1:12" x14ac:dyDescent="0.3">
      <c r="A1758">
        <v>879</v>
      </c>
      <c r="B1758" t="s">
        <v>15</v>
      </c>
      <c r="C1758" s="1">
        <v>45928</v>
      </c>
      <c r="D1758" s="1" t="str">
        <f>TEXT(FMData[[#This Row],[Show_Date]],"mmm")</f>
        <v>Sep</v>
      </c>
      <c r="E1758" s="1" t="str">
        <f>TEXT(FMData[[#This Row],[Show_Date]],"ddd")</f>
        <v>Sun</v>
      </c>
      <c r="F1758" t="s">
        <v>11</v>
      </c>
      <c r="G1758" t="s">
        <v>12</v>
      </c>
      <c r="H1758">
        <v>5</v>
      </c>
      <c r="I1758">
        <v>25</v>
      </c>
      <c r="J1758" t="s">
        <v>13</v>
      </c>
      <c r="K1758" t="s">
        <v>25</v>
      </c>
      <c r="L1758">
        <v>125</v>
      </c>
    </row>
    <row r="1759" spans="1:12" x14ac:dyDescent="0.3">
      <c r="A1759">
        <v>856</v>
      </c>
      <c r="B1759" t="s">
        <v>15</v>
      </c>
      <c r="C1759" s="1">
        <v>45850</v>
      </c>
      <c r="D1759" s="1" t="str">
        <f>TEXT(FMData[[#This Row],[Show_Date]],"mmm")</f>
        <v>Jul</v>
      </c>
      <c r="E1759" s="1" t="str">
        <f>TEXT(FMData[[#This Row],[Show_Date]],"ddd")</f>
        <v>Sat</v>
      </c>
      <c r="F1759" t="s">
        <v>33</v>
      </c>
      <c r="G1759" t="s">
        <v>12</v>
      </c>
      <c r="H1759">
        <v>1</v>
      </c>
      <c r="I1759">
        <v>25</v>
      </c>
      <c r="J1759" t="s">
        <v>21</v>
      </c>
      <c r="K1759" t="s">
        <v>14</v>
      </c>
      <c r="L1759">
        <v>25</v>
      </c>
    </row>
    <row r="1760" spans="1:12" x14ac:dyDescent="0.3">
      <c r="A1760">
        <v>82</v>
      </c>
      <c r="B1760" t="s">
        <v>31</v>
      </c>
      <c r="C1760" s="1">
        <v>45892</v>
      </c>
      <c r="D1760" s="1" t="str">
        <f>TEXT(FMData[[#This Row],[Show_Date]],"mmm")</f>
        <v>Aug</v>
      </c>
      <c r="E1760" s="1" t="str">
        <f>TEXT(FMData[[#This Row],[Show_Date]],"ddd")</f>
        <v>Sat</v>
      </c>
      <c r="F1760" t="s">
        <v>16</v>
      </c>
      <c r="G1760" t="s">
        <v>17</v>
      </c>
      <c r="H1760">
        <v>2</v>
      </c>
      <c r="I1760">
        <v>12</v>
      </c>
      <c r="J1760" t="s">
        <v>23</v>
      </c>
      <c r="K1760" t="s">
        <v>18</v>
      </c>
      <c r="L1760">
        <v>24</v>
      </c>
    </row>
    <row r="1761" spans="1:12" x14ac:dyDescent="0.3">
      <c r="A1761">
        <v>899</v>
      </c>
      <c r="B1761" t="s">
        <v>28</v>
      </c>
      <c r="C1761" s="1">
        <v>45886</v>
      </c>
      <c r="D1761" s="1" t="str">
        <f>TEXT(FMData[[#This Row],[Show_Date]],"mmm")</f>
        <v>Aug</v>
      </c>
      <c r="E1761" s="1" t="str">
        <f>TEXT(FMData[[#This Row],[Show_Date]],"ddd")</f>
        <v>Sun</v>
      </c>
      <c r="F1761" t="s">
        <v>20</v>
      </c>
      <c r="G1761" t="s">
        <v>17</v>
      </c>
      <c r="H1761">
        <v>5</v>
      </c>
      <c r="I1761">
        <v>12</v>
      </c>
      <c r="J1761" t="s">
        <v>21</v>
      </c>
      <c r="K1761" t="s">
        <v>14</v>
      </c>
      <c r="L1761">
        <v>60</v>
      </c>
    </row>
    <row r="1762" spans="1:12" x14ac:dyDescent="0.3">
      <c r="A1762">
        <v>1918</v>
      </c>
      <c r="B1762" t="s">
        <v>10</v>
      </c>
      <c r="C1762" s="1">
        <v>45887</v>
      </c>
      <c r="D1762" s="1" t="str">
        <f>TEXT(FMData[[#This Row],[Show_Date]],"mmm")</f>
        <v>Aug</v>
      </c>
      <c r="E1762" s="1" t="str">
        <f>TEXT(FMData[[#This Row],[Show_Date]],"ddd")</f>
        <v>Mon</v>
      </c>
      <c r="F1762" t="s">
        <v>16</v>
      </c>
      <c r="G1762" t="s">
        <v>17</v>
      </c>
      <c r="H1762">
        <v>5</v>
      </c>
      <c r="I1762">
        <v>12</v>
      </c>
      <c r="J1762" t="s">
        <v>13</v>
      </c>
      <c r="K1762" t="s">
        <v>18</v>
      </c>
      <c r="L1762">
        <v>60</v>
      </c>
    </row>
    <row r="1763" spans="1:12" x14ac:dyDescent="0.3">
      <c r="A1763">
        <v>533</v>
      </c>
      <c r="B1763" t="s">
        <v>24</v>
      </c>
      <c r="C1763" s="1">
        <v>45874</v>
      </c>
      <c r="D1763" s="1" t="str">
        <f>TEXT(FMData[[#This Row],[Show_Date]],"mmm")</f>
        <v>Aug</v>
      </c>
      <c r="E1763" s="1" t="str">
        <f>TEXT(FMData[[#This Row],[Show_Date]],"ddd")</f>
        <v>Tue</v>
      </c>
      <c r="F1763" t="s">
        <v>16</v>
      </c>
      <c r="G1763" t="s">
        <v>17</v>
      </c>
      <c r="H1763">
        <v>4</v>
      </c>
      <c r="I1763">
        <v>12</v>
      </c>
      <c r="J1763" t="s">
        <v>23</v>
      </c>
      <c r="K1763" t="s">
        <v>25</v>
      </c>
      <c r="L1763">
        <v>48</v>
      </c>
    </row>
    <row r="1764" spans="1:12" x14ac:dyDescent="0.3">
      <c r="A1764">
        <v>959</v>
      </c>
      <c r="B1764" t="s">
        <v>26</v>
      </c>
      <c r="C1764" s="1">
        <v>45892</v>
      </c>
      <c r="D1764" s="1" t="str">
        <f>TEXT(FMData[[#This Row],[Show_Date]],"mmm")</f>
        <v>Aug</v>
      </c>
      <c r="E1764" s="1" t="str">
        <f>TEXT(FMData[[#This Row],[Show_Date]],"ddd")</f>
        <v>Sat</v>
      </c>
      <c r="F1764" t="s">
        <v>11</v>
      </c>
      <c r="G1764" t="s">
        <v>17</v>
      </c>
      <c r="H1764">
        <v>1</v>
      </c>
      <c r="I1764">
        <v>12</v>
      </c>
      <c r="J1764" t="s">
        <v>21</v>
      </c>
      <c r="K1764" t="s">
        <v>18</v>
      </c>
      <c r="L1764">
        <v>12</v>
      </c>
    </row>
    <row r="1765" spans="1:12" x14ac:dyDescent="0.3">
      <c r="A1765">
        <v>473</v>
      </c>
      <c r="B1765" t="s">
        <v>32</v>
      </c>
      <c r="C1765" s="1">
        <v>45843</v>
      </c>
      <c r="D1765" s="1" t="str">
        <f>TEXT(FMData[[#This Row],[Show_Date]],"mmm")</f>
        <v>Jul</v>
      </c>
      <c r="E1765" s="1" t="str">
        <f>TEXT(FMData[[#This Row],[Show_Date]],"ddd")</f>
        <v>Sat</v>
      </c>
      <c r="F1765" t="s">
        <v>11</v>
      </c>
      <c r="G1765" t="s">
        <v>29</v>
      </c>
      <c r="H1765">
        <v>4</v>
      </c>
      <c r="I1765">
        <v>30</v>
      </c>
      <c r="J1765" t="s">
        <v>21</v>
      </c>
      <c r="K1765" t="s">
        <v>14</v>
      </c>
      <c r="L1765">
        <v>120</v>
      </c>
    </row>
    <row r="1766" spans="1:12" x14ac:dyDescent="0.3">
      <c r="A1766">
        <v>1245</v>
      </c>
      <c r="B1766" t="s">
        <v>28</v>
      </c>
      <c r="C1766" s="1">
        <v>45890</v>
      </c>
      <c r="D1766" s="1" t="str">
        <f>TEXT(FMData[[#This Row],[Show_Date]],"mmm")</f>
        <v>Aug</v>
      </c>
      <c r="E1766" s="1" t="str">
        <f>TEXT(FMData[[#This Row],[Show_Date]],"ddd")</f>
        <v>Thu</v>
      </c>
      <c r="F1766" t="s">
        <v>16</v>
      </c>
      <c r="G1766" t="s">
        <v>30</v>
      </c>
      <c r="H1766">
        <v>3</v>
      </c>
      <c r="I1766">
        <v>8</v>
      </c>
      <c r="J1766" t="s">
        <v>13</v>
      </c>
      <c r="K1766" t="s">
        <v>14</v>
      </c>
      <c r="L1766">
        <v>24</v>
      </c>
    </row>
    <row r="1767" spans="1:12" x14ac:dyDescent="0.3">
      <c r="A1767">
        <v>1514</v>
      </c>
      <c r="B1767" t="s">
        <v>24</v>
      </c>
      <c r="C1767" s="1">
        <v>45878</v>
      </c>
      <c r="D1767" s="1" t="str">
        <f>TEXT(FMData[[#This Row],[Show_Date]],"mmm")</f>
        <v>Aug</v>
      </c>
      <c r="E1767" s="1" t="str">
        <f>TEXT(FMData[[#This Row],[Show_Date]],"ddd")</f>
        <v>Sat</v>
      </c>
      <c r="F1767" t="s">
        <v>16</v>
      </c>
      <c r="G1767" t="s">
        <v>22</v>
      </c>
      <c r="H1767">
        <v>5</v>
      </c>
      <c r="I1767">
        <v>20</v>
      </c>
      <c r="J1767" t="s">
        <v>21</v>
      </c>
      <c r="K1767" t="s">
        <v>14</v>
      </c>
      <c r="L1767">
        <v>100</v>
      </c>
    </row>
    <row r="1768" spans="1:12" x14ac:dyDescent="0.3">
      <c r="A1768">
        <v>243</v>
      </c>
      <c r="B1768" t="s">
        <v>31</v>
      </c>
      <c r="C1768" s="1">
        <v>45890</v>
      </c>
      <c r="D1768" s="1" t="str">
        <f>TEXT(FMData[[#This Row],[Show_Date]],"mmm")</f>
        <v>Aug</v>
      </c>
      <c r="E1768" s="1" t="str">
        <f>TEXT(FMData[[#This Row],[Show_Date]],"ddd")</f>
        <v>Thu</v>
      </c>
      <c r="F1768" t="s">
        <v>33</v>
      </c>
      <c r="G1768" t="s">
        <v>12</v>
      </c>
      <c r="H1768">
        <v>4</v>
      </c>
      <c r="I1768">
        <v>25</v>
      </c>
      <c r="J1768" t="s">
        <v>13</v>
      </c>
      <c r="K1768" t="s">
        <v>27</v>
      </c>
      <c r="L1768">
        <v>100</v>
      </c>
    </row>
    <row r="1769" spans="1:12" x14ac:dyDescent="0.3">
      <c r="A1769">
        <v>466</v>
      </c>
      <c r="B1769" t="s">
        <v>28</v>
      </c>
      <c r="C1769" s="1">
        <v>45886</v>
      </c>
      <c r="D1769" s="1" t="str">
        <f>TEXT(FMData[[#This Row],[Show_Date]],"mmm")</f>
        <v>Aug</v>
      </c>
      <c r="E1769" s="1" t="str">
        <f>TEXT(FMData[[#This Row],[Show_Date]],"ddd")</f>
        <v>Sun</v>
      </c>
      <c r="F1769" t="s">
        <v>11</v>
      </c>
      <c r="G1769" t="s">
        <v>17</v>
      </c>
      <c r="H1769">
        <v>3</v>
      </c>
      <c r="I1769">
        <v>12</v>
      </c>
      <c r="J1769" t="s">
        <v>23</v>
      </c>
      <c r="K1769" t="s">
        <v>25</v>
      </c>
      <c r="L1769">
        <v>36</v>
      </c>
    </row>
    <row r="1770" spans="1:12" x14ac:dyDescent="0.3">
      <c r="A1770">
        <v>838</v>
      </c>
      <c r="B1770" t="s">
        <v>15</v>
      </c>
      <c r="C1770" s="1">
        <v>45910</v>
      </c>
      <c r="D1770" s="1" t="str">
        <f>TEXT(FMData[[#This Row],[Show_Date]],"mmm")</f>
        <v>Sep</v>
      </c>
      <c r="E1770" s="1" t="str">
        <f>TEXT(FMData[[#This Row],[Show_Date]],"ddd")</f>
        <v>Wed</v>
      </c>
      <c r="F1770" t="s">
        <v>33</v>
      </c>
      <c r="G1770" t="s">
        <v>17</v>
      </c>
      <c r="H1770">
        <v>4</v>
      </c>
      <c r="I1770">
        <v>12</v>
      </c>
      <c r="J1770" t="s">
        <v>13</v>
      </c>
      <c r="K1770" t="s">
        <v>18</v>
      </c>
      <c r="L1770">
        <v>48</v>
      </c>
    </row>
    <row r="1771" spans="1:12" x14ac:dyDescent="0.3">
      <c r="A1771">
        <v>1095</v>
      </c>
      <c r="B1771" t="s">
        <v>26</v>
      </c>
      <c r="C1771" s="1">
        <v>45893</v>
      </c>
      <c r="D1771" s="1" t="str">
        <f>TEXT(FMData[[#This Row],[Show_Date]],"mmm")</f>
        <v>Aug</v>
      </c>
      <c r="E1771" s="1" t="str">
        <f>TEXT(FMData[[#This Row],[Show_Date]],"ddd")</f>
        <v>Sun</v>
      </c>
      <c r="F1771" t="s">
        <v>33</v>
      </c>
      <c r="G1771" t="s">
        <v>17</v>
      </c>
      <c r="H1771">
        <v>2</v>
      </c>
      <c r="I1771">
        <v>12</v>
      </c>
      <c r="J1771" t="s">
        <v>13</v>
      </c>
      <c r="K1771" t="s">
        <v>18</v>
      </c>
      <c r="L1771">
        <v>24</v>
      </c>
    </row>
    <row r="1772" spans="1:12" x14ac:dyDescent="0.3">
      <c r="A1772">
        <v>1480</v>
      </c>
      <c r="B1772" t="s">
        <v>19</v>
      </c>
      <c r="C1772" s="1">
        <v>45851</v>
      </c>
      <c r="D1772" s="1" t="str">
        <f>TEXT(FMData[[#This Row],[Show_Date]],"mmm")</f>
        <v>Jul</v>
      </c>
      <c r="E1772" s="1" t="str">
        <f>TEXT(FMData[[#This Row],[Show_Date]],"ddd")</f>
        <v>Sun</v>
      </c>
      <c r="F1772" t="s">
        <v>20</v>
      </c>
      <c r="G1772" t="s">
        <v>17</v>
      </c>
      <c r="H1772">
        <v>2</v>
      </c>
      <c r="I1772">
        <v>12</v>
      </c>
      <c r="J1772" t="s">
        <v>23</v>
      </c>
      <c r="K1772" t="s">
        <v>27</v>
      </c>
      <c r="L1772">
        <v>24</v>
      </c>
    </row>
    <row r="1773" spans="1:12" x14ac:dyDescent="0.3">
      <c r="A1773">
        <v>125</v>
      </c>
      <c r="B1773" t="s">
        <v>15</v>
      </c>
      <c r="C1773" s="1">
        <v>45919</v>
      </c>
      <c r="D1773" s="1" t="str">
        <f>TEXT(FMData[[#This Row],[Show_Date]],"mmm")</f>
        <v>Sep</v>
      </c>
      <c r="E1773" s="1" t="str">
        <f>TEXT(FMData[[#This Row],[Show_Date]],"ddd")</f>
        <v>Fri</v>
      </c>
      <c r="F1773" t="s">
        <v>20</v>
      </c>
      <c r="G1773" t="s">
        <v>29</v>
      </c>
      <c r="H1773">
        <v>4</v>
      </c>
      <c r="I1773">
        <v>30</v>
      </c>
      <c r="J1773" t="s">
        <v>21</v>
      </c>
      <c r="K1773" t="s">
        <v>14</v>
      </c>
      <c r="L1773">
        <v>120</v>
      </c>
    </row>
    <row r="1774" spans="1:12" x14ac:dyDescent="0.3">
      <c r="A1774">
        <v>1843</v>
      </c>
      <c r="B1774" t="s">
        <v>19</v>
      </c>
      <c r="C1774" s="1">
        <v>45839</v>
      </c>
      <c r="D1774" s="1" t="str">
        <f>TEXT(FMData[[#This Row],[Show_Date]],"mmm")</f>
        <v>Jul</v>
      </c>
      <c r="E1774" s="1" t="str">
        <f>TEXT(FMData[[#This Row],[Show_Date]],"ddd")</f>
        <v>Tue</v>
      </c>
      <c r="F1774" t="s">
        <v>33</v>
      </c>
      <c r="G1774" t="s">
        <v>17</v>
      </c>
      <c r="H1774">
        <v>1</v>
      </c>
      <c r="I1774">
        <v>12</v>
      </c>
      <c r="J1774" t="s">
        <v>13</v>
      </c>
      <c r="K1774" t="s">
        <v>25</v>
      </c>
      <c r="L1774">
        <v>12</v>
      </c>
    </row>
    <row r="1775" spans="1:12" x14ac:dyDescent="0.3">
      <c r="A1775">
        <v>852</v>
      </c>
      <c r="B1775" t="s">
        <v>26</v>
      </c>
      <c r="C1775" s="1">
        <v>45902</v>
      </c>
      <c r="D1775" s="1" t="str">
        <f>TEXT(FMData[[#This Row],[Show_Date]],"mmm")</f>
        <v>Sep</v>
      </c>
      <c r="E1775" s="1" t="str">
        <f>TEXT(FMData[[#This Row],[Show_Date]],"ddd")</f>
        <v>Tue</v>
      </c>
      <c r="F1775" t="s">
        <v>11</v>
      </c>
      <c r="G1775" t="s">
        <v>17</v>
      </c>
      <c r="H1775">
        <v>1</v>
      </c>
      <c r="I1775">
        <v>12</v>
      </c>
      <c r="J1775" t="s">
        <v>21</v>
      </c>
      <c r="K1775" t="s">
        <v>14</v>
      </c>
      <c r="L1775">
        <v>12</v>
      </c>
    </row>
    <row r="1776" spans="1:12" x14ac:dyDescent="0.3">
      <c r="A1776">
        <v>869</v>
      </c>
      <c r="B1776" t="s">
        <v>28</v>
      </c>
      <c r="C1776" s="1">
        <v>45851</v>
      </c>
      <c r="D1776" s="1" t="str">
        <f>TEXT(FMData[[#This Row],[Show_Date]],"mmm")</f>
        <v>Jul</v>
      </c>
      <c r="E1776" s="1" t="str">
        <f>TEXT(FMData[[#This Row],[Show_Date]],"ddd")</f>
        <v>Sun</v>
      </c>
      <c r="F1776" t="s">
        <v>16</v>
      </c>
      <c r="G1776" t="s">
        <v>17</v>
      </c>
      <c r="H1776">
        <v>2</v>
      </c>
      <c r="I1776">
        <v>12</v>
      </c>
      <c r="J1776" t="s">
        <v>13</v>
      </c>
      <c r="K1776" t="s">
        <v>25</v>
      </c>
      <c r="L1776">
        <v>24</v>
      </c>
    </row>
    <row r="1777" spans="1:12" x14ac:dyDescent="0.3">
      <c r="A1777">
        <v>162</v>
      </c>
      <c r="B1777" t="s">
        <v>24</v>
      </c>
      <c r="C1777" s="1">
        <v>45864</v>
      </c>
      <c r="D1777" s="1" t="str">
        <f>TEXT(FMData[[#This Row],[Show_Date]],"mmm")</f>
        <v>Jul</v>
      </c>
      <c r="E1777" s="1" t="str">
        <f>TEXT(FMData[[#This Row],[Show_Date]],"ddd")</f>
        <v>Sat</v>
      </c>
      <c r="F1777" t="s">
        <v>33</v>
      </c>
      <c r="G1777" t="s">
        <v>12</v>
      </c>
      <c r="H1777">
        <v>1</v>
      </c>
      <c r="I1777">
        <v>25</v>
      </c>
      <c r="J1777" t="s">
        <v>13</v>
      </c>
      <c r="K1777" t="s">
        <v>25</v>
      </c>
      <c r="L1777">
        <v>25</v>
      </c>
    </row>
    <row r="1778" spans="1:12" x14ac:dyDescent="0.3">
      <c r="A1778">
        <v>308</v>
      </c>
      <c r="B1778" t="s">
        <v>26</v>
      </c>
      <c r="C1778" s="1">
        <v>45889</v>
      </c>
      <c r="D1778" s="1" t="str">
        <f>TEXT(FMData[[#This Row],[Show_Date]],"mmm")</f>
        <v>Aug</v>
      </c>
      <c r="E1778" s="1" t="str">
        <f>TEXT(FMData[[#This Row],[Show_Date]],"ddd")</f>
        <v>Wed</v>
      </c>
      <c r="F1778" t="s">
        <v>16</v>
      </c>
      <c r="G1778" t="s">
        <v>12</v>
      </c>
      <c r="H1778">
        <v>1</v>
      </c>
      <c r="I1778">
        <v>25</v>
      </c>
      <c r="J1778" t="s">
        <v>21</v>
      </c>
      <c r="K1778" t="s">
        <v>18</v>
      </c>
      <c r="L1778">
        <v>25</v>
      </c>
    </row>
    <row r="1779" spans="1:12" x14ac:dyDescent="0.3">
      <c r="A1779">
        <v>1385</v>
      </c>
      <c r="B1779" t="s">
        <v>24</v>
      </c>
      <c r="C1779" s="1">
        <v>45915</v>
      </c>
      <c r="D1779" s="1" t="str">
        <f>TEXT(FMData[[#This Row],[Show_Date]],"mmm")</f>
        <v>Sep</v>
      </c>
      <c r="E1779" s="1" t="str">
        <f>TEXT(FMData[[#This Row],[Show_Date]],"ddd")</f>
        <v>Mon</v>
      </c>
      <c r="F1779" t="s">
        <v>33</v>
      </c>
      <c r="G1779" t="s">
        <v>17</v>
      </c>
      <c r="H1779">
        <v>2</v>
      </c>
      <c r="I1779">
        <v>12</v>
      </c>
      <c r="J1779" t="s">
        <v>13</v>
      </c>
      <c r="K1779" t="s">
        <v>18</v>
      </c>
      <c r="L1779">
        <v>24</v>
      </c>
    </row>
    <row r="1780" spans="1:12" x14ac:dyDescent="0.3">
      <c r="A1780">
        <v>1937</v>
      </c>
      <c r="B1780" t="s">
        <v>32</v>
      </c>
      <c r="C1780" s="1">
        <v>45913</v>
      </c>
      <c r="D1780" s="1" t="str">
        <f>TEXT(FMData[[#This Row],[Show_Date]],"mmm")</f>
        <v>Sep</v>
      </c>
      <c r="E1780" s="1" t="str">
        <f>TEXT(FMData[[#This Row],[Show_Date]],"ddd")</f>
        <v>Sat</v>
      </c>
      <c r="F1780" t="s">
        <v>20</v>
      </c>
      <c r="G1780" t="s">
        <v>17</v>
      </c>
      <c r="H1780">
        <v>5</v>
      </c>
      <c r="I1780">
        <v>12</v>
      </c>
      <c r="J1780" t="s">
        <v>23</v>
      </c>
      <c r="K1780" t="s">
        <v>14</v>
      </c>
      <c r="L1780">
        <v>60</v>
      </c>
    </row>
    <row r="1781" spans="1:12" x14ac:dyDescent="0.3">
      <c r="A1781">
        <v>1917</v>
      </c>
      <c r="B1781" t="s">
        <v>31</v>
      </c>
      <c r="C1781" s="1">
        <v>45843</v>
      </c>
      <c r="D1781" s="1" t="str">
        <f>TEXT(FMData[[#This Row],[Show_Date]],"mmm")</f>
        <v>Jul</v>
      </c>
      <c r="E1781" s="1" t="str">
        <f>TEXT(FMData[[#This Row],[Show_Date]],"ddd")</f>
        <v>Sat</v>
      </c>
      <c r="F1781" t="s">
        <v>16</v>
      </c>
      <c r="G1781" t="s">
        <v>30</v>
      </c>
      <c r="H1781">
        <v>2</v>
      </c>
      <c r="I1781">
        <v>8</v>
      </c>
      <c r="J1781" t="s">
        <v>23</v>
      </c>
      <c r="K1781" t="s">
        <v>14</v>
      </c>
      <c r="L1781">
        <v>16</v>
      </c>
    </row>
    <row r="1782" spans="1:12" x14ac:dyDescent="0.3">
      <c r="A1782">
        <v>148</v>
      </c>
      <c r="B1782" t="s">
        <v>32</v>
      </c>
      <c r="C1782" s="1">
        <v>45927</v>
      </c>
      <c r="D1782" s="1" t="str">
        <f>TEXT(FMData[[#This Row],[Show_Date]],"mmm")</f>
        <v>Sep</v>
      </c>
      <c r="E1782" s="1" t="str">
        <f>TEXT(FMData[[#This Row],[Show_Date]],"ddd")</f>
        <v>Sat</v>
      </c>
      <c r="F1782" t="s">
        <v>33</v>
      </c>
      <c r="G1782" t="s">
        <v>17</v>
      </c>
      <c r="H1782">
        <v>4</v>
      </c>
      <c r="I1782">
        <v>12</v>
      </c>
      <c r="J1782" t="s">
        <v>21</v>
      </c>
      <c r="K1782" t="s">
        <v>14</v>
      </c>
      <c r="L1782">
        <v>48</v>
      </c>
    </row>
    <row r="1783" spans="1:12" x14ac:dyDescent="0.3">
      <c r="A1783">
        <v>1967</v>
      </c>
      <c r="B1783" t="s">
        <v>24</v>
      </c>
      <c r="C1783" s="1">
        <v>45921</v>
      </c>
      <c r="D1783" s="1" t="str">
        <f>TEXT(FMData[[#This Row],[Show_Date]],"mmm")</f>
        <v>Sep</v>
      </c>
      <c r="E1783" s="1" t="str">
        <f>TEXT(FMData[[#This Row],[Show_Date]],"ddd")</f>
        <v>Sun</v>
      </c>
      <c r="F1783" t="s">
        <v>33</v>
      </c>
      <c r="G1783" t="s">
        <v>17</v>
      </c>
      <c r="H1783">
        <v>3</v>
      </c>
      <c r="I1783">
        <v>12</v>
      </c>
      <c r="J1783" t="s">
        <v>21</v>
      </c>
      <c r="K1783" t="s">
        <v>14</v>
      </c>
      <c r="L1783">
        <v>36</v>
      </c>
    </row>
    <row r="1784" spans="1:12" x14ac:dyDescent="0.3">
      <c r="A1784">
        <v>1667</v>
      </c>
      <c r="B1784" t="s">
        <v>19</v>
      </c>
      <c r="C1784" s="1">
        <v>45871</v>
      </c>
      <c r="D1784" s="1" t="str">
        <f>TEXT(FMData[[#This Row],[Show_Date]],"mmm")</f>
        <v>Aug</v>
      </c>
      <c r="E1784" s="1" t="str">
        <f>TEXT(FMData[[#This Row],[Show_Date]],"ddd")</f>
        <v>Sat</v>
      </c>
      <c r="F1784" t="s">
        <v>11</v>
      </c>
      <c r="G1784" t="s">
        <v>22</v>
      </c>
      <c r="H1784">
        <v>4</v>
      </c>
      <c r="I1784">
        <v>20</v>
      </c>
      <c r="J1784" t="s">
        <v>21</v>
      </c>
      <c r="K1784" t="s">
        <v>27</v>
      </c>
      <c r="L1784">
        <v>80</v>
      </c>
    </row>
    <row r="1785" spans="1:12" x14ac:dyDescent="0.3">
      <c r="A1785">
        <v>791</v>
      </c>
      <c r="B1785" t="s">
        <v>10</v>
      </c>
      <c r="C1785" s="1">
        <v>45846</v>
      </c>
      <c r="D1785" s="1" t="str">
        <f>TEXT(FMData[[#This Row],[Show_Date]],"mmm")</f>
        <v>Jul</v>
      </c>
      <c r="E1785" s="1" t="str">
        <f>TEXT(FMData[[#This Row],[Show_Date]],"ddd")</f>
        <v>Tue</v>
      </c>
      <c r="F1785" t="s">
        <v>20</v>
      </c>
      <c r="G1785" t="s">
        <v>30</v>
      </c>
      <c r="H1785">
        <v>1</v>
      </c>
      <c r="I1785">
        <v>8</v>
      </c>
      <c r="J1785" t="s">
        <v>13</v>
      </c>
      <c r="K1785" t="s">
        <v>14</v>
      </c>
      <c r="L1785">
        <v>8</v>
      </c>
    </row>
    <row r="1786" spans="1:12" x14ac:dyDescent="0.3">
      <c r="A1786">
        <v>714</v>
      </c>
      <c r="B1786" t="s">
        <v>31</v>
      </c>
      <c r="C1786" s="1">
        <v>45912</v>
      </c>
      <c r="D1786" s="1" t="str">
        <f>TEXT(FMData[[#This Row],[Show_Date]],"mmm")</f>
        <v>Sep</v>
      </c>
      <c r="E1786" s="1" t="str">
        <f>TEXT(FMData[[#This Row],[Show_Date]],"ddd")</f>
        <v>Fri</v>
      </c>
      <c r="F1786" t="s">
        <v>16</v>
      </c>
      <c r="G1786" t="s">
        <v>17</v>
      </c>
      <c r="H1786">
        <v>2</v>
      </c>
      <c r="I1786">
        <v>12</v>
      </c>
      <c r="J1786" t="s">
        <v>21</v>
      </c>
      <c r="K1786" t="s">
        <v>18</v>
      </c>
      <c r="L1786">
        <v>24</v>
      </c>
    </row>
    <row r="1787" spans="1:12" x14ac:dyDescent="0.3">
      <c r="A1787">
        <v>1258</v>
      </c>
      <c r="B1787" t="s">
        <v>32</v>
      </c>
      <c r="C1787" s="1">
        <v>45911</v>
      </c>
      <c r="D1787" s="1" t="str">
        <f>TEXT(FMData[[#This Row],[Show_Date]],"mmm")</f>
        <v>Sep</v>
      </c>
      <c r="E1787" s="1" t="str">
        <f>TEXT(FMData[[#This Row],[Show_Date]],"ddd")</f>
        <v>Thu</v>
      </c>
      <c r="F1787" t="s">
        <v>20</v>
      </c>
      <c r="G1787" t="s">
        <v>17</v>
      </c>
      <c r="H1787">
        <v>5</v>
      </c>
      <c r="I1787">
        <v>12</v>
      </c>
      <c r="J1787" t="s">
        <v>13</v>
      </c>
      <c r="K1787" t="s">
        <v>27</v>
      </c>
      <c r="L1787">
        <v>60</v>
      </c>
    </row>
    <row r="1788" spans="1:12" x14ac:dyDescent="0.3">
      <c r="A1788">
        <v>1045</v>
      </c>
      <c r="B1788" t="s">
        <v>10</v>
      </c>
      <c r="C1788" s="1">
        <v>45881</v>
      </c>
      <c r="D1788" s="1" t="str">
        <f>TEXT(FMData[[#This Row],[Show_Date]],"mmm")</f>
        <v>Aug</v>
      </c>
      <c r="E1788" s="1" t="str">
        <f>TEXT(FMData[[#This Row],[Show_Date]],"ddd")</f>
        <v>Tue</v>
      </c>
      <c r="F1788" t="s">
        <v>20</v>
      </c>
      <c r="G1788" t="s">
        <v>30</v>
      </c>
      <c r="H1788">
        <v>2</v>
      </c>
      <c r="I1788">
        <v>8</v>
      </c>
      <c r="J1788" t="s">
        <v>21</v>
      </c>
      <c r="K1788" t="s">
        <v>18</v>
      </c>
      <c r="L1788">
        <v>16</v>
      </c>
    </row>
    <row r="1789" spans="1:12" x14ac:dyDescent="0.3">
      <c r="A1789">
        <v>492</v>
      </c>
      <c r="B1789" t="s">
        <v>15</v>
      </c>
      <c r="C1789" s="1">
        <v>45844</v>
      </c>
      <c r="D1789" s="1" t="str">
        <f>TEXT(FMData[[#This Row],[Show_Date]],"mmm")</f>
        <v>Jul</v>
      </c>
      <c r="E1789" s="1" t="str">
        <f>TEXT(FMData[[#This Row],[Show_Date]],"ddd")</f>
        <v>Sun</v>
      </c>
      <c r="F1789" t="s">
        <v>33</v>
      </c>
      <c r="G1789" t="s">
        <v>17</v>
      </c>
      <c r="H1789">
        <v>5</v>
      </c>
      <c r="I1789">
        <v>12</v>
      </c>
      <c r="J1789" t="s">
        <v>23</v>
      </c>
      <c r="K1789" t="s">
        <v>14</v>
      </c>
      <c r="L1789">
        <v>60</v>
      </c>
    </row>
    <row r="1790" spans="1:12" x14ac:dyDescent="0.3">
      <c r="A1790">
        <v>1674</v>
      </c>
      <c r="B1790" t="s">
        <v>24</v>
      </c>
      <c r="C1790" s="1">
        <v>45859</v>
      </c>
      <c r="D1790" s="1" t="str">
        <f>TEXT(FMData[[#This Row],[Show_Date]],"mmm")</f>
        <v>Jul</v>
      </c>
      <c r="E1790" s="1" t="str">
        <f>TEXT(FMData[[#This Row],[Show_Date]],"ddd")</f>
        <v>Mon</v>
      </c>
      <c r="F1790" t="s">
        <v>20</v>
      </c>
      <c r="G1790" t="s">
        <v>17</v>
      </c>
      <c r="H1790">
        <v>5</v>
      </c>
      <c r="I1790">
        <v>12</v>
      </c>
      <c r="J1790" t="s">
        <v>21</v>
      </c>
      <c r="K1790" t="s">
        <v>18</v>
      </c>
      <c r="L1790">
        <v>60</v>
      </c>
    </row>
    <row r="1791" spans="1:12" x14ac:dyDescent="0.3">
      <c r="A1791">
        <v>1526</v>
      </c>
      <c r="B1791" t="s">
        <v>32</v>
      </c>
      <c r="C1791" s="1">
        <v>45885</v>
      </c>
      <c r="D1791" s="1" t="str">
        <f>TEXT(FMData[[#This Row],[Show_Date]],"mmm")</f>
        <v>Aug</v>
      </c>
      <c r="E1791" s="1" t="str">
        <f>TEXT(FMData[[#This Row],[Show_Date]],"ddd")</f>
        <v>Sat</v>
      </c>
      <c r="F1791" t="s">
        <v>33</v>
      </c>
      <c r="G1791" t="s">
        <v>17</v>
      </c>
      <c r="H1791">
        <v>4</v>
      </c>
      <c r="I1791">
        <v>12</v>
      </c>
      <c r="J1791" t="s">
        <v>13</v>
      </c>
      <c r="K1791" t="s">
        <v>27</v>
      </c>
      <c r="L1791">
        <v>48</v>
      </c>
    </row>
    <row r="1792" spans="1:12" x14ac:dyDescent="0.3">
      <c r="A1792">
        <v>543</v>
      </c>
      <c r="B1792" t="s">
        <v>32</v>
      </c>
      <c r="C1792" s="1">
        <v>45879</v>
      </c>
      <c r="D1792" s="1" t="str">
        <f>TEXT(FMData[[#This Row],[Show_Date]],"mmm")</f>
        <v>Aug</v>
      </c>
      <c r="E1792" s="1" t="str">
        <f>TEXT(FMData[[#This Row],[Show_Date]],"ddd")</f>
        <v>Sun</v>
      </c>
      <c r="F1792" t="s">
        <v>33</v>
      </c>
      <c r="G1792" t="s">
        <v>22</v>
      </c>
      <c r="H1792">
        <v>2</v>
      </c>
      <c r="I1792">
        <v>20</v>
      </c>
      <c r="J1792" t="s">
        <v>13</v>
      </c>
      <c r="K1792" t="s">
        <v>18</v>
      </c>
      <c r="L1792">
        <v>40</v>
      </c>
    </row>
    <row r="1793" spans="1:12" x14ac:dyDescent="0.3">
      <c r="A1793">
        <v>1943</v>
      </c>
      <c r="B1793" t="s">
        <v>10</v>
      </c>
      <c r="C1793" s="1">
        <v>45843</v>
      </c>
      <c r="D1793" s="1" t="str">
        <f>TEXT(FMData[[#This Row],[Show_Date]],"mmm")</f>
        <v>Jul</v>
      </c>
      <c r="E1793" s="1" t="str">
        <f>TEXT(FMData[[#This Row],[Show_Date]],"ddd")</f>
        <v>Sat</v>
      </c>
      <c r="F1793" t="s">
        <v>20</v>
      </c>
      <c r="G1793" t="s">
        <v>17</v>
      </c>
      <c r="H1793">
        <v>3</v>
      </c>
      <c r="I1793">
        <v>12</v>
      </c>
      <c r="J1793" t="s">
        <v>21</v>
      </c>
      <c r="K1793" t="s">
        <v>27</v>
      </c>
      <c r="L1793">
        <v>36</v>
      </c>
    </row>
    <row r="1794" spans="1:12" x14ac:dyDescent="0.3">
      <c r="A1794">
        <v>1224</v>
      </c>
      <c r="B1794" t="s">
        <v>28</v>
      </c>
      <c r="C1794" s="1">
        <v>45854</v>
      </c>
      <c r="D1794" s="1" t="str">
        <f>TEXT(FMData[[#This Row],[Show_Date]],"mmm")</f>
        <v>Jul</v>
      </c>
      <c r="E1794" s="1" t="str">
        <f>TEXT(FMData[[#This Row],[Show_Date]],"ddd")</f>
        <v>Wed</v>
      </c>
      <c r="F1794" t="s">
        <v>11</v>
      </c>
      <c r="G1794" t="s">
        <v>17</v>
      </c>
      <c r="H1794">
        <v>1</v>
      </c>
      <c r="I1794">
        <v>12</v>
      </c>
      <c r="J1794" t="s">
        <v>21</v>
      </c>
      <c r="K1794" t="s">
        <v>27</v>
      </c>
      <c r="L1794">
        <v>12</v>
      </c>
    </row>
    <row r="1795" spans="1:12" x14ac:dyDescent="0.3">
      <c r="A1795">
        <v>1996</v>
      </c>
      <c r="B1795" t="s">
        <v>24</v>
      </c>
      <c r="C1795" s="1">
        <v>45857</v>
      </c>
      <c r="D1795" s="1" t="str">
        <f>TEXT(FMData[[#This Row],[Show_Date]],"mmm")</f>
        <v>Jul</v>
      </c>
      <c r="E1795" s="1" t="str">
        <f>TEXT(FMData[[#This Row],[Show_Date]],"ddd")</f>
        <v>Sat</v>
      </c>
      <c r="F1795" t="s">
        <v>16</v>
      </c>
      <c r="G1795" t="s">
        <v>17</v>
      </c>
      <c r="H1795">
        <v>5</v>
      </c>
      <c r="I1795">
        <v>12</v>
      </c>
      <c r="J1795" t="s">
        <v>13</v>
      </c>
      <c r="K1795" t="s">
        <v>14</v>
      </c>
      <c r="L1795">
        <v>60</v>
      </c>
    </row>
    <row r="1796" spans="1:12" x14ac:dyDescent="0.3">
      <c r="A1796">
        <v>128</v>
      </c>
      <c r="B1796" t="s">
        <v>24</v>
      </c>
      <c r="C1796" s="1">
        <v>45861</v>
      </c>
      <c r="D1796" s="1" t="str">
        <f>TEXT(FMData[[#This Row],[Show_Date]],"mmm")</f>
        <v>Jul</v>
      </c>
      <c r="E1796" s="1" t="str">
        <f>TEXT(FMData[[#This Row],[Show_Date]],"ddd")</f>
        <v>Wed</v>
      </c>
      <c r="F1796" t="s">
        <v>11</v>
      </c>
      <c r="G1796" t="s">
        <v>17</v>
      </c>
      <c r="H1796">
        <v>2</v>
      </c>
      <c r="I1796">
        <v>12</v>
      </c>
      <c r="J1796" t="s">
        <v>23</v>
      </c>
      <c r="K1796" t="s">
        <v>25</v>
      </c>
      <c r="L1796">
        <v>24</v>
      </c>
    </row>
    <row r="1797" spans="1:12" x14ac:dyDescent="0.3">
      <c r="A1797">
        <v>1014</v>
      </c>
      <c r="B1797" t="s">
        <v>32</v>
      </c>
      <c r="C1797" s="1">
        <v>45850</v>
      </c>
      <c r="D1797" s="1" t="str">
        <f>TEXT(FMData[[#This Row],[Show_Date]],"mmm")</f>
        <v>Jul</v>
      </c>
      <c r="E1797" s="1" t="str">
        <f>TEXT(FMData[[#This Row],[Show_Date]],"ddd")</f>
        <v>Sat</v>
      </c>
      <c r="F1797" t="s">
        <v>11</v>
      </c>
      <c r="G1797" t="s">
        <v>17</v>
      </c>
      <c r="H1797">
        <v>3</v>
      </c>
      <c r="I1797">
        <v>12</v>
      </c>
      <c r="J1797" t="s">
        <v>13</v>
      </c>
      <c r="K1797" t="s">
        <v>27</v>
      </c>
      <c r="L1797">
        <v>36</v>
      </c>
    </row>
    <row r="1798" spans="1:12" x14ac:dyDescent="0.3">
      <c r="A1798">
        <v>1260</v>
      </c>
      <c r="B1798" t="s">
        <v>32</v>
      </c>
      <c r="C1798" s="1">
        <v>45930</v>
      </c>
      <c r="D1798" s="1" t="str">
        <f>TEXT(FMData[[#This Row],[Show_Date]],"mmm")</f>
        <v>Sep</v>
      </c>
      <c r="E1798" s="1" t="str">
        <f>TEXT(FMData[[#This Row],[Show_Date]],"ddd")</f>
        <v>Tue</v>
      </c>
      <c r="F1798" t="s">
        <v>11</v>
      </c>
      <c r="G1798" t="s">
        <v>22</v>
      </c>
      <c r="H1798">
        <v>1</v>
      </c>
      <c r="I1798">
        <v>20</v>
      </c>
      <c r="J1798" t="s">
        <v>21</v>
      </c>
      <c r="K1798" t="s">
        <v>27</v>
      </c>
      <c r="L1798">
        <v>20</v>
      </c>
    </row>
    <row r="1799" spans="1:12" x14ac:dyDescent="0.3">
      <c r="A1799">
        <v>675</v>
      </c>
      <c r="B1799" t="s">
        <v>31</v>
      </c>
      <c r="C1799" s="1">
        <v>45890</v>
      </c>
      <c r="D1799" s="1" t="str">
        <f>TEXT(FMData[[#This Row],[Show_Date]],"mmm")</f>
        <v>Aug</v>
      </c>
      <c r="E1799" s="1" t="str">
        <f>TEXT(FMData[[#This Row],[Show_Date]],"ddd")</f>
        <v>Thu</v>
      </c>
      <c r="F1799" t="s">
        <v>11</v>
      </c>
      <c r="G1799" t="s">
        <v>22</v>
      </c>
      <c r="H1799">
        <v>4</v>
      </c>
      <c r="I1799">
        <v>20</v>
      </c>
      <c r="J1799" t="s">
        <v>13</v>
      </c>
      <c r="K1799" t="s">
        <v>27</v>
      </c>
      <c r="L1799">
        <v>80</v>
      </c>
    </row>
    <row r="1800" spans="1:12" x14ac:dyDescent="0.3">
      <c r="A1800">
        <v>740</v>
      </c>
      <c r="B1800" t="s">
        <v>31</v>
      </c>
      <c r="C1800" s="1">
        <v>45888</v>
      </c>
      <c r="D1800" s="1" t="str">
        <f>TEXT(FMData[[#This Row],[Show_Date]],"mmm")</f>
        <v>Aug</v>
      </c>
      <c r="E1800" s="1" t="str">
        <f>TEXT(FMData[[#This Row],[Show_Date]],"ddd")</f>
        <v>Tue</v>
      </c>
      <c r="F1800" t="s">
        <v>20</v>
      </c>
      <c r="G1800" t="s">
        <v>17</v>
      </c>
      <c r="H1800">
        <v>5</v>
      </c>
      <c r="I1800">
        <v>12</v>
      </c>
      <c r="J1800" t="s">
        <v>23</v>
      </c>
      <c r="K1800" t="s">
        <v>18</v>
      </c>
      <c r="L1800">
        <v>60</v>
      </c>
    </row>
    <row r="1801" spans="1:12" x14ac:dyDescent="0.3">
      <c r="A1801">
        <v>1677</v>
      </c>
      <c r="B1801" t="s">
        <v>28</v>
      </c>
      <c r="C1801" s="1">
        <v>45858</v>
      </c>
      <c r="D1801" s="1" t="str">
        <f>TEXT(FMData[[#This Row],[Show_Date]],"mmm")</f>
        <v>Jul</v>
      </c>
      <c r="E1801" s="1" t="str">
        <f>TEXT(FMData[[#This Row],[Show_Date]],"ddd")</f>
        <v>Sun</v>
      </c>
      <c r="F1801" t="s">
        <v>16</v>
      </c>
      <c r="G1801" t="s">
        <v>17</v>
      </c>
      <c r="H1801">
        <v>1</v>
      </c>
      <c r="I1801">
        <v>12</v>
      </c>
      <c r="J1801" t="s">
        <v>23</v>
      </c>
      <c r="K1801" t="s">
        <v>25</v>
      </c>
      <c r="L1801">
        <v>12</v>
      </c>
    </row>
    <row r="1802" spans="1:12" x14ac:dyDescent="0.3">
      <c r="A1802">
        <v>1265</v>
      </c>
      <c r="B1802" t="s">
        <v>10</v>
      </c>
      <c r="C1802" s="1">
        <v>45857</v>
      </c>
      <c r="D1802" s="1" t="str">
        <f>TEXT(FMData[[#This Row],[Show_Date]],"mmm")</f>
        <v>Jul</v>
      </c>
      <c r="E1802" s="1" t="str">
        <f>TEXT(FMData[[#This Row],[Show_Date]],"ddd")</f>
        <v>Sat</v>
      </c>
      <c r="F1802" t="s">
        <v>16</v>
      </c>
      <c r="G1802" t="s">
        <v>30</v>
      </c>
      <c r="H1802">
        <v>5</v>
      </c>
      <c r="I1802">
        <v>8</v>
      </c>
      <c r="J1802" t="s">
        <v>21</v>
      </c>
      <c r="K1802" t="s">
        <v>27</v>
      </c>
      <c r="L1802">
        <v>40</v>
      </c>
    </row>
    <row r="1803" spans="1:12" x14ac:dyDescent="0.3">
      <c r="A1803">
        <v>772</v>
      </c>
      <c r="B1803" t="s">
        <v>15</v>
      </c>
      <c r="C1803" s="1">
        <v>45868</v>
      </c>
      <c r="D1803" s="1" t="str">
        <f>TEXT(FMData[[#This Row],[Show_Date]],"mmm")</f>
        <v>Jul</v>
      </c>
      <c r="E1803" s="1" t="str">
        <f>TEXT(FMData[[#This Row],[Show_Date]],"ddd")</f>
        <v>Wed</v>
      </c>
      <c r="F1803" t="s">
        <v>33</v>
      </c>
      <c r="G1803" t="s">
        <v>17</v>
      </c>
      <c r="H1803">
        <v>3</v>
      </c>
      <c r="I1803">
        <v>12</v>
      </c>
      <c r="J1803" t="s">
        <v>13</v>
      </c>
      <c r="K1803" t="s">
        <v>27</v>
      </c>
      <c r="L1803">
        <v>36</v>
      </c>
    </row>
    <row r="1804" spans="1:12" x14ac:dyDescent="0.3">
      <c r="A1804">
        <v>590</v>
      </c>
      <c r="B1804" t="s">
        <v>15</v>
      </c>
      <c r="C1804" s="1">
        <v>45911</v>
      </c>
      <c r="D1804" s="1" t="str">
        <f>TEXT(FMData[[#This Row],[Show_Date]],"mmm")</f>
        <v>Sep</v>
      </c>
      <c r="E1804" s="1" t="str">
        <f>TEXT(FMData[[#This Row],[Show_Date]],"ddd")</f>
        <v>Thu</v>
      </c>
      <c r="F1804" t="s">
        <v>11</v>
      </c>
      <c r="G1804" t="s">
        <v>30</v>
      </c>
      <c r="H1804">
        <v>5</v>
      </c>
      <c r="I1804">
        <v>8</v>
      </c>
      <c r="J1804" t="s">
        <v>21</v>
      </c>
      <c r="K1804" t="s">
        <v>27</v>
      </c>
      <c r="L1804">
        <v>40</v>
      </c>
    </row>
    <row r="1805" spans="1:12" x14ac:dyDescent="0.3">
      <c r="A1805">
        <v>505</v>
      </c>
      <c r="B1805" t="s">
        <v>28</v>
      </c>
      <c r="C1805" s="1">
        <v>45884</v>
      </c>
      <c r="D1805" s="1" t="str">
        <f>TEXT(FMData[[#This Row],[Show_Date]],"mmm")</f>
        <v>Aug</v>
      </c>
      <c r="E1805" s="1" t="str">
        <f>TEXT(FMData[[#This Row],[Show_Date]],"ddd")</f>
        <v>Fri</v>
      </c>
      <c r="F1805" t="s">
        <v>20</v>
      </c>
      <c r="G1805" t="s">
        <v>17</v>
      </c>
      <c r="H1805">
        <v>2</v>
      </c>
      <c r="I1805">
        <v>12</v>
      </c>
      <c r="J1805" t="s">
        <v>21</v>
      </c>
      <c r="K1805" t="s">
        <v>18</v>
      </c>
      <c r="L1805">
        <v>24</v>
      </c>
    </row>
    <row r="1806" spans="1:12" x14ac:dyDescent="0.3">
      <c r="A1806">
        <v>642</v>
      </c>
      <c r="B1806" t="s">
        <v>10</v>
      </c>
      <c r="C1806" s="1">
        <v>45892</v>
      </c>
      <c r="D1806" s="1" t="str">
        <f>TEXT(FMData[[#This Row],[Show_Date]],"mmm")</f>
        <v>Aug</v>
      </c>
      <c r="E1806" s="1" t="str">
        <f>TEXT(FMData[[#This Row],[Show_Date]],"ddd")</f>
        <v>Sat</v>
      </c>
      <c r="F1806" t="s">
        <v>16</v>
      </c>
      <c r="G1806" t="s">
        <v>17</v>
      </c>
      <c r="H1806">
        <v>2</v>
      </c>
      <c r="I1806">
        <v>12</v>
      </c>
      <c r="J1806" t="s">
        <v>23</v>
      </c>
      <c r="K1806" t="s">
        <v>14</v>
      </c>
      <c r="L1806">
        <v>24</v>
      </c>
    </row>
    <row r="1807" spans="1:12" x14ac:dyDescent="0.3">
      <c r="A1807">
        <v>923</v>
      </c>
      <c r="B1807" t="s">
        <v>24</v>
      </c>
      <c r="C1807" s="1">
        <v>45914</v>
      </c>
      <c r="D1807" s="1" t="str">
        <f>TEXT(FMData[[#This Row],[Show_Date]],"mmm")</f>
        <v>Sep</v>
      </c>
      <c r="E1807" s="1" t="str">
        <f>TEXT(FMData[[#This Row],[Show_Date]],"ddd")</f>
        <v>Sun</v>
      </c>
      <c r="F1807" t="s">
        <v>33</v>
      </c>
      <c r="G1807" t="s">
        <v>22</v>
      </c>
      <c r="H1807">
        <v>2</v>
      </c>
      <c r="I1807">
        <v>20</v>
      </c>
      <c r="J1807" t="s">
        <v>13</v>
      </c>
      <c r="K1807" t="s">
        <v>14</v>
      </c>
      <c r="L1807">
        <v>40</v>
      </c>
    </row>
    <row r="1808" spans="1:12" x14ac:dyDescent="0.3">
      <c r="A1808">
        <v>1112</v>
      </c>
      <c r="B1808" t="s">
        <v>24</v>
      </c>
      <c r="C1808" s="1">
        <v>45908</v>
      </c>
      <c r="D1808" s="1" t="str">
        <f>TEXT(FMData[[#This Row],[Show_Date]],"mmm")</f>
        <v>Sep</v>
      </c>
      <c r="E1808" s="1" t="str">
        <f>TEXT(FMData[[#This Row],[Show_Date]],"ddd")</f>
        <v>Mon</v>
      </c>
      <c r="F1808" t="s">
        <v>11</v>
      </c>
      <c r="G1808" t="s">
        <v>17</v>
      </c>
      <c r="H1808">
        <v>1</v>
      </c>
      <c r="I1808">
        <v>12</v>
      </c>
      <c r="J1808" t="s">
        <v>21</v>
      </c>
      <c r="K1808" t="s">
        <v>18</v>
      </c>
      <c r="L1808">
        <v>12</v>
      </c>
    </row>
    <row r="1809" spans="1:12" x14ac:dyDescent="0.3">
      <c r="A1809">
        <v>514</v>
      </c>
      <c r="B1809" t="s">
        <v>10</v>
      </c>
      <c r="C1809" s="1">
        <v>45844</v>
      </c>
      <c r="D1809" s="1" t="str">
        <f>TEXT(FMData[[#This Row],[Show_Date]],"mmm")</f>
        <v>Jul</v>
      </c>
      <c r="E1809" s="1" t="str">
        <f>TEXT(FMData[[#This Row],[Show_Date]],"ddd")</f>
        <v>Sun</v>
      </c>
      <c r="F1809" t="s">
        <v>16</v>
      </c>
      <c r="G1809" t="s">
        <v>12</v>
      </c>
      <c r="H1809">
        <v>3</v>
      </c>
      <c r="I1809">
        <v>25</v>
      </c>
      <c r="J1809" t="s">
        <v>13</v>
      </c>
      <c r="K1809" t="s">
        <v>27</v>
      </c>
      <c r="L1809">
        <v>75</v>
      </c>
    </row>
    <row r="1810" spans="1:12" x14ac:dyDescent="0.3">
      <c r="A1810">
        <v>1005</v>
      </c>
      <c r="B1810" t="s">
        <v>24</v>
      </c>
      <c r="C1810" s="1">
        <v>45930</v>
      </c>
      <c r="D1810" s="1" t="str">
        <f>TEXT(FMData[[#This Row],[Show_Date]],"mmm")</f>
        <v>Sep</v>
      </c>
      <c r="E1810" s="1" t="str">
        <f>TEXT(FMData[[#This Row],[Show_Date]],"ddd")</f>
        <v>Tue</v>
      </c>
      <c r="F1810" t="s">
        <v>33</v>
      </c>
      <c r="G1810" t="s">
        <v>12</v>
      </c>
      <c r="H1810">
        <v>5</v>
      </c>
      <c r="I1810">
        <v>25</v>
      </c>
      <c r="J1810" t="s">
        <v>23</v>
      </c>
      <c r="K1810" t="s">
        <v>27</v>
      </c>
      <c r="L1810">
        <v>125</v>
      </c>
    </row>
    <row r="1811" spans="1:12" x14ac:dyDescent="0.3">
      <c r="A1811">
        <v>276</v>
      </c>
      <c r="B1811" t="s">
        <v>31</v>
      </c>
      <c r="C1811" s="1">
        <v>45925</v>
      </c>
      <c r="D1811" s="1" t="str">
        <f>TEXT(FMData[[#This Row],[Show_Date]],"mmm")</f>
        <v>Sep</v>
      </c>
      <c r="E1811" s="1" t="str">
        <f>TEXT(FMData[[#This Row],[Show_Date]],"ddd")</f>
        <v>Thu</v>
      </c>
      <c r="F1811" t="s">
        <v>33</v>
      </c>
      <c r="G1811" t="s">
        <v>12</v>
      </c>
      <c r="H1811">
        <v>3</v>
      </c>
      <c r="I1811">
        <v>25</v>
      </c>
      <c r="J1811" t="s">
        <v>21</v>
      </c>
      <c r="K1811" t="s">
        <v>18</v>
      </c>
      <c r="L1811">
        <v>75</v>
      </c>
    </row>
    <row r="1812" spans="1:12" x14ac:dyDescent="0.3">
      <c r="A1812">
        <v>816</v>
      </c>
      <c r="B1812" t="s">
        <v>15</v>
      </c>
      <c r="C1812" s="1">
        <v>45913</v>
      </c>
      <c r="D1812" s="1" t="str">
        <f>TEXT(FMData[[#This Row],[Show_Date]],"mmm")</f>
        <v>Sep</v>
      </c>
      <c r="E1812" s="1" t="str">
        <f>TEXT(FMData[[#This Row],[Show_Date]],"ddd")</f>
        <v>Sat</v>
      </c>
      <c r="F1812" t="s">
        <v>16</v>
      </c>
      <c r="G1812" t="s">
        <v>30</v>
      </c>
      <c r="H1812">
        <v>5</v>
      </c>
      <c r="I1812">
        <v>8</v>
      </c>
      <c r="J1812" t="s">
        <v>23</v>
      </c>
      <c r="K1812" t="s">
        <v>25</v>
      </c>
      <c r="L1812">
        <v>40</v>
      </c>
    </row>
    <row r="1813" spans="1:12" x14ac:dyDescent="0.3">
      <c r="A1813">
        <v>1923</v>
      </c>
      <c r="B1813" t="s">
        <v>31</v>
      </c>
      <c r="C1813" s="1">
        <v>45847</v>
      </c>
      <c r="D1813" s="1" t="str">
        <f>TEXT(FMData[[#This Row],[Show_Date]],"mmm")</f>
        <v>Jul</v>
      </c>
      <c r="E1813" s="1" t="str">
        <f>TEXT(FMData[[#This Row],[Show_Date]],"ddd")</f>
        <v>Wed</v>
      </c>
      <c r="F1813" t="s">
        <v>20</v>
      </c>
      <c r="G1813" t="s">
        <v>30</v>
      </c>
      <c r="H1813">
        <v>3</v>
      </c>
      <c r="I1813">
        <v>8</v>
      </c>
      <c r="J1813" t="s">
        <v>13</v>
      </c>
      <c r="K1813" t="s">
        <v>18</v>
      </c>
      <c r="L1813">
        <v>24</v>
      </c>
    </row>
    <row r="1814" spans="1:12" x14ac:dyDescent="0.3">
      <c r="A1814">
        <v>279</v>
      </c>
      <c r="B1814" t="s">
        <v>24</v>
      </c>
      <c r="C1814" s="1">
        <v>45878</v>
      </c>
      <c r="D1814" s="1" t="str">
        <f>TEXT(FMData[[#This Row],[Show_Date]],"mmm")</f>
        <v>Aug</v>
      </c>
      <c r="E1814" s="1" t="str">
        <f>TEXT(FMData[[#This Row],[Show_Date]],"ddd")</f>
        <v>Sat</v>
      </c>
      <c r="F1814" t="s">
        <v>33</v>
      </c>
      <c r="G1814" t="s">
        <v>12</v>
      </c>
      <c r="H1814">
        <v>3</v>
      </c>
      <c r="I1814">
        <v>25</v>
      </c>
      <c r="J1814" t="s">
        <v>21</v>
      </c>
      <c r="K1814" t="s">
        <v>25</v>
      </c>
      <c r="L1814">
        <v>75</v>
      </c>
    </row>
    <row r="1815" spans="1:12" x14ac:dyDescent="0.3">
      <c r="A1815">
        <v>1824</v>
      </c>
      <c r="B1815" t="s">
        <v>31</v>
      </c>
      <c r="C1815" s="1">
        <v>45880</v>
      </c>
      <c r="D1815" s="1" t="str">
        <f>TEXT(FMData[[#This Row],[Show_Date]],"mmm")</f>
        <v>Aug</v>
      </c>
      <c r="E1815" s="1" t="str">
        <f>TEXT(FMData[[#This Row],[Show_Date]],"ddd")</f>
        <v>Mon</v>
      </c>
      <c r="F1815" t="s">
        <v>11</v>
      </c>
      <c r="G1815" t="s">
        <v>17</v>
      </c>
      <c r="H1815">
        <v>1</v>
      </c>
      <c r="I1815">
        <v>12</v>
      </c>
      <c r="J1815" t="s">
        <v>23</v>
      </c>
      <c r="K1815" t="s">
        <v>14</v>
      </c>
      <c r="L1815">
        <v>12</v>
      </c>
    </row>
    <row r="1816" spans="1:12" x14ac:dyDescent="0.3">
      <c r="A1816">
        <v>1178</v>
      </c>
      <c r="B1816" t="s">
        <v>19</v>
      </c>
      <c r="C1816" s="1">
        <v>45857</v>
      </c>
      <c r="D1816" s="1" t="str">
        <f>TEXT(FMData[[#This Row],[Show_Date]],"mmm")</f>
        <v>Jul</v>
      </c>
      <c r="E1816" s="1" t="str">
        <f>TEXT(FMData[[#This Row],[Show_Date]],"ddd")</f>
        <v>Sat</v>
      </c>
      <c r="F1816" t="s">
        <v>33</v>
      </c>
      <c r="G1816" t="s">
        <v>22</v>
      </c>
      <c r="H1816">
        <v>4</v>
      </c>
      <c r="I1816">
        <v>20</v>
      </c>
      <c r="J1816" t="s">
        <v>21</v>
      </c>
      <c r="K1816" t="s">
        <v>18</v>
      </c>
      <c r="L1816">
        <v>80</v>
      </c>
    </row>
    <row r="1817" spans="1:12" x14ac:dyDescent="0.3">
      <c r="A1817">
        <v>273</v>
      </c>
      <c r="B1817" t="s">
        <v>19</v>
      </c>
      <c r="C1817" s="1">
        <v>45916</v>
      </c>
      <c r="D1817" s="1" t="str">
        <f>TEXT(FMData[[#This Row],[Show_Date]],"mmm")</f>
        <v>Sep</v>
      </c>
      <c r="E1817" s="1" t="str">
        <f>TEXT(FMData[[#This Row],[Show_Date]],"ddd")</f>
        <v>Tue</v>
      </c>
      <c r="F1817" t="s">
        <v>33</v>
      </c>
      <c r="G1817" t="s">
        <v>17</v>
      </c>
      <c r="H1817">
        <v>2</v>
      </c>
      <c r="I1817">
        <v>12</v>
      </c>
      <c r="J1817" t="s">
        <v>23</v>
      </c>
      <c r="K1817" t="s">
        <v>25</v>
      </c>
      <c r="L1817">
        <v>24</v>
      </c>
    </row>
    <row r="1818" spans="1:12" x14ac:dyDescent="0.3">
      <c r="A1818">
        <v>1855</v>
      </c>
      <c r="B1818" t="s">
        <v>19</v>
      </c>
      <c r="C1818" s="1">
        <v>45858</v>
      </c>
      <c r="D1818" s="1" t="str">
        <f>TEXT(FMData[[#This Row],[Show_Date]],"mmm")</f>
        <v>Jul</v>
      </c>
      <c r="E1818" s="1" t="str">
        <f>TEXT(FMData[[#This Row],[Show_Date]],"ddd")</f>
        <v>Sun</v>
      </c>
      <c r="F1818" t="s">
        <v>16</v>
      </c>
      <c r="G1818" t="s">
        <v>30</v>
      </c>
      <c r="H1818">
        <v>4</v>
      </c>
      <c r="I1818">
        <v>8</v>
      </c>
      <c r="J1818" t="s">
        <v>13</v>
      </c>
      <c r="K1818" t="s">
        <v>18</v>
      </c>
      <c r="L1818">
        <v>32</v>
      </c>
    </row>
    <row r="1819" spans="1:12" x14ac:dyDescent="0.3">
      <c r="A1819">
        <v>1675</v>
      </c>
      <c r="B1819" t="s">
        <v>24</v>
      </c>
      <c r="C1819" s="1">
        <v>45884</v>
      </c>
      <c r="D1819" s="1" t="str">
        <f>TEXT(FMData[[#This Row],[Show_Date]],"mmm")</f>
        <v>Aug</v>
      </c>
      <c r="E1819" s="1" t="str">
        <f>TEXT(FMData[[#This Row],[Show_Date]],"ddd")</f>
        <v>Fri</v>
      </c>
      <c r="F1819" t="s">
        <v>11</v>
      </c>
      <c r="G1819" t="s">
        <v>12</v>
      </c>
      <c r="H1819">
        <v>5</v>
      </c>
      <c r="I1819">
        <v>25</v>
      </c>
      <c r="J1819" t="s">
        <v>21</v>
      </c>
      <c r="K1819" t="s">
        <v>25</v>
      </c>
      <c r="L1819">
        <v>125</v>
      </c>
    </row>
    <row r="1820" spans="1:12" x14ac:dyDescent="0.3">
      <c r="A1820">
        <v>1490</v>
      </c>
      <c r="B1820" t="s">
        <v>24</v>
      </c>
      <c r="C1820" s="1">
        <v>45885</v>
      </c>
      <c r="D1820" s="1" t="str">
        <f>TEXT(FMData[[#This Row],[Show_Date]],"mmm")</f>
        <v>Aug</v>
      </c>
      <c r="E1820" s="1" t="str">
        <f>TEXT(FMData[[#This Row],[Show_Date]],"ddd")</f>
        <v>Sat</v>
      </c>
      <c r="F1820" t="s">
        <v>20</v>
      </c>
      <c r="G1820" t="s">
        <v>17</v>
      </c>
      <c r="H1820">
        <v>1</v>
      </c>
      <c r="I1820">
        <v>12</v>
      </c>
      <c r="J1820" t="s">
        <v>13</v>
      </c>
      <c r="K1820" t="s">
        <v>27</v>
      </c>
      <c r="L1820">
        <v>12</v>
      </c>
    </row>
    <row r="1821" spans="1:12" x14ac:dyDescent="0.3">
      <c r="A1821">
        <v>1880</v>
      </c>
      <c r="B1821" t="s">
        <v>24</v>
      </c>
      <c r="C1821" s="1">
        <v>45851</v>
      </c>
      <c r="D1821" s="1" t="str">
        <f>TEXT(FMData[[#This Row],[Show_Date]],"mmm")</f>
        <v>Jul</v>
      </c>
      <c r="E1821" s="1" t="str">
        <f>TEXT(FMData[[#This Row],[Show_Date]],"ddd")</f>
        <v>Sun</v>
      </c>
      <c r="F1821" t="s">
        <v>11</v>
      </c>
      <c r="G1821" t="s">
        <v>17</v>
      </c>
      <c r="H1821">
        <v>5</v>
      </c>
      <c r="I1821">
        <v>12</v>
      </c>
      <c r="J1821" t="s">
        <v>23</v>
      </c>
      <c r="K1821" t="s">
        <v>27</v>
      </c>
      <c r="L1821">
        <v>60</v>
      </c>
    </row>
    <row r="1822" spans="1:12" x14ac:dyDescent="0.3">
      <c r="A1822">
        <v>665</v>
      </c>
      <c r="B1822" t="s">
        <v>24</v>
      </c>
      <c r="C1822" s="1">
        <v>45915</v>
      </c>
      <c r="D1822" s="1" t="str">
        <f>TEXT(FMData[[#This Row],[Show_Date]],"mmm")</f>
        <v>Sep</v>
      </c>
      <c r="E1822" s="1" t="str">
        <f>TEXT(FMData[[#This Row],[Show_Date]],"ddd")</f>
        <v>Mon</v>
      </c>
      <c r="F1822" t="s">
        <v>20</v>
      </c>
      <c r="G1822" t="s">
        <v>12</v>
      </c>
      <c r="H1822">
        <v>3</v>
      </c>
      <c r="I1822">
        <v>25</v>
      </c>
      <c r="J1822" t="s">
        <v>23</v>
      </c>
      <c r="K1822" t="s">
        <v>18</v>
      </c>
      <c r="L1822">
        <v>75</v>
      </c>
    </row>
    <row r="1823" spans="1:12" x14ac:dyDescent="0.3">
      <c r="A1823">
        <v>212</v>
      </c>
      <c r="B1823" t="s">
        <v>28</v>
      </c>
      <c r="C1823" s="1">
        <v>45906</v>
      </c>
      <c r="D1823" s="1" t="str">
        <f>TEXT(FMData[[#This Row],[Show_Date]],"mmm")</f>
        <v>Sep</v>
      </c>
      <c r="E1823" s="1" t="str">
        <f>TEXT(FMData[[#This Row],[Show_Date]],"ddd")</f>
        <v>Sat</v>
      </c>
      <c r="F1823" t="s">
        <v>11</v>
      </c>
      <c r="G1823" t="s">
        <v>22</v>
      </c>
      <c r="H1823">
        <v>4</v>
      </c>
      <c r="I1823">
        <v>20</v>
      </c>
      <c r="J1823" t="s">
        <v>21</v>
      </c>
      <c r="K1823" t="s">
        <v>18</v>
      </c>
      <c r="L1823">
        <v>80</v>
      </c>
    </row>
    <row r="1824" spans="1:12" x14ac:dyDescent="0.3">
      <c r="A1824">
        <v>498</v>
      </c>
      <c r="B1824" t="s">
        <v>31</v>
      </c>
      <c r="C1824" s="1">
        <v>45924</v>
      </c>
      <c r="D1824" s="1" t="str">
        <f>TEXT(FMData[[#This Row],[Show_Date]],"mmm")</f>
        <v>Sep</v>
      </c>
      <c r="E1824" s="1" t="str">
        <f>TEXT(FMData[[#This Row],[Show_Date]],"ddd")</f>
        <v>Wed</v>
      </c>
      <c r="F1824" t="s">
        <v>20</v>
      </c>
      <c r="G1824" t="s">
        <v>22</v>
      </c>
      <c r="H1824">
        <v>5</v>
      </c>
      <c r="I1824">
        <v>20</v>
      </c>
      <c r="J1824" t="s">
        <v>23</v>
      </c>
      <c r="K1824" t="s">
        <v>27</v>
      </c>
      <c r="L1824">
        <v>100</v>
      </c>
    </row>
    <row r="1825" spans="1:12" x14ac:dyDescent="0.3">
      <c r="A1825">
        <v>1273</v>
      </c>
      <c r="B1825" t="s">
        <v>32</v>
      </c>
      <c r="C1825" s="1">
        <v>45924</v>
      </c>
      <c r="D1825" s="1" t="str">
        <f>TEXT(FMData[[#This Row],[Show_Date]],"mmm")</f>
        <v>Sep</v>
      </c>
      <c r="E1825" s="1" t="str">
        <f>TEXT(FMData[[#This Row],[Show_Date]],"ddd")</f>
        <v>Wed</v>
      </c>
      <c r="F1825" t="s">
        <v>16</v>
      </c>
      <c r="G1825" t="s">
        <v>30</v>
      </c>
      <c r="H1825">
        <v>4</v>
      </c>
      <c r="I1825">
        <v>8</v>
      </c>
      <c r="J1825" t="s">
        <v>23</v>
      </c>
      <c r="K1825" t="s">
        <v>25</v>
      </c>
      <c r="L1825">
        <v>32</v>
      </c>
    </row>
    <row r="1826" spans="1:12" x14ac:dyDescent="0.3">
      <c r="A1826">
        <v>855</v>
      </c>
      <c r="B1826" t="s">
        <v>28</v>
      </c>
      <c r="C1826" s="1">
        <v>45886</v>
      </c>
      <c r="D1826" s="1" t="str">
        <f>TEXT(FMData[[#This Row],[Show_Date]],"mmm")</f>
        <v>Aug</v>
      </c>
      <c r="E1826" s="1" t="str">
        <f>TEXT(FMData[[#This Row],[Show_Date]],"ddd")</f>
        <v>Sun</v>
      </c>
      <c r="F1826" t="s">
        <v>20</v>
      </c>
      <c r="G1826" t="s">
        <v>17</v>
      </c>
      <c r="H1826">
        <v>4</v>
      </c>
      <c r="I1826">
        <v>12</v>
      </c>
      <c r="J1826" t="s">
        <v>21</v>
      </c>
      <c r="K1826" t="s">
        <v>25</v>
      </c>
      <c r="L1826">
        <v>48</v>
      </c>
    </row>
    <row r="1827" spans="1:12" x14ac:dyDescent="0.3">
      <c r="A1827">
        <v>1220</v>
      </c>
      <c r="B1827" t="s">
        <v>32</v>
      </c>
      <c r="C1827" s="1">
        <v>45914</v>
      </c>
      <c r="D1827" s="1" t="str">
        <f>TEXT(FMData[[#This Row],[Show_Date]],"mmm")</f>
        <v>Sep</v>
      </c>
      <c r="E1827" s="1" t="str">
        <f>TEXT(FMData[[#This Row],[Show_Date]],"ddd")</f>
        <v>Sun</v>
      </c>
      <c r="F1827" t="s">
        <v>16</v>
      </c>
      <c r="G1827" t="s">
        <v>30</v>
      </c>
      <c r="H1827">
        <v>2</v>
      </c>
      <c r="I1827">
        <v>8</v>
      </c>
      <c r="J1827" t="s">
        <v>13</v>
      </c>
      <c r="K1827" t="s">
        <v>18</v>
      </c>
      <c r="L1827">
        <v>16</v>
      </c>
    </row>
    <row r="1828" spans="1:12" x14ac:dyDescent="0.3">
      <c r="A1828">
        <v>1459</v>
      </c>
      <c r="B1828" t="s">
        <v>10</v>
      </c>
      <c r="C1828" s="1">
        <v>45909</v>
      </c>
      <c r="D1828" s="1" t="str">
        <f>TEXT(FMData[[#This Row],[Show_Date]],"mmm")</f>
        <v>Sep</v>
      </c>
      <c r="E1828" s="1" t="str">
        <f>TEXT(FMData[[#This Row],[Show_Date]],"ddd")</f>
        <v>Tue</v>
      </c>
      <c r="F1828" t="s">
        <v>11</v>
      </c>
      <c r="G1828" t="s">
        <v>30</v>
      </c>
      <c r="H1828">
        <v>3</v>
      </c>
      <c r="I1828">
        <v>8</v>
      </c>
      <c r="J1828" t="s">
        <v>23</v>
      </c>
      <c r="K1828" t="s">
        <v>25</v>
      </c>
      <c r="L1828">
        <v>24</v>
      </c>
    </row>
    <row r="1829" spans="1:12" x14ac:dyDescent="0.3">
      <c r="A1829">
        <v>1360</v>
      </c>
      <c r="B1829" t="s">
        <v>28</v>
      </c>
      <c r="C1829" s="1">
        <v>45913</v>
      </c>
      <c r="D1829" s="1" t="str">
        <f>TEXT(FMData[[#This Row],[Show_Date]],"mmm")</f>
        <v>Sep</v>
      </c>
      <c r="E1829" s="1" t="str">
        <f>TEXT(FMData[[#This Row],[Show_Date]],"ddd")</f>
        <v>Sat</v>
      </c>
      <c r="F1829" t="s">
        <v>11</v>
      </c>
      <c r="G1829" t="s">
        <v>30</v>
      </c>
      <c r="H1829">
        <v>2</v>
      </c>
      <c r="I1829">
        <v>8</v>
      </c>
      <c r="J1829" t="s">
        <v>21</v>
      </c>
      <c r="K1829" t="s">
        <v>14</v>
      </c>
      <c r="L1829">
        <v>16</v>
      </c>
    </row>
    <row r="1830" spans="1:12" x14ac:dyDescent="0.3">
      <c r="A1830">
        <v>482</v>
      </c>
      <c r="B1830" t="s">
        <v>10</v>
      </c>
      <c r="C1830" s="1">
        <v>45883</v>
      </c>
      <c r="D1830" s="1" t="str">
        <f>TEXT(FMData[[#This Row],[Show_Date]],"mmm")</f>
        <v>Aug</v>
      </c>
      <c r="E1830" s="1" t="str">
        <f>TEXT(FMData[[#This Row],[Show_Date]],"ddd")</f>
        <v>Thu</v>
      </c>
      <c r="F1830" t="s">
        <v>33</v>
      </c>
      <c r="G1830" t="s">
        <v>22</v>
      </c>
      <c r="H1830">
        <v>4</v>
      </c>
      <c r="I1830">
        <v>20</v>
      </c>
      <c r="J1830" t="s">
        <v>21</v>
      </c>
      <c r="K1830" t="s">
        <v>27</v>
      </c>
      <c r="L1830">
        <v>80</v>
      </c>
    </row>
    <row r="1831" spans="1:12" x14ac:dyDescent="0.3">
      <c r="A1831">
        <v>194</v>
      </c>
      <c r="B1831" t="s">
        <v>28</v>
      </c>
      <c r="C1831" s="1">
        <v>45849</v>
      </c>
      <c r="D1831" s="1" t="str">
        <f>TEXT(FMData[[#This Row],[Show_Date]],"mmm")</f>
        <v>Jul</v>
      </c>
      <c r="E1831" s="1" t="str">
        <f>TEXT(FMData[[#This Row],[Show_Date]],"ddd")</f>
        <v>Fri</v>
      </c>
      <c r="F1831" t="s">
        <v>33</v>
      </c>
      <c r="G1831" t="s">
        <v>12</v>
      </c>
      <c r="H1831">
        <v>1</v>
      </c>
      <c r="I1831">
        <v>25</v>
      </c>
      <c r="J1831" t="s">
        <v>13</v>
      </c>
      <c r="K1831" t="s">
        <v>14</v>
      </c>
      <c r="L1831">
        <v>25</v>
      </c>
    </row>
    <row r="1832" spans="1:12" x14ac:dyDescent="0.3">
      <c r="A1832">
        <v>1714</v>
      </c>
      <c r="B1832" t="s">
        <v>15</v>
      </c>
      <c r="C1832" s="1">
        <v>45864</v>
      </c>
      <c r="D1832" s="1" t="str">
        <f>TEXT(FMData[[#This Row],[Show_Date]],"mmm")</f>
        <v>Jul</v>
      </c>
      <c r="E1832" s="1" t="str">
        <f>TEXT(FMData[[#This Row],[Show_Date]],"ddd")</f>
        <v>Sat</v>
      </c>
      <c r="F1832" t="s">
        <v>20</v>
      </c>
      <c r="G1832" t="s">
        <v>12</v>
      </c>
      <c r="H1832">
        <v>3</v>
      </c>
      <c r="I1832">
        <v>25</v>
      </c>
      <c r="J1832" t="s">
        <v>13</v>
      </c>
      <c r="K1832" t="s">
        <v>25</v>
      </c>
      <c r="L1832">
        <v>75</v>
      </c>
    </row>
    <row r="1833" spans="1:12" x14ac:dyDescent="0.3">
      <c r="A1833">
        <v>1538</v>
      </c>
      <c r="B1833" t="s">
        <v>10</v>
      </c>
      <c r="C1833" s="1">
        <v>45882</v>
      </c>
      <c r="D1833" s="1" t="str">
        <f>TEXT(FMData[[#This Row],[Show_Date]],"mmm")</f>
        <v>Aug</v>
      </c>
      <c r="E1833" s="1" t="str">
        <f>TEXT(FMData[[#This Row],[Show_Date]],"ddd")</f>
        <v>Wed</v>
      </c>
      <c r="F1833" t="s">
        <v>33</v>
      </c>
      <c r="G1833" t="s">
        <v>17</v>
      </c>
      <c r="H1833">
        <v>3</v>
      </c>
      <c r="I1833">
        <v>12</v>
      </c>
      <c r="J1833" t="s">
        <v>21</v>
      </c>
      <c r="K1833" t="s">
        <v>27</v>
      </c>
      <c r="L1833">
        <v>36</v>
      </c>
    </row>
    <row r="1834" spans="1:12" x14ac:dyDescent="0.3">
      <c r="A1834">
        <v>779</v>
      </c>
      <c r="B1834" t="s">
        <v>19</v>
      </c>
      <c r="C1834" s="1">
        <v>45872</v>
      </c>
      <c r="D1834" s="1" t="str">
        <f>TEXT(FMData[[#This Row],[Show_Date]],"mmm")</f>
        <v>Aug</v>
      </c>
      <c r="E1834" s="1" t="str">
        <f>TEXT(FMData[[#This Row],[Show_Date]],"ddd")</f>
        <v>Sun</v>
      </c>
      <c r="F1834" t="s">
        <v>11</v>
      </c>
      <c r="G1834" t="s">
        <v>17</v>
      </c>
      <c r="H1834">
        <v>3</v>
      </c>
      <c r="I1834">
        <v>12</v>
      </c>
      <c r="J1834" t="s">
        <v>13</v>
      </c>
      <c r="K1834" t="s">
        <v>18</v>
      </c>
      <c r="L1834">
        <v>36</v>
      </c>
    </row>
    <row r="1835" spans="1:12" x14ac:dyDescent="0.3">
      <c r="A1835">
        <v>716</v>
      </c>
      <c r="B1835" t="s">
        <v>19</v>
      </c>
      <c r="C1835" s="1">
        <v>45865</v>
      </c>
      <c r="D1835" s="1" t="str">
        <f>TEXT(FMData[[#This Row],[Show_Date]],"mmm")</f>
        <v>Jul</v>
      </c>
      <c r="E1835" s="1" t="str">
        <f>TEXT(FMData[[#This Row],[Show_Date]],"ddd")</f>
        <v>Sun</v>
      </c>
      <c r="F1835" t="s">
        <v>11</v>
      </c>
      <c r="G1835" t="s">
        <v>17</v>
      </c>
      <c r="H1835">
        <v>1</v>
      </c>
      <c r="I1835">
        <v>12</v>
      </c>
      <c r="J1835" t="s">
        <v>23</v>
      </c>
      <c r="K1835" t="s">
        <v>14</v>
      </c>
      <c r="L1835">
        <v>12</v>
      </c>
    </row>
    <row r="1836" spans="1:12" x14ac:dyDescent="0.3">
      <c r="A1836">
        <v>661</v>
      </c>
      <c r="B1836" t="s">
        <v>19</v>
      </c>
      <c r="C1836" s="1">
        <v>45871</v>
      </c>
      <c r="D1836" s="1" t="str">
        <f>TEXT(FMData[[#This Row],[Show_Date]],"mmm")</f>
        <v>Aug</v>
      </c>
      <c r="E1836" s="1" t="str">
        <f>TEXT(FMData[[#This Row],[Show_Date]],"ddd")</f>
        <v>Sat</v>
      </c>
      <c r="F1836" t="s">
        <v>20</v>
      </c>
      <c r="G1836" t="s">
        <v>17</v>
      </c>
      <c r="H1836">
        <v>2</v>
      </c>
      <c r="I1836">
        <v>12</v>
      </c>
      <c r="J1836" t="s">
        <v>21</v>
      </c>
      <c r="K1836" t="s">
        <v>14</v>
      </c>
      <c r="L1836">
        <v>24</v>
      </c>
    </row>
    <row r="1837" spans="1:12" x14ac:dyDescent="0.3">
      <c r="A1837">
        <v>1494</v>
      </c>
      <c r="B1837" t="s">
        <v>26</v>
      </c>
      <c r="C1837" s="1">
        <v>45922</v>
      </c>
      <c r="D1837" s="1" t="str">
        <f>TEXT(FMData[[#This Row],[Show_Date]],"mmm")</f>
        <v>Sep</v>
      </c>
      <c r="E1837" s="1" t="str">
        <f>TEXT(FMData[[#This Row],[Show_Date]],"ddd")</f>
        <v>Mon</v>
      </c>
      <c r="F1837" t="s">
        <v>20</v>
      </c>
      <c r="G1837" t="s">
        <v>22</v>
      </c>
      <c r="H1837">
        <v>2</v>
      </c>
      <c r="I1837">
        <v>20</v>
      </c>
      <c r="J1837" t="s">
        <v>23</v>
      </c>
      <c r="K1837" t="s">
        <v>18</v>
      </c>
      <c r="L1837">
        <v>40</v>
      </c>
    </row>
    <row r="1838" spans="1:12" x14ac:dyDescent="0.3">
      <c r="A1838">
        <v>926</v>
      </c>
      <c r="B1838" t="s">
        <v>32</v>
      </c>
      <c r="C1838" s="1">
        <v>45847</v>
      </c>
      <c r="D1838" s="1" t="str">
        <f>TEXT(FMData[[#This Row],[Show_Date]],"mmm")</f>
        <v>Jul</v>
      </c>
      <c r="E1838" s="1" t="str">
        <f>TEXT(FMData[[#This Row],[Show_Date]],"ddd")</f>
        <v>Wed</v>
      </c>
      <c r="F1838" t="s">
        <v>20</v>
      </c>
      <c r="G1838" t="s">
        <v>29</v>
      </c>
      <c r="H1838">
        <v>4</v>
      </c>
      <c r="I1838">
        <v>30</v>
      </c>
      <c r="J1838" t="s">
        <v>21</v>
      </c>
      <c r="K1838" t="s">
        <v>14</v>
      </c>
      <c r="L1838">
        <v>120</v>
      </c>
    </row>
    <row r="1839" spans="1:12" x14ac:dyDescent="0.3">
      <c r="A1839">
        <v>553</v>
      </c>
      <c r="B1839" t="s">
        <v>15</v>
      </c>
      <c r="C1839" s="1">
        <v>45913</v>
      </c>
      <c r="D1839" s="1" t="str">
        <f>TEXT(FMData[[#This Row],[Show_Date]],"mmm")</f>
        <v>Sep</v>
      </c>
      <c r="E1839" s="1" t="str">
        <f>TEXT(FMData[[#This Row],[Show_Date]],"ddd")</f>
        <v>Sat</v>
      </c>
      <c r="F1839" t="s">
        <v>33</v>
      </c>
      <c r="G1839" t="s">
        <v>22</v>
      </c>
      <c r="H1839">
        <v>3</v>
      </c>
      <c r="I1839">
        <v>20</v>
      </c>
      <c r="J1839" t="s">
        <v>21</v>
      </c>
      <c r="K1839" t="s">
        <v>14</v>
      </c>
      <c r="L1839">
        <v>60</v>
      </c>
    </row>
    <row r="1840" spans="1:12" x14ac:dyDescent="0.3">
      <c r="A1840">
        <v>1119</v>
      </c>
      <c r="B1840" t="s">
        <v>15</v>
      </c>
      <c r="C1840" s="1">
        <v>45904</v>
      </c>
      <c r="D1840" s="1" t="str">
        <f>TEXT(FMData[[#This Row],[Show_Date]],"mmm")</f>
        <v>Sep</v>
      </c>
      <c r="E1840" s="1" t="str">
        <f>TEXT(FMData[[#This Row],[Show_Date]],"ddd")</f>
        <v>Thu</v>
      </c>
      <c r="F1840" t="s">
        <v>16</v>
      </c>
      <c r="G1840" t="s">
        <v>17</v>
      </c>
      <c r="H1840">
        <v>1</v>
      </c>
      <c r="I1840">
        <v>12</v>
      </c>
      <c r="J1840" t="s">
        <v>21</v>
      </c>
      <c r="K1840" t="s">
        <v>14</v>
      </c>
      <c r="L1840">
        <v>12</v>
      </c>
    </row>
    <row r="1841" spans="1:12" x14ac:dyDescent="0.3">
      <c r="A1841">
        <v>797</v>
      </c>
      <c r="B1841" t="s">
        <v>15</v>
      </c>
      <c r="C1841" s="1">
        <v>45876</v>
      </c>
      <c r="D1841" s="1" t="str">
        <f>TEXT(FMData[[#This Row],[Show_Date]],"mmm")</f>
        <v>Aug</v>
      </c>
      <c r="E1841" s="1" t="str">
        <f>TEXT(FMData[[#This Row],[Show_Date]],"ddd")</f>
        <v>Thu</v>
      </c>
      <c r="F1841" t="s">
        <v>11</v>
      </c>
      <c r="G1841" t="s">
        <v>17</v>
      </c>
      <c r="H1841">
        <v>4</v>
      </c>
      <c r="I1841">
        <v>12</v>
      </c>
      <c r="J1841" t="s">
        <v>21</v>
      </c>
      <c r="K1841" t="s">
        <v>14</v>
      </c>
      <c r="L1841">
        <v>48</v>
      </c>
    </row>
    <row r="1842" spans="1:12" x14ac:dyDescent="0.3">
      <c r="A1842">
        <v>1288</v>
      </c>
      <c r="B1842" t="s">
        <v>10</v>
      </c>
      <c r="C1842" s="1">
        <v>45863</v>
      </c>
      <c r="D1842" s="1" t="str">
        <f>TEXT(FMData[[#This Row],[Show_Date]],"mmm")</f>
        <v>Jul</v>
      </c>
      <c r="E1842" s="1" t="str">
        <f>TEXT(FMData[[#This Row],[Show_Date]],"ddd")</f>
        <v>Fri</v>
      </c>
      <c r="F1842" t="s">
        <v>20</v>
      </c>
      <c r="G1842" t="s">
        <v>22</v>
      </c>
      <c r="H1842">
        <v>2</v>
      </c>
      <c r="I1842">
        <v>20</v>
      </c>
      <c r="J1842" t="s">
        <v>21</v>
      </c>
      <c r="K1842" t="s">
        <v>25</v>
      </c>
      <c r="L1842">
        <v>40</v>
      </c>
    </row>
    <row r="1843" spans="1:12" x14ac:dyDescent="0.3">
      <c r="A1843">
        <v>1858</v>
      </c>
      <c r="B1843" t="s">
        <v>24</v>
      </c>
      <c r="C1843" s="1">
        <v>45919</v>
      </c>
      <c r="D1843" s="1" t="str">
        <f>TEXT(FMData[[#This Row],[Show_Date]],"mmm")</f>
        <v>Sep</v>
      </c>
      <c r="E1843" s="1" t="str">
        <f>TEXT(FMData[[#This Row],[Show_Date]],"ddd")</f>
        <v>Fri</v>
      </c>
      <c r="F1843" t="s">
        <v>11</v>
      </c>
      <c r="G1843" t="s">
        <v>12</v>
      </c>
      <c r="H1843">
        <v>2</v>
      </c>
      <c r="I1843">
        <v>25</v>
      </c>
      <c r="J1843" t="s">
        <v>23</v>
      </c>
      <c r="K1843" t="s">
        <v>25</v>
      </c>
      <c r="L1843">
        <v>50</v>
      </c>
    </row>
    <row r="1844" spans="1:12" x14ac:dyDescent="0.3">
      <c r="A1844">
        <v>61</v>
      </c>
      <c r="B1844" t="s">
        <v>32</v>
      </c>
      <c r="C1844" s="1">
        <v>45925</v>
      </c>
      <c r="D1844" s="1" t="str">
        <f>TEXT(FMData[[#This Row],[Show_Date]],"mmm")</f>
        <v>Sep</v>
      </c>
      <c r="E1844" s="1" t="str">
        <f>TEXT(FMData[[#This Row],[Show_Date]],"ddd")</f>
        <v>Thu</v>
      </c>
      <c r="F1844" t="s">
        <v>33</v>
      </c>
      <c r="G1844" t="s">
        <v>17</v>
      </c>
      <c r="H1844">
        <v>2</v>
      </c>
      <c r="I1844">
        <v>12</v>
      </c>
      <c r="J1844" t="s">
        <v>21</v>
      </c>
      <c r="K1844" t="s">
        <v>14</v>
      </c>
      <c r="L1844">
        <v>24</v>
      </c>
    </row>
    <row r="1845" spans="1:12" x14ac:dyDescent="0.3">
      <c r="A1845">
        <v>1699</v>
      </c>
      <c r="B1845" t="s">
        <v>24</v>
      </c>
      <c r="C1845" s="1">
        <v>45904</v>
      </c>
      <c r="D1845" s="1" t="str">
        <f>TEXT(FMData[[#This Row],[Show_Date]],"mmm")</f>
        <v>Sep</v>
      </c>
      <c r="E1845" s="1" t="str">
        <f>TEXT(FMData[[#This Row],[Show_Date]],"ddd")</f>
        <v>Thu</v>
      </c>
      <c r="F1845" t="s">
        <v>16</v>
      </c>
      <c r="G1845" t="s">
        <v>29</v>
      </c>
      <c r="H1845">
        <v>4</v>
      </c>
      <c r="I1845">
        <v>30</v>
      </c>
      <c r="J1845" t="s">
        <v>21</v>
      </c>
      <c r="K1845" t="s">
        <v>18</v>
      </c>
      <c r="L1845">
        <v>120</v>
      </c>
    </row>
    <row r="1846" spans="1:12" x14ac:dyDescent="0.3">
      <c r="A1846">
        <v>1215</v>
      </c>
      <c r="B1846" t="s">
        <v>26</v>
      </c>
      <c r="C1846" s="1">
        <v>45848</v>
      </c>
      <c r="D1846" s="1" t="str">
        <f>TEXT(FMData[[#This Row],[Show_Date]],"mmm")</f>
        <v>Jul</v>
      </c>
      <c r="E1846" s="1" t="str">
        <f>TEXT(FMData[[#This Row],[Show_Date]],"ddd")</f>
        <v>Thu</v>
      </c>
      <c r="F1846" t="s">
        <v>33</v>
      </c>
      <c r="G1846" t="s">
        <v>17</v>
      </c>
      <c r="H1846">
        <v>4</v>
      </c>
      <c r="I1846">
        <v>12</v>
      </c>
      <c r="J1846" t="s">
        <v>13</v>
      </c>
      <c r="K1846" t="s">
        <v>27</v>
      </c>
      <c r="L1846">
        <v>48</v>
      </c>
    </row>
    <row r="1847" spans="1:12" x14ac:dyDescent="0.3">
      <c r="A1847">
        <v>269</v>
      </c>
      <c r="B1847" t="s">
        <v>28</v>
      </c>
      <c r="C1847" s="1">
        <v>45920</v>
      </c>
      <c r="D1847" s="1" t="str">
        <f>TEXT(FMData[[#This Row],[Show_Date]],"mmm")</f>
        <v>Sep</v>
      </c>
      <c r="E1847" s="1" t="str">
        <f>TEXT(FMData[[#This Row],[Show_Date]],"ddd")</f>
        <v>Sat</v>
      </c>
      <c r="F1847" t="s">
        <v>33</v>
      </c>
      <c r="G1847" t="s">
        <v>17</v>
      </c>
      <c r="H1847">
        <v>3</v>
      </c>
      <c r="I1847">
        <v>12</v>
      </c>
      <c r="J1847" t="s">
        <v>21</v>
      </c>
      <c r="K1847" t="s">
        <v>14</v>
      </c>
      <c r="L1847">
        <v>36</v>
      </c>
    </row>
    <row r="1848" spans="1:12" x14ac:dyDescent="0.3">
      <c r="A1848">
        <v>1418</v>
      </c>
      <c r="B1848" t="s">
        <v>28</v>
      </c>
      <c r="C1848" s="1">
        <v>45927</v>
      </c>
      <c r="D1848" s="1" t="str">
        <f>TEXT(FMData[[#This Row],[Show_Date]],"mmm")</f>
        <v>Sep</v>
      </c>
      <c r="E1848" s="1" t="str">
        <f>TEXT(FMData[[#This Row],[Show_Date]],"ddd")</f>
        <v>Sat</v>
      </c>
      <c r="F1848" t="s">
        <v>20</v>
      </c>
      <c r="G1848" t="s">
        <v>30</v>
      </c>
      <c r="H1848">
        <v>3</v>
      </c>
      <c r="I1848">
        <v>8</v>
      </c>
      <c r="J1848" t="s">
        <v>23</v>
      </c>
      <c r="K1848" t="s">
        <v>25</v>
      </c>
      <c r="L1848">
        <v>24</v>
      </c>
    </row>
    <row r="1849" spans="1:12" x14ac:dyDescent="0.3">
      <c r="A1849">
        <v>320</v>
      </c>
      <c r="B1849" t="s">
        <v>10</v>
      </c>
      <c r="C1849" s="1">
        <v>45928</v>
      </c>
      <c r="D1849" s="1" t="str">
        <f>TEXT(FMData[[#This Row],[Show_Date]],"mmm")</f>
        <v>Sep</v>
      </c>
      <c r="E1849" s="1" t="str">
        <f>TEXT(FMData[[#This Row],[Show_Date]],"ddd")</f>
        <v>Sun</v>
      </c>
      <c r="F1849" t="s">
        <v>11</v>
      </c>
      <c r="G1849" t="s">
        <v>17</v>
      </c>
      <c r="H1849">
        <v>5</v>
      </c>
      <c r="I1849">
        <v>12</v>
      </c>
      <c r="J1849" t="s">
        <v>21</v>
      </c>
      <c r="K1849" t="s">
        <v>25</v>
      </c>
      <c r="L1849">
        <v>60</v>
      </c>
    </row>
    <row r="1850" spans="1:12" x14ac:dyDescent="0.3">
      <c r="A1850">
        <v>1952</v>
      </c>
      <c r="B1850" t="s">
        <v>32</v>
      </c>
      <c r="C1850" s="1">
        <v>45872</v>
      </c>
      <c r="D1850" s="1" t="str">
        <f>TEXT(FMData[[#This Row],[Show_Date]],"mmm")</f>
        <v>Aug</v>
      </c>
      <c r="E1850" s="1" t="str">
        <f>TEXT(FMData[[#This Row],[Show_Date]],"ddd")</f>
        <v>Sun</v>
      </c>
      <c r="F1850" t="s">
        <v>11</v>
      </c>
      <c r="G1850" t="s">
        <v>22</v>
      </c>
      <c r="H1850">
        <v>2</v>
      </c>
      <c r="I1850">
        <v>20</v>
      </c>
      <c r="J1850" t="s">
        <v>21</v>
      </c>
      <c r="K1850" t="s">
        <v>25</v>
      </c>
      <c r="L1850">
        <v>40</v>
      </c>
    </row>
    <row r="1851" spans="1:12" x14ac:dyDescent="0.3">
      <c r="A1851">
        <v>544</v>
      </c>
      <c r="B1851" t="s">
        <v>26</v>
      </c>
      <c r="C1851" s="1">
        <v>45851</v>
      </c>
      <c r="D1851" s="1" t="str">
        <f>TEXT(FMData[[#This Row],[Show_Date]],"mmm")</f>
        <v>Jul</v>
      </c>
      <c r="E1851" s="1" t="str">
        <f>TEXT(FMData[[#This Row],[Show_Date]],"ddd")</f>
        <v>Sun</v>
      </c>
      <c r="F1851" t="s">
        <v>16</v>
      </c>
      <c r="G1851" t="s">
        <v>12</v>
      </c>
      <c r="H1851">
        <v>2</v>
      </c>
      <c r="I1851">
        <v>25</v>
      </c>
      <c r="J1851" t="s">
        <v>13</v>
      </c>
      <c r="K1851" t="s">
        <v>27</v>
      </c>
      <c r="L1851">
        <v>50</v>
      </c>
    </row>
    <row r="1852" spans="1:12" x14ac:dyDescent="0.3">
      <c r="A1852">
        <v>8</v>
      </c>
      <c r="B1852" t="s">
        <v>15</v>
      </c>
      <c r="C1852" s="1">
        <v>45855</v>
      </c>
      <c r="D1852" s="1" t="str">
        <f>TEXT(FMData[[#This Row],[Show_Date]],"mmm")</f>
        <v>Jul</v>
      </c>
      <c r="E1852" s="1" t="str">
        <f>TEXT(FMData[[#This Row],[Show_Date]],"ddd")</f>
        <v>Thu</v>
      </c>
      <c r="F1852" t="s">
        <v>11</v>
      </c>
      <c r="G1852" t="s">
        <v>30</v>
      </c>
      <c r="H1852">
        <v>1</v>
      </c>
      <c r="I1852">
        <v>8</v>
      </c>
      <c r="J1852" t="s">
        <v>21</v>
      </c>
      <c r="K1852" t="s">
        <v>18</v>
      </c>
      <c r="L1852">
        <v>8</v>
      </c>
    </row>
    <row r="1853" spans="1:12" x14ac:dyDescent="0.3">
      <c r="A1853">
        <v>411</v>
      </c>
      <c r="B1853" t="s">
        <v>32</v>
      </c>
      <c r="C1853" s="1">
        <v>45856</v>
      </c>
      <c r="D1853" s="1" t="str">
        <f>TEXT(FMData[[#This Row],[Show_Date]],"mmm")</f>
        <v>Jul</v>
      </c>
      <c r="E1853" s="1" t="str">
        <f>TEXT(FMData[[#This Row],[Show_Date]],"ddd")</f>
        <v>Fri</v>
      </c>
      <c r="F1853" t="s">
        <v>11</v>
      </c>
      <c r="G1853" t="s">
        <v>30</v>
      </c>
      <c r="H1853">
        <v>1</v>
      </c>
      <c r="I1853">
        <v>8</v>
      </c>
      <c r="J1853" t="s">
        <v>13</v>
      </c>
      <c r="K1853" t="s">
        <v>14</v>
      </c>
      <c r="L1853">
        <v>8</v>
      </c>
    </row>
    <row r="1854" spans="1:12" x14ac:dyDescent="0.3">
      <c r="A1854">
        <v>91</v>
      </c>
      <c r="B1854" t="s">
        <v>19</v>
      </c>
      <c r="C1854" s="1">
        <v>45913</v>
      </c>
      <c r="D1854" s="1" t="str">
        <f>TEXT(FMData[[#This Row],[Show_Date]],"mmm")</f>
        <v>Sep</v>
      </c>
      <c r="E1854" s="1" t="str">
        <f>TEXT(FMData[[#This Row],[Show_Date]],"ddd")</f>
        <v>Sat</v>
      </c>
      <c r="F1854" t="s">
        <v>20</v>
      </c>
      <c r="G1854" t="s">
        <v>30</v>
      </c>
      <c r="H1854">
        <v>5</v>
      </c>
      <c r="I1854">
        <v>8</v>
      </c>
      <c r="J1854" t="s">
        <v>13</v>
      </c>
      <c r="K1854" t="s">
        <v>14</v>
      </c>
      <c r="L1854">
        <v>40</v>
      </c>
    </row>
    <row r="1855" spans="1:12" x14ac:dyDescent="0.3">
      <c r="A1855">
        <v>995</v>
      </c>
      <c r="B1855" t="s">
        <v>31</v>
      </c>
      <c r="C1855" s="1">
        <v>45872</v>
      </c>
      <c r="D1855" s="1" t="str">
        <f>TEXT(FMData[[#This Row],[Show_Date]],"mmm")</f>
        <v>Aug</v>
      </c>
      <c r="E1855" s="1" t="str">
        <f>TEXT(FMData[[#This Row],[Show_Date]],"ddd")</f>
        <v>Sun</v>
      </c>
      <c r="F1855" t="s">
        <v>20</v>
      </c>
      <c r="G1855" t="s">
        <v>17</v>
      </c>
      <c r="H1855">
        <v>1</v>
      </c>
      <c r="I1855">
        <v>12</v>
      </c>
      <c r="J1855" t="s">
        <v>13</v>
      </c>
      <c r="K1855" t="s">
        <v>18</v>
      </c>
      <c r="L1855">
        <v>12</v>
      </c>
    </row>
    <row r="1856" spans="1:12" x14ac:dyDescent="0.3">
      <c r="A1856">
        <v>221</v>
      </c>
      <c r="B1856" t="s">
        <v>32</v>
      </c>
      <c r="C1856" s="1">
        <v>45857</v>
      </c>
      <c r="D1856" s="1" t="str">
        <f>TEXT(FMData[[#This Row],[Show_Date]],"mmm")</f>
        <v>Jul</v>
      </c>
      <c r="E1856" s="1" t="str">
        <f>TEXT(FMData[[#This Row],[Show_Date]],"ddd")</f>
        <v>Sat</v>
      </c>
      <c r="F1856" t="s">
        <v>16</v>
      </c>
      <c r="G1856" t="s">
        <v>30</v>
      </c>
      <c r="H1856">
        <v>1</v>
      </c>
      <c r="I1856">
        <v>8</v>
      </c>
      <c r="J1856" t="s">
        <v>23</v>
      </c>
      <c r="K1856" t="s">
        <v>27</v>
      </c>
      <c r="L1856">
        <v>8</v>
      </c>
    </row>
    <row r="1857" spans="1:12" x14ac:dyDescent="0.3">
      <c r="A1857">
        <v>197</v>
      </c>
      <c r="B1857" t="s">
        <v>26</v>
      </c>
      <c r="C1857" s="1">
        <v>45922</v>
      </c>
      <c r="D1857" s="1" t="str">
        <f>TEXT(FMData[[#This Row],[Show_Date]],"mmm")</f>
        <v>Sep</v>
      </c>
      <c r="E1857" s="1" t="str">
        <f>TEXT(FMData[[#This Row],[Show_Date]],"ddd")</f>
        <v>Mon</v>
      </c>
      <c r="F1857" t="s">
        <v>11</v>
      </c>
      <c r="G1857" t="s">
        <v>17</v>
      </c>
      <c r="H1857">
        <v>5</v>
      </c>
      <c r="I1857">
        <v>12</v>
      </c>
      <c r="J1857" t="s">
        <v>23</v>
      </c>
      <c r="K1857" t="s">
        <v>25</v>
      </c>
      <c r="L1857">
        <v>60</v>
      </c>
    </row>
    <row r="1858" spans="1:12" x14ac:dyDescent="0.3">
      <c r="A1858">
        <v>1939</v>
      </c>
      <c r="B1858" t="s">
        <v>26</v>
      </c>
      <c r="C1858" s="1">
        <v>45857</v>
      </c>
      <c r="D1858" s="1" t="str">
        <f>TEXT(FMData[[#This Row],[Show_Date]],"mmm")</f>
        <v>Jul</v>
      </c>
      <c r="E1858" s="1" t="str">
        <f>TEXT(FMData[[#This Row],[Show_Date]],"ddd")</f>
        <v>Sat</v>
      </c>
      <c r="F1858" t="s">
        <v>33</v>
      </c>
      <c r="G1858" t="s">
        <v>17</v>
      </c>
      <c r="H1858">
        <v>5</v>
      </c>
      <c r="I1858">
        <v>12</v>
      </c>
      <c r="J1858" t="s">
        <v>13</v>
      </c>
      <c r="K1858" t="s">
        <v>25</v>
      </c>
      <c r="L1858">
        <v>60</v>
      </c>
    </row>
    <row r="1859" spans="1:12" x14ac:dyDescent="0.3">
      <c r="A1859">
        <v>1462</v>
      </c>
      <c r="B1859" t="s">
        <v>15</v>
      </c>
      <c r="C1859" s="1">
        <v>45854</v>
      </c>
      <c r="D1859" s="1" t="str">
        <f>TEXT(FMData[[#This Row],[Show_Date]],"mmm")</f>
        <v>Jul</v>
      </c>
      <c r="E1859" s="1" t="str">
        <f>TEXT(FMData[[#This Row],[Show_Date]],"ddd")</f>
        <v>Wed</v>
      </c>
      <c r="F1859" t="s">
        <v>33</v>
      </c>
      <c r="G1859" t="s">
        <v>17</v>
      </c>
      <c r="H1859">
        <v>5</v>
      </c>
      <c r="I1859">
        <v>12</v>
      </c>
      <c r="J1859" t="s">
        <v>23</v>
      </c>
      <c r="K1859" t="s">
        <v>18</v>
      </c>
      <c r="L1859">
        <v>60</v>
      </c>
    </row>
    <row r="1860" spans="1:12" x14ac:dyDescent="0.3">
      <c r="A1860">
        <v>1908</v>
      </c>
      <c r="B1860" t="s">
        <v>24</v>
      </c>
      <c r="C1860" s="1">
        <v>45862</v>
      </c>
      <c r="D1860" s="1" t="str">
        <f>TEXT(FMData[[#This Row],[Show_Date]],"mmm")</f>
        <v>Jul</v>
      </c>
      <c r="E1860" s="1" t="str">
        <f>TEXT(FMData[[#This Row],[Show_Date]],"ddd")</f>
        <v>Thu</v>
      </c>
      <c r="F1860" t="s">
        <v>11</v>
      </c>
      <c r="G1860" t="s">
        <v>17</v>
      </c>
      <c r="H1860">
        <v>4</v>
      </c>
      <c r="I1860">
        <v>12</v>
      </c>
      <c r="J1860" t="s">
        <v>21</v>
      </c>
      <c r="K1860" t="s">
        <v>25</v>
      </c>
      <c r="L1860">
        <v>48</v>
      </c>
    </row>
    <row r="1861" spans="1:12" x14ac:dyDescent="0.3">
      <c r="A1861">
        <v>589</v>
      </c>
      <c r="B1861" t="s">
        <v>31</v>
      </c>
      <c r="C1861" s="1">
        <v>45872</v>
      </c>
      <c r="D1861" s="1" t="str">
        <f>TEXT(FMData[[#This Row],[Show_Date]],"mmm")</f>
        <v>Aug</v>
      </c>
      <c r="E1861" s="1" t="str">
        <f>TEXT(FMData[[#This Row],[Show_Date]],"ddd")</f>
        <v>Sun</v>
      </c>
      <c r="F1861" t="s">
        <v>20</v>
      </c>
      <c r="G1861" t="s">
        <v>17</v>
      </c>
      <c r="H1861">
        <v>4</v>
      </c>
      <c r="I1861">
        <v>12</v>
      </c>
      <c r="J1861" t="s">
        <v>21</v>
      </c>
      <c r="K1861" t="s">
        <v>25</v>
      </c>
      <c r="L1861">
        <v>48</v>
      </c>
    </row>
    <row r="1862" spans="1:12" x14ac:dyDescent="0.3">
      <c r="A1862">
        <v>362</v>
      </c>
      <c r="B1862" t="s">
        <v>24</v>
      </c>
      <c r="C1862" s="1">
        <v>45894</v>
      </c>
      <c r="D1862" s="1" t="str">
        <f>TEXT(FMData[[#This Row],[Show_Date]],"mmm")</f>
        <v>Aug</v>
      </c>
      <c r="E1862" s="1" t="str">
        <f>TEXT(FMData[[#This Row],[Show_Date]],"ddd")</f>
        <v>Mon</v>
      </c>
      <c r="F1862" t="s">
        <v>20</v>
      </c>
      <c r="G1862" t="s">
        <v>17</v>
      </c>
      <c r="H1862">
        <v>4</v>
      </c>
      <c r="I1862">
        <v>12</v>
      </c>
      <c r="J1862" t="s">
        <v>23</v>
      </c>
      <c r="K1862" t="s">
        <v>27</v>
      </c>
      <c r="L1862">
        <v>48</v>
      </c>
    </row>
    <row r="1863" spans="1:12" x14ac:dyDescent="0.3">
      <c r="A1863">
        <v>297</v>
      </c>
      <c r="B1863" t="s">
        <v>10</v>
      </c>
      <c r="C1863" s="1">
        <v>45867</v>
      </c>
      <c r="D1863" s="1" t="str">
        <f>TEXT(FMData[[#This Row],[Show_Date]],"mmm")</f>
        <v>Jul</v>
      </c>
      <c r="E1863" s="1" t="str">
        <f>TEXT(FMData[[#This Row],[Show_Date]],"ddd")</f>
        <v>Tue</v>
      </c>
      <c r="F1863" t="s">
        <v>33</v>
      </c>
      <c r="G1863" t="s">
        <v>17</v>
      </c>
      <c r="H1863">
        <v>5</v>
      </c>
      <c r="I1863">
        <v>12</v>
      </c>
      <c r="J1863" t="s">
        <v>23</v>
      </c>
      <c r="K1863" t="s">
        <v>14</v>
      </c>
      <c r="L1863">
        <v>60</v>
      </c>
    </row>
    <row r="1864" spans="1:12" x14ac:dyDescent="0.3">
      <c r="A1864">
        <v>1525</v>
      </c>
      <c r="B1864" t="s">
        <v>15</v>
      </c>
      <c r="C1864" s="1">
        <v>45857</v>
      </c>
      <c r="D1864" s="1" t="str">
        <f>TEXT(FMData[[#This Row],[Show_Date]],"mmm")</f>
        <v>Jul</v>
      </c>
      <c r="E1864" s="1" t="str">
        <f>TEXT(FMData[[#This Row],[Show_Date]],"ddd")</f>
        <v>Sat</v>
      </c>
      <c r="F1864" t="s">
        <v>11</v>
      </c>
      <c r="G1864" t="s">
        <v>17</v>
      </c>
      <c r="H1864">
        <v>2</v>
      </c>
      <c r="I1864">
        <v>12</v>
      </c>
      <c r="J1864" t="s">
        <v>13</v>
      </c>
      <c r="K1864" t="s">
        <v>18</v>
      </c>
      <c r="L1864">
        <v>24</v>
      </c>
    </row>
    <row r="1865" spans="1:12" x14ac:dyDescent="0.3">
      <c r="A1865">
        <v>1982</v>
      </c>
      <c r="B1865" t="s">
        <v>31</v>
      </c>
      <c r="C1865" s="1">
        <v>45892</v>
      </c>
      <c r="D1865" s="1" t="str">
        <f>TEXT(FMData[[#This Row],[Show_Date]],"mmm")</f>
        <v>Aug</v>
      </c>
      <c r="E1865" s="1" t="str">
        <f>TEXT(FMData[[#This Row],[Show_Date]],"ddd")</f>
        <v>Sat</v>
      </c>
      <c r="F1865" t="s">
        <v>33</v>
      </c>
      <c r="G1865" t="s">
        <v>22</v>
      </c>
      <c r="H1865">
        <v>3</v>
      </c>
      <c r="I1865">
        <v>20</v>
      </c>
      <c r="J1865" t="s">
        <v>13</v>
      </c>
      <c r="K1865" t="s">
        <v>14</v>
      </c>
      <c r="L1865">
        <v>60</v>
      </c>
    </row>
    <row r="1866" spans="1:12" x14ac:dyDescent="0.3">
      <c r="A1866">
        <v>1405</v>
      </c>
      <c r="B1866" t="s">
        <v>26</v>
      </c>
      <c r="C1866" s="1">
        <v>45865</v>
      </c>
      <c r="D1866" s="1" t="str">
        <f>TEXT(FMData[[#This Row],[Show_Date]],"mmm")</f>
        <v>Jul</v>
      </c>
      <c r="E1866" s="1" t="str">
        <f>TEXT(FMData[[#This Row],[Show_Date]],"ddd")</f>
        <v>Sun</v>
      </c>
      <c r="F1866" t="s">
        <v>33</v>
      </c>
      <c r="G1866" t="s">
        <v>30</v>
      </c>
      <c r="H1866">
        <v>1</v>
      </c>
      <c r="I1866">
        <v>8</v>
      </c>
      <c r="J1866" t="s">
        <v>13</v>
      </c>
      <c r="K1866" t="s">
        <v>25</v>
      </c>
      <c r="L1866">
        <v>8</v>
      </c>
    </row>
    <row r="1867" spans="1:12" x14ac:dyDescent="0.3">
      <c r="A1867">
        <v>1799</v>
      </c>
      <c r="B1867" t="s">
        <v>28</v>
      </c>
      <c r="C1867" s="1">
        <v>45844</v>
      </c>
      <c r="D1867" s="1" t="str">
        <f>TEXT(FMData[[#This Row],[Show_Date]],"mmm")</f>
        <v>Jul</v>
      </c>
      <c r="E1867" s="1" t="str">
        <f>TEXT(FMData[[#This Row],[Show_Date]],"ddd")</f>
        <v>Sun</v>
      </c>
      <c r="F1867" t="s">
        <v>33</v>
      </c>
      <c r="G1867" t="s">
        <v>17</v>
      </c>
      <c r="H1867">
        <v>2</v>
      </c>
      <c r="I1867">
        <v>12</v>
      </c>
      <c r="J1867" t="s">
        <v>21</v>
      </c>
      <c r="K1867" t="s">
        <v>14</v>
      </c>
      <c r="L1867">
        <v>24</v>
      </c>
    </row>
    <row r="1868" spans="1:12" x14ac:dyDescent="0.3">
      <c r="A1868">
        <v>299</v>
      </c>
      <c r="B1868" t="s">
        <v>15</v>
      </c>
      <c r="C1868" s="1">
        <v>45866</v>
      </c>
      <c r="D1868" s="1" t="str">
        <f>TEXT(FMData[[#This Row],[Show_Date]],"mmm")</f>
        <v>Jul</v>
      </c>
      <c r="E1868" s="1" t="str">
        <f>TEXT(FMData[[#This Row],[Show_Date]],"ddd")</f>
        <v>Mon</v>
      </c>
      <c r="F1868" t="s">
        <v>11</v>
      </c>
      <c r="G1868" t="s">
        <v>17</v>
      </c>
      <c r="H1868">
        <v>5</v>
      </c>
      <c r="I1868">
        <v>12</v>
      </c>
      <c r="J1868" t="s">
        <v>21</v>
      </c>
      <c r="K1868" t="s">
        <v>18</v>
      </c>
      <c r="L1868">
        <v>60</v>
      </c>
    </row>
    <row r="1869" spans="1:12" x14ac:dyDescent="0.3">
      <c r="A1869">
        <v>1146</v>
      </c>
      <c r="B1869" t="s">
        <v>10</v>
      </c>
      <c r="C1869" s="1">
        <v>45847</v>
      </c>
      <c r="D1869" s="1" t="str">
        <f>TEXT(FMData[[#This Row],[Show_Date]],"mmm")</f>
        <v>Jul</v>
      </c>
      <c r="E1869" s="1" t="str">
        <f>TEXT(FMData[[#This Row],[Show_Date]],"ddd")</f>
        <v>Wed</v>
      </c>
      <c r="F1869" t="s">
        <v>16</v>
      </c>
      <c r="G1869" t="s">
        <v>17</v>
      </c>
      <c r="H1869">
        <v>4</v>
      </c>
      <c r="I1869">
        <v>12</v>
      </c>
      <c r="J1869" t="s">
        <v>21</v>
      </c>
      <c r="K1869" t="s">
        <v>25</v>
      </c>
      <c r="L1869">
        <v>48</v>
      </c>
    </row>
    <row r="1870" spans="1:12" x14ac:dyDescent="0.3">
      <c r="A1870">
        <v>1787</v>
      </c>
      <c r="B1870" t="s">
        <v>31</v>
      </c>
      <c r="C1870" s="1">
        <v>45907</v>
      </c>
      <c r="D1870" s="1" t="str">
        <f>TEXT(FMData[[#This Row],[Show_Date]],"mmm")</f>
        <v>Sep</v>
      </c>
      <c r="E1870" s="1" t="str">
        <f>TEXT(FMData[[#This Row],[Show_Date]],"ddd")</f>
        <v>Sun</v>
      </c>
      <c r="F1870" t="s">
        <v>11</v>
      </c>
      <c r="G1870" t="s">
        <v>12</v>
      </c>
      <c r="H1870">
        <v>2</v>
      </c>
      <c r="I1870">
        <v>25</v>
      </c>
      <c r="J1870" t="s">
        <v>23</v>
      </c>
      <c r="K1870" t="s">
        <v>25</v>
      </c>
      <c r="L1870">
        <v>50</v>
      </c>
    </row>
    <row r="1871" spans="1:12" x14ac:dyDescent="0.3">
      <c r="A1871">
        <v>259</v>
      </c>
      <c r="B1871" t="s">
        <v>19</v>
      </c>
      <c r="C1871" s="1">
        <v>45891</v>
      </c>
      <c r="D1871" s="1" t="str">
        <f>TEXT(FMData[[#This Row],[Show_Date]],"mmm")</f>
        <v>Aug</v>
      </c>
      <c r="E1871" s="1" t="str">
        <f>TEXT(FMData[[#This Row],[Show_Date]],"ddd")</f>
        <v>Fri</v>
      </c>
      <c r="F1871" t="s">
        <v>16</v>
      </c>
      <c r="G1871" t="s">
        <v>17</v>
      </c>
      <c r="H1871">
        <v>4</v>
      </c>
      <c r="I1871">
        <v>12</v>
      </c>
      <c r="J1871" t="s">
        <v>21</v>
      </c>
      <c r="K1871" t="s">
        <v>25</v>
      </c>
      <c r="L1871">
        <v>48</v>
      </c>
    </row>
    <row r="1872" spans="1:12" x14ac:dyDescent="0.3">
      <c r="A1872">
        <v>1694</v>
      </c>
      <c r="B1872" t="s">
        <v>28</v>
      </c>
      <c r="C1872" s="1">
        <v>45910</v>
      </c>
      <c r="D1872" s="1" t="str">
        <f>TEXT(FMData[[#This Row],[Show_Date]],"mmm")</f>
        <v>Sep</v>
      </c>
      <c r="E1872" s="1" t="str">
        <f>TEXT(FMData[[#This Row],[Show_Date]],"ddd")</f>
        <v>Wed</v>
      </c>
      <c r="F1872" t="s">
        <v>16</v>
      </c>
      <c r="G1872" t="s">
        <v>17</v>
      </c>
      <c r="H1872">
        <v>5</v>
      </c>
      <c r="I1872">
        <v>12</v>
      </c>
      <c r="J1872" t="s">
        <v>23</v>
      </c>
      <c r="K1872" t="s">
        <v>14</v>
      </c>
      <c r="L1872">
        <v>60</v>
      </c>
    </row>
    <row r="1873" spans="1:12" x14ac:dyDescent="0.3">
      <c r="A1873">
        <v>1139</v>
      </c>
      <c r="B1873" t="s">
        <v>31</v>
      </c>
      <c r="C1873" s="1">
        <v>45854</v>
      </c>
      <c r="D1873" s="1" t="str">
        <f>TEXT(FMData[[#This Row],[Show_Date]],"mmm")</f>
        <v>Jul</v>
      </c>
      <c r="E1873" s="1" t="str">
        <f>TEXT(FMData[[#This Row],[Show_Date]],"ddd")</f>
        <v>Wed</v>
      </c>
      <c r="F1873" t="s">
        <v>33</v>
      </c>
      <c r="G1873" t="s">
        <v>12</v>
      </c>
      <c r="H1873">
        <v>1</v>
      </c>
      <c r="I1873">
        <v>25</v>
      </c>
      <c r="J1873" t="s">
        <v>23</v>
      </c>
      <c r="K1873" t="s">
        <v>14</v>
      </c>
      <c r="L1873">
        <v>25</v>
      </c>
    </row>
    <row r="1874" spans="1:12" x14ac:dyDescent="0.3">
      <c r="A1874">
        <v>734</v>
      </c>
      <c r="B1874" t="s">
        <v>19</v>
      </c>
      <c r="C1874" s="1">
        <v>45928</v>
      </c>
      <c r="D1874" s="1" t="str">
        <f>TEXT(FMData[[#This Row],[Show_Date]],"mmm")</f>
        <v>Sep</v>
      </c>
      <c r="E1874" s="1" t="str">
        <f>TEXT(FMData[[#This Row],[Show_Date]],"ddd")</f>
        <v>Sun</v>
      </c>
      <c r="F1874" t="s">
        <v>16</v>
      </c>
      <c r="G1874" t="s">
        <v>29</v>
      </c>
      <c r="H1874">
        <v>2</v>
      </c>
      <c r="I1874">
        <v>30</v>
      </c>
      <c r="J1874" t="s">
        <v>13</v>
      </c>
      <c r="K1874" t="s">
        <v>18</v>
      </c>
      <c r="L1874">
        <v>60</v>
      </c>
    </row>
    <row r="1875" spans="1:12" x14ac:dyDescent="0.3">
      <c r="A1875">
        <v>987</v>
      </c>
      <c r="B1875" t="s">
        <v>31</v>
      </c>
      <c r="C1875" s="1">
        <v>45887</v>
      </c>
      <c r="D1875" s="1" t="str">
        <f>TEXT(FMData[[#This Row],[Show_Date]],"mmm")</f>
        <v>Aug</v>
      </c>
      <c r="E1875" s="1" t="str">
        <f>TEXT(FMData[[#This Row],[Show_Date]],"ddd")</f>
        <v>Mon</v>
      </c>
      <c r="F1875" t="s">
        <v>20</v>
      </c>
      <c r="G1875" t="s">
        <v>17</v>
      </c>
      <c r="H1875">
        <v>3</v>
      </c>
      <c r="I1875">
        <v>12</v>
      </c>
      <c r="J1875" t="s">
        <v>13</v>
      </c>
      <c r="K1875" t="s">
        <v>25</v>
      </c>
      <c r="L1875">
        <v>36</v>
      </c>
    </row>
    <row r="1876" spans="1:12" x14ac:dyDescent="0.3">
      <c r="A1876">
        <v>1317</v>
      </c>
      <c r="B1876" t="s">
        <v>26</v>
      </c>
      <c r="C1876" s="1">
        <v>45914</v>
      </c>
      <c r="D1876" s="1" t="str">
        <f>TEXT(FMData[[#This Row],[Show_Date]],"mmm")</f>
        <v>Sep</v>
      </c>
      <c r="E1876" s="1" t="str">
        <f>TEXT(FMData[[#This Row],[Show_Date]],"ddd")</f>
        <v>Sun</v>
      </c>
      <c r="F1876" t="s">
        <v>16</v>
      </c>
      <c r="G1876" t="s">
        <v>17</v>
      </c>
      <c r="H1876">
        <v>5</v>
      </c>
      <c r="I1876">
        <v>12</v>
      </c>
      <c r="J1876" t="s">
        <v>21</v>
      </c>
      <c r="K1876" t="s">
        <v>25</v>
      </c>
      <c r="L1876">
        <v>60</v>
      </c>
    </row>
    <row r="1877" spans="1:12" x14ac:dyDescent="0.3">
      <c r="A1877">
        <v>1690</v>
      </c>
      <c r="B1877" t="s">
        <v>31</v>
      </c>
      <c r="C1877" s="1">
        <v>45886</v>
      </c>
      <c r="D1877" s="1" t="str">
        <f>TEXT(FMData[[#This Row],[Show_Date]],"mmm")</f>
        <v>Aug</v>
      </c>
      <c r="E1877" s="1" t="str">
        <f>TEXT(FMData[[#This Row],[Show_Date]],"ddd")</f>
        <v>Sun</v>
      </c>
      <c r="F1877" t="s">
        <v>16</v>
      </c>
      <c r="G1877" t="s">
        <v>17</v>
      </c>
      <c r="H1877">
        <v>2</v>
      </c>
      <c r="I1877">
        <v>12</v>
      </c>
      <c r="J1877" t="s">
        <v>21</v>
      </c>
      <c r="K1877" t="s">
        <v>14</v>
      </c>
      <c r="L1877">
        <v>24</v>
      </c>
    </row>
    <row r="1878" spans="1:12" x14ac:dyDescent="0.3">
      <c r="A1878">
        <v>1235</v>
      </c>
      <c r="B1878" t="s">
        <v>26</v>
      </c>
      <c r="C1878" s="1">
        <v>45890</v>
      </c>
      <c r="D1878" s="1" t="str">
        <f>TEXT(FMData[[#This Row],[Show_Date]],"mmm")</f>
        <v>Aug</v>
      </c>
      <c r="E1878" s="1" t="str">
        <f>TEXT(FMData[[#This Row],[Show_Date]],"ddd")</f>
        <v>Thu</v>
      </c>
      <c r="F1878" t="s">
        <v>20</v>
      </c>
      <c r="G1878" t="s">
        <v>17</v>
      </c>
      <c r="H1878">
        <v>2</v>
      </c>
      <c r="I1878">
        <v>12</v>
      </c>
      <c r="J1878" t="s">
        <v>21</v>
      </c>
      <c r="K1878" t="s">
        <v>27</v>
      </c>
      <c r="L1878">
        <v>24</v>
      </c>
    </row>
    <row r="1879" spans="1:12" x14ac:dyDescent="0.3">
      <c r="A1879">
        <v>410</v>
      </c>
      <c r="B1879" t="s">
        <v>10</v>
      </c>
      <c r="C1879" s="1">
        <v>45928</v>
      </c>
      <c r="D1879" s="1" t="str">
        <f>TEXT(FMData[[#This Row],[Show_Date]],"mmm")</f>
        <v>Sep</v>
      </c>
      <c r="E1879" s="1" t="str">
        <f>TEXT(FMData[[#This Row],[Show_Date]],"ddd")</f>
        <v>Sun</v>
      </c>
      <c r="F1879" t="s">
        <v>16</v>
      </c>
      <c r="G1879" t="s">
        <v>17</v>
      </c>
      <c r="H1879">
        <v>2</v>
      </c>
      <c r="I1879">
        <v>12</v>
      </c>
      <c r="J1879" t="s">
        <v>13</v>
      </c>
      <c r="K1879" t="s">
        <v>18</v>
      </c>
      <c r="L1879">
        <v>24</v>
      </c>
    </row>
    <row r="1880" spans="1:12" x14ac:dyDescent="0.3">
      <c r="A1880">
        <v>1565</v>
      </c>
      <c r="B1880" t="s">
        <v>32</v>
      </c>
      <c r="C1880" s="1">
        <v>45879</v>
      </c>
      <c r="D1880" s="1" t="str">
        <f>TEXT(FMData[[#This Row],[Show_Date]],"mmm")</f>
        <v>Aug</v>
      </c>
      <c r="E1880" s="1" t="str">
        <f>TEXT(FMData[[#This Row],[Show_Date]],"ddd")</f>
        <v>Sun</v>
      </c>
      <c r="F1880" t="s">
        <v>33</v>
      </c>
      <c r="G1880" t="s">
        <v>17</v>
      </c>
      <c r="H1880">
        <v>2</v>
      </c>
      <c r="I1880">
        <v>12</v>
      </c>
      <c r="J1880" t="s">
        <v>21</v>
      </c>
      <c r="K1880" t="s">
        <v>27</v>
      </c>
      <c r="L1880">
        <v>24</v>
      </c>
    </row>
    <row r="1881" spans="1:12" x14ac:dyDescent="0.3">
      <c r="A1881">
        <v>670</v>
      </c>
      <c r="B1881" t="s">
        <v>28</v>
      </c>
      <c r="C1881" s="1">
        <v>45879</v>
      </c>
      <c r="D1881" s="1" t="str">
        <f>TEXT(FMData[[#This Row],[Show_Date]],"mmm")</f>
        <v>Aug</v>
      </c>
      <c r="E1881" s="1" t="str">
        <f>TEXT(FMData[[#This Row],[Show_Date]],"ddd")</f>
        <v>Sun</v>
      </c>
      <c r="F1881" t="s">
        <v>11</v>
      </c>
      <c r="G1881" t="s">
        <v>17</v>
      </c>
      <c r="H1881">
        <v>1</v>
      </c>
      <c r="I1881">
        <v>12</v>
      </c>
      <c r="J1881" t="s">
        <v>21</v>
      </c>
      <c r="K1881" t="s">
        <v>27</v>
      </c>
      <c r="L1881">
        <v>12</v>
      </c>
    </row>
    <row r="1882" spans="1:12" x14ac:dyDescent="0.3">
      <c r="A1882">
        <v>510</v>
      </c>
      <c r="B1882" t="s">
        <v>26</v>
      </c>
      <c r="C1882" s="1">
        <v>45879</v>
      </c>
      <c r="D1882" s="1" t="str">
        <f>TEXT(FMData[[#This Row],[Show_Date]],"mmm")</f>
        <v>Aug</v>
      </c>
      <c r="E1882" s="1" t="str">
        <f>TEXT(FMData[[#This Row],[Show_Date]],"ddd")</f>
        <v>Sun</v>
      </c>
      <c r="F1882" t="s">
        <v>16</v>
      </c>
      <c r="G1882" t="s">
        <v>22</v>
      </c>
      <c r="H1882">
        <v>2</v>
      </c>
      <c r="I1882">
        <v>20</v>
      </c>
      <c r="J1882" t="s">
        <v>21</v>
      </c>
      <c r="K1882" t="s">
        <v>18</v>
      </c>
      <c r="L1882">
        <v>40</v>
      </c>
    </row>
    <row r="1883" spans="1:12" x14ac:dyDescent="0.3">
      <c r="A1883">
        <v>55</v>
      </c>
      <c r="B1883" t="s">
        <v>28</v>
      </c>
      <c r="C1883" s="1">
        <v>45871</v>
      </c>
      <c r="D1883" s="1" t="str">
        <f>TEXT(FMData[[#This Row],[Show_Date]],"mmm")</f>
        <v>Aug</v>
      </c>
      <c r="E1883" s="1" t="str">
        <f>TEXT(FMData[[#This Row],[Show_Date]],"ddd")</f>
        <v>Sat</v>
      </c>
      <c r="F1883" t="s">
        <v>11</v>
      </c>
      <c r="G1883" t="s">
        <v>22</v>
      </c>
      <c r="H1883">
        <v>5</v>
      </c>
      <c r="I1883">
        <v>20</v>
      </c>
      <c r="J1883" t="s">
        <v>13</v>
      </c>
      <c r="K1883" t="s">
        <v>18</v>
      </c>
      <c r="L1883">
        <v>100</v>
      </c>
    </row>
    <row r="1884" spans="1:12" x14ac:dyDescent="0.3">
      <c r="A1884">
        <v>133</v>
      </c>
      <c r="B1884" t="s">
        <v>24</v>
      </c>
      <c r="C1884" s="1">
        <v>45878</v>
      </c>
      <c r="D1884" s="1" t="str">
        <f>TEXT(FMData[[#This Row],[Show_Date]],"mmm")</f>
        <v>Aug</v>
      </c>
      <c r="E1884" s="1" t="str">
        <f>TEXT(FMData[[#This Row],[Show_Date]],"ddd")</f>
        <v>Sat</v>
      </c>
      <c r="F1884" t="s">
        <v>20</v>
      </c>
      <c r="G1884" t="s">
        <v>12</v>
      </c>
      <c r="H1884">
        <v>4</v>
      </c>
      <c r="I1884">
        <v>25</v>
      </c>
      <c r="J1884" t="s">
        <v>23</v>
      </c>
      <c r="K1884" t="s">
        <v>27</v>
      </c>
      <c r="L1884">
        <v>100</v>
      </c>
    </row>
    <row r="1885" spans="1:12" x14ac:dyDescent="0.3">
      <c r="A1885">
        <v>1836</v>
      </c>
      <c r="B1885" t="s">
        <v>26</v>
      </c>
      <c r="C1885" s="1">
        <v>45886</v>
      </c>
      <c r="D1885" s="1" t="str">
        <f>TEXT(FMData[[#This Row],[Show_Date]],"mmm")</f>
        <v>Aug</v>
      </c>
      <c r="E1885" s="1" t="str">
        <f>TEXT(FMData[[#This Row],[Show_Date]],"ddd")</f>
        <v>Sun</v>
      </c>
      <c r="F1885" t="s">
        <v>20</v>
      </c>
      <c r="G1885" t="s">
        <v>17</v>
      </c>
      <c r="H1885">
        <v>3</v>
      </c>
      <c r="I1885">
        <v>12</v>
      </c>
      <c r="J1885" t="s">
        <v>13</v>
      </c>
      <c r="K1885" t="s">
        <v>18</v>
      </c>
      <c r="L1885">
        <v>36</v>
      </c>
    </row>
    <row r="1886" spans="1:12" x14ac:dyDescent="0.3">
      <c r="A1886">
        <v>1629</v>
      </c>
      <c r="B1886" t="s">
        <v>28</v>
      </c>
      <c r="C1886" s="1">
        <v>45845</v>
      </c>
      <c r="D1886" s="1" t="str">
        <f>TEXT(FMData[[#This Row],[Show_Date]],"mmm")</f>
        <v>Jul</v>
      </c>
      <c r="E1886" s="1" t="str">
        <f>TEXT(FMData[[#This Row],[Show_Date]],"ddd")</f>
        <v>Mon</v>
      </c>
      <c r="F1886" t="s">
        <v>16</v>
      </c>
      <c r="G1886" t="s">
        <v>30</v>
      </c>
      <c r="H1886">
        <v>1</v>
      </c>
      <c r="I1886">
        <v>8</v>
      </c>
      <c r="J1886" t="s">
        <v>23</v>
      </c>
      <c r="K1886" t="s">
        <v>25</v>
      </c>
      <c r="L1886">
        <v>8</v>
      </c>
    </row>
    <row r="1887" spans="1:12" x14ac:dyDescent="0.3">
      <c r="A1887">
        <v>1664</v>
      </c>
      <c r="B1887" t="s">
        <v>32</v>
      </c>
      <c r="C1887" s="1">
        <v>45885</v>
      </c>
      <c r="D1887" s="1" t="str">
        <f>TEXT(FMData[[#This Row],[Show_Date]],"mmm")</f>
        <v>Aug</v>
      </c>
      <c r="E1887" s="1" t="str">
        <f>TEXT(FMData[[#This Row],[Show_Date]],"ddd")</f>
        <v>Sat</v>
      </c>
      <c r="F1887" t="s">
        <v>33</v>
      </c>
      <c r="G1887" t="s">
        <v>17</v>
      </c>
      <c r="H1887">
        <v>1</v>
      </c>
      <c r="I1887">
        <v>12</v>
      </c>
      <c r="J1887" t="s">
        <v>23</v>
      </c>
      <c r="K1887" t="s">
        <v>25</v>
      </c>
      <c r="L1887">
        <v>12</v>
      </c>
    </row>
    <row r="1888" spans="1:12" x14ac:dyDescent="0.3">
      <c r="A1888">
        <v>836</v>
      </c>
      <c r="B1888" t="s">
        <v>31</v>
      </c>
      <c r="C1888" s="1">
        <v>45871</v>
      </c>
      <c r="D1888" s="1" t="str">
        <f>TEXT(FMData[[#This Row],[Show_Date]],"mmm")</f>
        <v>Aug</v>
      </c>
      <c r="E1888" s="1" t="str">
        <f>TEXT(FMData[[#This Row],[Show_Date]],"ddd")</f>
        <v>Sat</v>
      </c>
      <c r="F1888" t="s">
        <v>11</v>
      </c>
      <c r="G1888" t="s">
        <v>29</v>
      </c>
      <c r="H1888">
        <v>4</v>
      </c>
      <c r="I1888">
        <v>30</v>
      </c>
      <c r="J1888" t="s">
        <v>21</v>
      </c>
      <c r="K1888" t="s">
        <v>14</v>
      </c>
      <c r="L1888">
        <v>120</v>
      </c>
    </row>
    <row r="1889" spans="1:12" x14ac:dyDescent="0.3">
      <c r="A1889">
        <v>1447</v>
      </c>
      <c r="B1889" t="s">
        <v>19</v>
      </c>
      <c r="C1889" s="1">
        <v>45918</v>
      </c>
      <c r="D1889" s="1" t="str">
        <f>TEXT(FMData[[#This Row],[Show_Date]],"mmm")</f>
        <v>Sep</v>
      </c>
      <c r="E1889" s="1" t="str">
        <f>TEXT(FMData[[#This Row],[Show_Date]],"ddd")</f>
        <v>Thu</v>
      </c>
      <c r="F1889" t="s">
        <v>11</v>
      </c>
      <c r="G1889" t="s">
        <v>22</v>
      </c>
      <c r="H1889">
        <v>1</v>
      </c>
      <c r="I1889">
        <v>20</v>
      </c>
      <c r="J1889" t="s">
        <v>23</v>
      </c>
      <c r="K1889" t="s">
        <v>14</v>
      </c>
      <c r="L1889">
        <v>20</v>
      </c>
    </row>
    <row r="1890" spans="1:12" x14ac:dyDescent="0.3">
      <c r="A1890">
        <v>756</v>
      </c>
      <c r="B1890" t="s">
        <v>10</v>
      </c>
      <c r="C1890" s="1">
        <v>45886</v>
      </c>
      <c r="D1890" s="1" t="str">
        <f>TEXT(FMData[[#This Row],[Show_Date]],"mmm")</f>
        <v>Aug</v>
      </c>
      <c r="E1890" s="1" t="str">
        <f>TEXT(FMData[[#This Row],[Show_Date]],"ddd")</f>
        <v>Sun</v>
      </c>
      <c r="F1890" t="s">
        <v>11</v>
      </c>
      <c r="G1890" t="s">
        <v>17</v>
      </c>
      <c r="H1890">
        <v>2</v>
      </c>
      <c r="I1890">
        <v>12</v>
      </c>
      <c r="J1890" t="s">
        <v>21</v>
      </c>
      <c r="K1890" t="s">
        <v>14</v>
      </c>
      <c r="L1890">
        <v>24</v>
      </c>
    </row>
    <row r="1891" spans="1:12" x14ac:dyDescent="0.3">
      <c r="A1891">
        <v>1560</v>
      </c>
      <c r="B1891" t="s">
        <v>32</v>
      </c>
      <c r="C1891" s="1">
        <v>45850</v>
      </c>
      <c r="D1891" s="1" t="str">
        <f>TEXT(FMData[[#This Row],[Show_Date]],"mmm")</f>
        <v>Jul</v>
      </c>
      <c r="E1891" s="1" t="str">
        <f>TEXT(FMData[[#This Row],[Show_Date]],"ddd")</f>
        <v>Sat</v>
      </c>
      <c r="F1891" t="s">
        <v>20</v>
      </c>
      <c r="G1891" t="s">
        <v>17</v>
      </c>
      <c r="H1891">
        <v>4</v>
      </c>
      <c r="I1891">
        <v>12</v>
      </c>
      <c r="J1891" t="s">
        <v>21</v>
      </c>
      <c r="K1891" t="s">
        <v>25</v>
      </c>
      <c r="L1891">
        <v>48</v>
      </c>
    </row>
    <row r="1892" spans="1:12" x14ac:dyDescent="0.3">
      <c r="A1892">
        <v>1757</v>
      </c>
      <c r="B1892" t="s">
        <v>24</v>
      </c>
      <c r="C1892" s="1">
        <v>45878</v>
      </c>
      <c r="D1892" s="1" t="str">
        <f>TEXT(FMData[[#This Row],[Show_Date]],"mmm")</f>
        <v>Aug</v>
      </c>
      <c r="E1892" s="1" t="str">
        <f>TEXT(FMData[[#This Row],[Show_Date]],"ddd")</f>
        <v>Sat</v>
      </c>
      <c r="F1892" t="s">
        <v>11</v>
      </c>
      <c r="G1892" t="s">
        <v>17</v>
      </c>
      <c r="H1892">
        <v>3</v>
      </c>
      <c r="I1892">
        <v>12</v>
      </c>
      <c r="J1892" t="s">
        <v>23</v>
      </c>
      <c r="K1892" t="s">
        <v>25</v>
      </c>
      <c r="L1892">
        <v>36</v>
      </c>
    </row>
    <row r="1893" spans="1:12" x14ac:dyDescent="0.3">
      <c r="A1893">
        <v>1508</v>
      </c>
      <c r="B1893" t="s">
        <v>26</v>
      </c>
      <c r="C1893" s="1">
        <v>45928</v>
      </c>
      <c r="D1893" s="1" t="str">
        <f>TEXT(FMData[[#This Row],[Show_Date]],"mmm")</f>
        <v>Sep</v>
      </c>
      <c r="E1893" s="1" t="str">
        <f>TEXT(FMData[[#This Row],[Show_Date]],"ddd")</f>
        <v>Sun</v>
      </c>
      <c r="F1893" t="s">
        <v>33</v>
      </c>
      <c r="G1893" t="s">
        <v>17</v>
      </c>
      <c r="H1893">
        <v>2</v>
      </c>
      <c r="I1893">
        <v>12</v>
      </c>
      <c r="J1893" t="s">
        <v>21</v>
      </c>
      <c r="K1893" t="s">
        <v>25</v>
      </c>
      <c r="L1893">
        <v>24</v>
      </c>
    </row>
    <row r="1894" spans="1:12" x14ac:dyDescent="0.3">
      <c r="A1894">
        <v>711</v>
      </c>
      <c r="B1894" t="s">
        <v>28</v>
      </c>
      <c r="C1894" s="1">
        <v>45871</v>
      </c>
      <c r="D1894" s="1" t="str">
        <f>TEXT(FMData[[#This Row],[Show_Date]],"mmm")</f>
        <v>Aug</v>
      </c>
      <c r="E1894" s="1" t="str">
        <f>TEXT(FMData[[#This Row],[Show_Date]],"ddd")</f>
        <v>Sat</v>
      </c>
      <c r="F1894" t="s">
        <v>20</v>
      </c>
      <c r="G1894" t="s">
        <v>30</v>
      </c>
      <c r="H1894">
        <v>4</v>
      </c>
      <c r="I1894">
        <v>8</v>
      </c>
      <c r="J1894" t="s">
        <v>21</v>
      </c>
      <c r="K1894" t="s">
        <v>25</v>
      </c>
      <c r="L1894">
        <v>32</v>
      </c>
    </row>
    <row r="1895" spans="1:12" x14ac:dyDescent="0.3">
      <c r="A1895">
        <v>190</v>
      </c>
      <c r="B1895" t="s">
        <v>10</v>
      </c>
      <c r="C1895" s="1">
        <v>45872</v>
      </c>
      <c r="D1895" s="1" t="str">
        <f>TEXT(FMData[[#This Row],[Show_Date]],"mmm")</f>
        <v>Aug</v>
      </c>
      <c r="E1895" s="1" t="str">
        <f>TEXT(FMData[[#This Row],[Show_Date]],"ddd")</f>
        <v>Sun</v>
      </c>
      <c r="F1895" t="s">
        <v>11</v>
      </c>
      <c r="G1895" t="s">
        <v>30</v>
      </c>
      <c r="H1895">
        <v>3</v>
      </c>
      <c r="I1895">
        <v>8</v>
      </c>
      <c r="J1895" t="s">
        <v>21</v>
      </c>
      <c r="K1895" t="s">
        <v>25</v>
      </c>
      <c r="L1895">
        <v>24</v>
      </c>
    </row>
    <row r="1896" spans="1:12" x14ac:dyDescent="0.3">
      <c r="A1896">
        <v>762</v>
      </c>
      <c r="B1896" t="s">
        <v>26</v>
      </c>
      <c r="C1896" s="1">
        <v>45914</v>
      </c>
      <c r="D1896" s="1" t="str">
        <f>TEXT(FMData[[#This Row],[Show_Date]],"mmm")</f>
        <v>Sep</v>
      </c>
      <c r="E1896" s="1" t="str">
        <f>TEXT(FMData[[#This Row],[Show_Date]],"ddd")</f>
        <v>Sun</v>
      </c>
      <c r="F1896" t="s">
        <v>33</v>
      </c>
      <c r="G1896" t="s">
        <v>17</v>
      </c>
      <c r="H1896">
        <v>4</v>
      </c>
      <c r="I1896">
        <v>12</v>
      </c>
      <c r="J1896" t="s">
        <v>23</v>
      </c>
      <c r="K1896" t="s">
        <v>14</v>
      </c>
      <c r="L1896">
        <v>48</v>
      </c>
    </row>
    <row r="1897" spans="1:12" x14ac:dyDescent="0.3">
      <c r="A1897">
        <v>683</v>
      </c>
      <c r="B1897" t="s">
        <v>28</v>
      </c>
      <c r="C1897" s="1">
        <v>45913</v>
      </c>
      <c r="D1897" s="1" t="str">
        <f>TEXT(FMData[[#This Row],[Show_Date]],"mmm")</f>
        <v>Sep</v>
      </c>
      <c r="E1897" s="1" t="str">
        <f>TEXT(FMData[[#This Row],[Show_Date]],"ddd")</f>
        <v>Sat</v>
      </c>
      <c r="F1897" t="s">
        <v>16</v>
      </c>
      <c r="G1897" t="s">
        <v>17</v>
      </c>
      <c r="H1897">
        <v>1</v>
      </c>
      <c r="I1897">
        <v>12</v>
      </c>
      <c r="J1897" t="s">
        <v>23</v>
      </c>
      <c r="K1897" t="s">
        <v>25</v>
      </c>
      <c r="L1897">
        <v>12</v>
      </c>
    </row>
    <row r="1898" spans="1:12" x14ac:dyDescent="0.3">
      <c r="A1898">
        <v>478</v>
      </c>
      <c r="B1898" t="s">
        <v>19</v>
      </c>
      <c r="C1898" s="1">
        <v>45914</v>
      </c>
      <c r="D1898" s="1" t="str">
        <f>TEXT(FMData[[#This Row],[Show_Date]],"mmm")</f>
        <v>Sep</v>
      </c>
      <c r="E1898" s="1" t="str">
        <f>TEXT(FMData[[#This Row],[Show_Date]],"ddd")</f>
        <v>Sun</v>
      </c>
      <c r="F1898" t="s">
        <v>16</v>
      </c>
      <c r="G1898" t="s">
        <v>30</v>
      </c>
      <c r="H1898">
        <v>5</v>
      </c>
      <c r="I1898">
        <v>8</v>
      </c>
      <c r="J1898" t="s">
        <v>21</v>
      </c>
      <c r="K1898" t="s">
        <v>27</v>
      </c>
      <c r="L1898">
        <v>40</v>
      </c>
    </row>
    <row r="1899" spans="1:12" x14ac:dyDescent="0.3">
      <c r="A1899">
        <v>839</v>
      </c>
      <c r="B1899" t="s">
        <v>31</v>
      </c>
      <c r="C1899" s="1">
        <v>45852</v>
      </c>
      <c r="D1899" s="1" t="str">
        <f>TEXT(FMData[[#This Row],[Show_Date]],"mmm")</f>
        <v>Jul</v>
      </c>
      <c r="E1899" s="1" t="str">
        <f>TEXT(FMData[[#This Row],[Show_Date]],"ddd")</f>
        <v>Mon</v>
      </c>
      <c r="F1899" t="s">
        <v>33</v>
      </c>
      <c r="G1899" t="s">
        <v>30</v>
      </c>
      <c r="H1899">
        <v>5</v>
      </c>
      <c r="I1899">
        <v>8</v>
      </c>
      <c r="J1899" t="s">
        <v>21</v>
      </c>
      <c r="K1899" t="s">
        <v>25</v>
      </c>
      <c r="L1899">
        <v>40</v>
      </c>
    </row>
    <row r="1900" spans="1:12" x14ac:dyDescent="0.3">
      <c r="A1900">
        <v>1884</v>
      </c>
      <c r="B1900" t="s">
        <v>15</v>
      </c>
      <c r="C1900" s="1">
        <v>45892</v>
      </c>
      <c r="D1900" s="1" t="str">
        <f>TEXT(FMData[[#This Row],[Show_Date]],"mmm")</f>
        <v>Aug</v>
      </c>
      <c r="E1900" s="1" t="str">
        <f>TEXT(FMData[[#This Row],[Show_Date]],"ddd")</f>
        <v>Sat</v>
      </c>
      <c r="F1900" t="s">
        <v>16</v>
      </c>
      <c r="G1900" t="s">
        <v>17</v>
      </c>
      <c r="H1900">
        <v>2</v>
      </c>
      <c r="I1900">
        <v>12</v>
      </c>
      <c r="J1900" t="s">
        <v>23</v>
      </c>
      <c r="K1900" t="s">
        <v>27</v>
      </c>
      <c r="L1900">
        <v>24</v>
      </c>
    </row>
    <row r="1901" spans="1:12" x14ac:dyDescent="0.3">
      <c r="A1901">
        <v>95</v>
      </c>
      <c r="B1901" t="s">
        <v>10</v>
      </c>
      <c r="C1901" s="1">
        <v>45893</v>
      </c>
      <c r="D1901" s="1" t="str">
        <f>TEXT(FMData[[#This Row],[Show_Date]],"mmm")</f>
        <v>Aug</v>
      </c>
      <c r="E1901" s="1" t="str">
        <f>TEXT(FMData[[#This Row],[Show_Date]],"ddd")</f>
        <v>Sun</v>
      </c>
      <c r="F1901" t="s">
        <v>11</v>
      </c>
      <c r="G1901" t="s">
        <v>17</v>
      </c>
      <c r="H1901">
        <v>2</v>
      </c>
      <c r="I1901">
        <v>12</v>
      </c>
      <c r="J1901" t="s">
        <v>13</v>
      </c>
      <c r="K1901" t="s">
        <v>27</v>
      </c>
      <c r="L1901">
        <v>24</v>
      </c>
    </row>
    <row r="1902" spans="1:12" x14ac:dyDescent="0.3">
      <c r="A1902">
        <v>450</v>
      </c>
      <c r="B1902" t="s">
        <v>10</v>
      </c>
      <c r="C1902" s="1">
        <v>45916</v>
      </c>
      <c r="D1902" s="1" t="str">
        <f>TEXT(FMData[[#This Row],[Show_Date]],"mmm")</f>
        <v>Sep</v>
      </c>
      <c r="E1902" s="1" t="str">
        <f>TEXT(FMData[[#This Row],[Show_Date]],"ddd")</f>
        <v>Tue</v>
      </c>
      <c r="F1902" t="s">
        <v>33</v>
      </c>
      <c r="G1902" t="s">
        <v>17</v>
      </c>
      <c r="H1902">
        <v>1</v>
      </c>
      <c r="I1902">
        <v>12</v>
      </c>
      <c r="J1902" t="s">
        <v>23</v>
      </c>
      <c r="K1902" t="s">
        <v>25</v>
      </c>
      <c r="L1902">
        <v>12</v>
      </c>
    </row>
    <row r="1903" spans="1:12" x14ac:dyDescent="0.3">
      <c r="A1903">
        <v>208</v>
      </c>
      <c r="B1903" t="s">
        <v>31</v>
      </c>
      <c r="C1903" s="1">
        <v>45877</v>
      </c>
      <c r="D1903" s="1" t="str">
        <f>TEXT(FMData[[#This Row],[Show_Date]],"mmm")</f>
        <v>Aug</v>
      </c>
      <c r="E1903" s="1" t="str">
        <f>TEXT(FMData[[#This Row],[Show_Date]],"ddd")</f>
        <v>Fri</v>
      </c>
      <c r="F1903" t="s">
        <v>16</v>
      </c>
      <c r="G1903" t="s">
        <v>22</v>
      </c>
      <c r="H1903">
        <v>4</v>
      </c>
      <c r="I1903">
        <v>20</v>
      </c>
      <c r="J1903" t="s">
        <v>23</v>
      </c>
      <c r="K1903" t="s">
        <v>27</v>
      </c>
      <c r="L1903">
        <v>80</v>
      </c>
    </row>
    <row r="1904" spans="1:12" x14ac:dyDescent="0.3">
      <c r="A1904">
        <v>255</v>
      </c>
      <c r="B1904" t="s">
        <v>24</v>
      </c>
      <c r="C1904" s="1">
        <v>45858</v>
      </c>
      <c r="D1904" s="1" t="str">
        <f>TEXT(FMData[[#This Row],[Show_Date]],"mmm")</f>
        <v>Jul</v>
      </c>
      <c r="E1904" s="1" t="str">
        <f>TEXT(FMData[[#This Row],[Show_Date]],"ddd")</f>
        <v>Sun</v>
      </c>
      <c r="F1904" t="s">
        <v>16</v>
      </c>
      <c r="G1904" t="s">
        <v>22</v>
      </c>
      <c r="H1904">
        <v>5</v>
      </c>
      <c r="I1904">
        <v>20</v>
      </c>
      <c r="J1904" t="s">
        <v>13</v>
      </c>
      <c r="K1904" t="s">
        <v>18</v>
      </c>
      <c r="L1904">
        <v>100</v>
      </c>
    </row>
    <row r="1905" spans="1:12" x14ac:dyDescent="0.3">
      <c r="A1905">
        <v>1972</v>
      </c>
      <c r="B1905" t="s">
        <v>15</v>
      </c>
      <c r="C1905" s="1">
        <v>45915</v>
      </c>
      <c r="D1905" s="1" t="str">
        <f>TEXT(FMData[[#This Row],[Show_Date]],"mmm")</f>
        <v>Sep</v>
      </c>
      <c r="E1905" s="1" t="str">
        <f>TEXT(FMData[[#This Row],[Show_Date]],"ddd")</f>
        <v>Mon</v>
      </c>
      <c r="F1905" t="s">
        <v>20</v>
      </c>
      <c r="G1905" t="s">
        <v>12</v>
      </c>
      <c r="H1905">
        <v>4</v>
      </c>
      <c r="I1905">
        <v>25</v>
      </c>
      <c r="J1905" t="s">
        <v>23</v>
      </c>
      <c r="K1905" t="s">
        <v>14</v>
      </c>
      <c r="L1905">
        <v>100</v>
      </c>
    </row>
    <row r="1906" spans="1:12" x14ac:dyDescent="0.3">
      <c r="A1906">
        <v>643</v>
      </c>
      <c r="B1906" t="s">
        <v>19</v>
      </c>
      <c r="C1906" s="1">
        <v>45865</v>
      </c>
      <c r="D1906" s="1" t="str">
        <f>TEXT(FMData[[#This Row],[Show_Date]],"mmm")</f>
        <v>Jul</v>
      </c>
      <c r="E1906" s="1" t="str">
        <f>TEXT(FMData[[#This Row],[Show_Date]],"ddd")</f>
        <v>Sun</v>
      </c>
      <c r="F1906" t="s">
        <v>33</v>
      </c>
      <c r="G1906" t="s">
        <v>30</v>
      </c>
      <c r="H1906">
        <v>3</v>
      </c>
      <c r="I1906">
        <v>8</v>
      </c>
      <c r="J1906" t="s">
        <v>13</v>
      </c>
      <c r="K1906" t="s">
        <v>18</v>
      </c>
      <c r="L1906">
        <v>24</v>
      </c>
    </row>
    <row r="1907" spans="1:12" x14ac:dyDescent="0.3">
      <c r="A1907">
        <v>550</v>
      </c>
      <c r="B1907" t="s">
        <v>28</v>
      </c>
      <c r="C1907" s="1">
        <v>45890</v>
      </c>
      <c r="D1907" s="1" t="str">
        <f>TEXT(FMData[[#This Row],[Show_Date]],"mmm")</f>
        <v>Aug</v>
      </c>
      <c r="E1907" s="1" t="str">
        <f>TEXT(FMData[[#This Row],[Show_Date]],"ddd")</f>
        <v>Thu</v>
      </c>
      <c r="F1907" t="s">
        <v>11</v>
      </c>
      <c r="G1907" t="s">
        <v>17</v>
      </c>
      <c r="H1907">
        <v>5</v>
      </c>
      <c r="I1907">
        <v>12</v>
      </c>
      <c r="J1907" t="s">
        <v>13</v>
      </c>
      <c r="K1907" t="s">
        <v>14</v>
      </c>
      <c r="L1907">
        <v>60</v>
      </c>
    </row>
    <row r="1908" spans="1:12" x14ac:dyDescent="0.3">
      <c r="A1908">
        <v>367</v>
      </c>
      <c r="B1908" t="s">
        <v>10</v>
      </c>
      <c r="C1908" s="1">
        <v>45844</v>
      </c>
      <c r="D1908" s="1" t="str">
        <f>TEXT(FMData[[#This Row],[Show_Date]],"mmm")</f>
        <v>Jul</v>
      </c>
      <c r="E1908" s="1" t="str">
        <f>TEXT(FMData[[#This Row],[Show_Date]],"ddd")</f>
        <v>Sun</v>
      </c>
      <c r="F1908" t="s">
        <v>20</v>
      </c>
      <c r="G1908" t="s">
        <v>17</v>
      </c>
      <c r="H1908">
        <v>3</v>
      </c>
      <c r="I1908">
        <v>12</v>
      </c>
      <c r="J1908" t="s">
        <v>21</v>
      </c>
      <c r="K1908" t="s">
        <v>18</v>
      </c>
      <c r="L1908">
        <v>36</v>
      </c>
    </row>
    <row r="1909" spans="1:12" x14ac:dyDescent="0.3">
      <c r="A1909">
        <v>1487</v>
      </c>
      <c r="B1909" t="s">
        <v>28</v>
      </c>
      <c r="C1909" s="1">
        <v>45893</v>
      </c>
      <c r="D1909" s="1" t="str">
        <f>TEXT(FMData[[#This Row],[Show_Date]],"mmm")</f>
        <v>Aug</v>
      </c>
      <c r="E1909" s="1" t="str">
        <f>TEXT(FMData[[#This Row],[Show_Date]],"ddd")</f>
        <v>Sun</v>
      </c>
      <c r="F1909" t="s">
        <v>20</v>
      </c>
      <c r="G1909" t="s">
        <v>17</v>
      </c>
      <c r="H1909">
        <v>2</v>
      </c>
      <c r="I1909">
        <v>12</v>
      </c>
      <c r="J1909" t="s">
        <v>23</v>
      </c>
      <c r="K1909" t="s">
        <v>27</v>
      </c>
      <c r="L1909">
        <v>24</v>
      </c>
    </row>
    <row r="1910" spans="1:12" x14ac:dyDescent="0.3">
      <c r="A1910">
        <v>666</v>
      </c>
      <c r="B1910" t="s">
        <v>15</v>
      </c>
      <c r="C1910" s="1">
        <v>45885</v>
      </c>
      <c r="D1910" s="1" t="str">
        <f>TEXT(FMData[[#This Row],[Show_Date]],"mmm")</f>
        <v>Aug</v>
      </c>
      <c r="E1910" s="1" t="str">
        <f>TEXT(FMData[[#This Row],[Show_Date]],"ddd")</f>
        <v>Sat</v>
      </c>
      <c r="F1910" t="s">
        <v>33</v>
      </c>
      <c r="G1910" t="s">
        <v>17</v>
      </c>
      <c r="H1910">
        <v>3</v>
      </c>
      <c r="I1910">
        <v>12</v>
      </c>
      <c r="J1910" t="s">
        <v>23</v>
      </c>
      <c r="K1910" t="s">
        <v>18</v>
      </c>
      <c r="L1910">
        <v>36</v>
      </c>
    </row>
    <row r="1911" spans="1:12" x14ac:dyDescent="0.3">
      <c r="A1911">
        <v>903</v>
      </c>
      <c r="B1911" t="s">
        <v>10</v>
      </c>
      <c r="C1911" s="1">
        <v>45839</v>
      </c>
      <c r="D1911" s="1" t="str">
        <f>TEXT(FMData[[#This Row],[Show_Date]],"mmm")</f>
        <v>Jul</v>
      </c>
      <c r="E1911" s="1" t="str">
        <f>TEXT(FMData[[#This Row],[Show_Date]],"ddd")</f>
        <v>Tue</v>
      </c>
      <c r="F1911" t="s">
        <v>33</v>
      </c>
      <c r="G1911" t="s">
        <v>17</v>
      </c>
      <c r="H1911">
        <v>1</v>
      </c>
      <c r="I1911">
        <v>12</v>
      </c>
      <c r="J1911" t="s">
        <v>21</v>
      </c>
      <c r="K1911" t="s">
        <v>14</v>
      </c>
      <c r="L1911">
        <v>12</v>
      </c>
    </row>
    <row r="1912" spans="1:12" x14ac:dyDescent="0.3">
      <c r="A1912">
        <v>659</v>
      </c>
      <c r="B1912" t="s">
        <v>31</v>
      </c>
      <c r="C1912" s="1">
        <v>45851</v>
      </c>
      <c r="D1912" s="1" t="str">
        <f>TEXT(FMData[[#This Row],[Show_Date]],"mmm")</f>
        <v>Jul</v>
      </c>
      <c r="E1912" s="1" t="str">
        <f>TEXT(FMData[[#This Row],[Show_Date]],"ddd")</f>
        <v>Sun</v>
      </c>
      <c r="F1912" t="s">
        <v>11</v>
      </c>
      <c r="G1912" t="s">
        <v>17</v>
      </c>
      <c r="H1912">
        <v>4</v>
      </c>
      <c r="I1912">
        <v>12</v>
      </c>
      <c r="J1912" t="s">
        <v>13</v>
      </c>
      <c r="K1912" t="s">
        <v>27</v>
      </c>
      <c r="L1912">
        <v>48</v>
      </c>
    </row>
    <row r="1913" spans="1:12" x14ac:dyDescent="0.3">
      <c r="A1913">
        <v>676</v>
      </c>
      <c r="B1913" t="s">
        <v>15</v>
      </c>
      <c r="C1913" s="1">
        <v>45909</v>
      </c>
      <c r="D1913" s="1" t="str">
        <f>TEXT(FMData[[#This Row],[Show_Date]],"mmm")</f>
        <v>Sep</v>
      </c>
      <c r="E1913" s="1" t="str">
        <f>TEXT(FMData[[#This Row],[Show_Date]],"ddd")</f>
        <v>Tue</v>
      </c>
      <c r="F1913" t="s">
        <v>33</v>
      </c>
      <c r="G1913" t="s">
        <v>17</v>
      </c>
      <c r="H1913">
        <v>2</v>
      </c>
      <c r="I1913">
        <v>12</v>
      </c>
      <c r="J1913" t="s">
        <v>21</v>
      </c>
      <c r="K1913" t="s">
        <v>18</v>
      </c>
      <c r="L1913">
        <v>24</v>
      </c>
    </row>
    <row r="1914" spans="1:12" x14ac:dyDescent="0.3">
      <c r="A1914">
        <v>1794</v>
      </c>
      <c r="B1914" t="s">
        <v>28</v>
      </c>
      <c r="C1914" s="1">
        <v>45878</v>
      </c>
      <c r="D1914" s="1" t="str">
        <f>TEXT(FMData[[#This Row],[Show_Date]],"mmm")</f>
        <v>Aug</v>
      </c>
      <c r="E1914" s="1" t="str">
        <f>TEXT(FMData[[#This Row],[Show_Date]],"ddd")</f>
        <v>Sat</v>
      </c>
      <c r="F1914" t="s">
        <v>11</v>
      </c>
      <c r="G1914" t="s">
        <v>30</v>
      </c>
      <c r="H1914">
        <v>4</v>
      </c>
      <c r="I1914">
        <v>8</v>
      </c>
      <c r="J1914" t="s">
        <v>21</v>
      </c>
      <c r="K1914" t="s">
        <v>14</v>
      </c>
      <c r="L1914">
        <v>32</v>
      </c>
    </row>
    <row r="1915" spans="1:12" x14ac:dyDescent="0.3">
      <c r="A1915">
        <v>1693</v>
      </c>
      <c r="B1915" t="s">
        <v>31</v>
      </c>
      <c r="C1915" s="1">
        <v>45921</v>
      </c>
      <c r="D1915" s="1" t="str">
        <f>TEXT(FMData[[#This Row],[Show_Date]],"mmm")</f>
        <v>Sep</v>
      </c>
      <c r="E1915" s="1" t="str">
        <f>TEXT(FMData[[#This Row],[Show_Date]],"ddd")</f>
        <v>Sun</v>
      </c>
      <c r="F1915" t="s">
        <v>33</v>
      </c>
      <c r="G1915" t="s">
        <v>30</v>
      </c>
      <c r="H1915">
        <v>1</v>
      </c>
      <c r="I1915">
        <v>8</v>
      </c>
      <c r="J1915" t="s">
        <v>23</v>
      </c>
      <c r="K1915" t="s">
        <v>27</v>
      </c>
      <c r="L1915">
        <v>8</v>
      </c>
    </row>
    <row r="1916" spans="1:12" x14ac:dyDescent="0.3">
      <c r="A1916">
        <v>1427</v>
      </c>
      <c r="B1916" t="s">
        <v>28</v>
      </c>
      <c r="C1916" s="1">
        <v>45895</v>
      </c>
      <c r="D1916" s="1" t="str">
        <f>TEXT(FMData[[#This Row],[Show_Date]],"mmm")</f>
        <v>Aug</v>
      </c>
      <c r="E1916" s="1" t="str">
        <f>TEXT(FMData[[#This Row],[Show_Date]],"ddd")</f>
        <v>Tue</v>
      </c>
      <c r="F1916" t="s">
        <v>20</v>
      </c>
      <c r="G1916" t="s">
        <v>12</v>
      </c>
      <c r="H1916">
        <v>2</v>
      </c>
      <c r="I1916">
        <v>25</v>
      </c>
      <c r="J1916" t="s">
        <v>23</v>
      </c>
      <c r="K1916" t="s">
        <v>25</v>
      </c>
      <c r="L1916">
        <v>50</v>
      </c>
    </row>
    <row r="1917" spans="1:12" x14ac:dyDescent="0.3">
      <c r="A1917">
        <v>1335</v>
      </c>
      <c r="B1917" t="s">
        <v>31</v>
      </c>
      <c r="C1917" s="1">
        <v>45921</v>
      </c>
      <c r="D1917" s="1" t="str">
        <f>TEXT(FMData[[#This Row],[Show_Date]],"mmm")</f>
        <v>Sep</v>
      </c>
      <c r="E1917" s="1" t="str">
        <f>TEXT(FMData[[#This Row],[Show_Date]],"ddd")</f>
        <v>Sun</v>
      </c>
      <c r="F1917" t="s">
        <v>11</v>
      </c>
      <c r="G1917" t="s">
        <v>22</v>
      </c>
      <c r="H1917">
        <v>1</v>
      </c>
      <c r="I1917">
        <v>20</v>
      </c>
      <c r="J1917" t="s">
        <v>13</v>
      </c>
      <c r="K1917" t="s">
        <v>14</v>
      </c>
      <c r="L1917">
        <v>20</v>
      </c>
    </row>
    <row r="1918" spans="1:12" x14ac:dyDescent="0.3">
      <c r="A1918">
        <v>970</v>
      </c>
      <c r="B1918" t="s">
        <v>32</v>
      </c>
      <c r="C1918" s="1">
        <v>45858</v>
      </c>
      <c r="D1918" s="1" t="str">
        <f>TEXT(FMData[[#This Row],[Show_Date]],"mmm")</f>
        <v>Jul</v>
      </c>
      <c r="E1918" s="1" t="str">
        <f>TEXT(FMData[[#This Row],[Show_Date]],"ddd")</f>
        <v>Sun</v>
      </c>
      <c r="F1918" t="s">
        <v>33</v>
      </c>
      <c r="G1918" t="s">
        <v>17</v>
      </c>
      <c r="H1918">
        <v>3</v>
      </c>
      <c r="I1918">
        <v>12</v>
      </c>
      <c r="J1918" t="s">
        <v>23</v>
      </c>
      <c r="K1918" t="s">
        <v>27</v>
      </c>
      <c r="L1918">
        <v>36</v>
      </c>
    </row>
    <row r="1919" spans="1:12" x14ac:dyDescent="0.3">
      <c r="A1919">
        <v>494</v>
      </c>
      <c r="B1919" t="s">
        <v>10</v>
      </c>
      <c r="C1919" s="1">
        <v>45845</v>
      </c>
      <c r="D1919" s="1" t="str">
        <f>TEXT(FMData[[#This Row],[Show_Date]],"mmm")</f>
        <v>Jul</v>
      </c>
      <c r="E1919" s="1" t="str">
        <f>TEXT(FMData[[#This Row],[Show_Date]],"ddd")</f>
        <v>Mon</v>
      </c>
      <c r="F1919" t="s">
        <v>16</v>
      </c>
      <c r="G1919" t="s">
        <v>17</v>
      </c>
      <c r="H1919">
        <v>1</v>
      </c>
      <c r="I1919">
        <v>12</v>
      </c>
      <c r="J1919" t="s">
        <v>13</v>
      </c>
      <c r="K1919" t="s">
        <v>25</v>
      </c>
      <c r="L1919">
        <v>12</v>
      </c>
    </row>
    <row r="1920" spans="1:12" x14ac:dyDescent="0.3">
      <c r="A1920">
        <v>172</v>
      </c>
      <c r="B1920" t="s">
        <v>15</v>
      </c>
      <c r="C1920" s="1">
        <v>45921</v>
      </c>
      <c r="D1920" s="1" t="str">
        <f>TEXT(FMData[[#This Row],[Show_Date]],"mmm")</f>
        <v>Sep</v>
      </c>
      <c r="E1920" s="1" t="str">
        <f>TEXT(FMData[[#This Row],[Show_Date]],"ddd")</f>
        <v>Sun</v>
      </c>
      <c r="F1920" t="s">
        <v>20</v>
      </c>
      <c r="G1920" t="s">
        <v>17</v>
      </c>
      <c r="H1920">
        <v>5</v>
      </c>
      <c r="I1920">
        <v>12</v>
      </c>
      <c r="J1920" t="s">
        <v>23</v>
      </c>
      <c r="K1920" t="s">
        <v>25</v>
      </c>
      <c r="L1920">
        <v>60</v>
      </c>
    </row>
    <row r="1921" spans="1:12" x14ac:dyDescent="0.3">
      <c r="A1921">
        <v>158</v>
      </c>
      <c r="B1921" t="s">
        <v>26</v>
      </c>
      <c r="C1921" s="1">
        <v>45922</v>
      </c>
      <c r="D1921" s="1" t="str">
        <f>TEXT(FMData[[#This Row],[Show_Date]],"mmm")</f>
        <v>Sep</v>
      </c>
      <c r="E1921" s="1" t="str">
        <f>TEXT(FMData[[#This Row],[Show_Date]],"ddd")</f>
        <v>Mon</v>
      </c>
      <c r="F1921" t="s">
        <v>11</v>
      </c>
      <c r="G1921" t="s">
        <v>17</v>
      </c>
      <c r="H1921">
        <v>5</v>
      </c>
      <c r="I1921">
        <v>12</v>
      </c>
      <c r="J1921" t="s">
        <v>13</v>
      </c>
      <c r="K1921" t="s">
        <v>18</v>
      </c>
      <c r="L1921">
        <v>60</v>
      </c>
    </row>
    <row r="1922" spans="1:12" x14ac:dyDescent="0.3">
      <c r="A1922">
        <v>685</v>
      </c>
      <c r="B1922" t="s">
        <v>24</v>
      </c>
      <c r="C1922" s="1">
        <v>45908</v>
      </c>
      <c r="D1922" s="1" t="str">
        <f>TEXT(FMData[[#This Row],[Show_Date]],"mmm")</f>
        <v>Sep</v>
      </c>
      <c r="E1922" s="1" t="str">
        <f>TEXT(FMData[[#This Row],[Show_Date]],"ddd")</f>
        <v>Mon</v>
      </c>
      <c r="F1922" t="s">
        <v>20</v>
      </c>
      <c r="G1922" t="s">
        <v>17</v>
      </c>
      <c r="H1922">
        <v>2</v>
      </c>
      <c r="I1922">
        <v>12</v>
      </c>
      <c r="J1922" t="s">
        <v>23</v>
      </c>
      <c r="K1922" t="s">
        <v>25</v>
      </c>
      <c r="L1922">
        <v>24</v>
      </c>
    </row>
    <row r="1923" spans="1:12" x14ac:dyDescent="0.3">
      <c r="A1923">
        <v>1772</v>
      </c>
      <c r="B1923" t="s">
        <v>32</v>
      </c>
      <c r="C1923" s="1">
        <v>45928</v>
      </c>
      <c r="D1923" s="1" t="str">
        <f>TEXT(FMData[[#This Row],[Show_Date]],"mmm")</f>
        <v>Sep</v>
      </c>
      <c r="E1923" s="1" t="str">
        <f>TEXT(FMData[[#This Row],[Show_Date]],"ddd")</f>
        <v>Sun</v>
      </c>
      <c r="F1923" t="s">
        <v>20</v>
      </c>
      <c r="G1923" t="s">
        <v>29</v>
      </c>
      <c r="H1923">
        <v>5</v>
      </c>
      <c r="I1923">
        <v>30</v>
      </c>
      <c r="J1923" t="s">
        <v>13</v>
      </c>
      <c r="K1923" t="s">
        <v>27</v>
      </c>
      <c r="L1923">
        <v>150</v>
      </c>
    </row>
    <row r="1924" spans="1:12" x14ac:dyDescent="0.3">
      <c r="A1924">
        <v>1464</v>
      </c>
      <c r="B1924" t="s">
        <v>32</v>
      </c>
      <c r="C1924" s="1">
        <v>45899</v>
      </c>
      <c r="D1924" s="1" t="str">
        <f>TEXT(FMData[[#This Row],[Show_Date]],"mmm")</f>
        <v>Aug</v>
      </c>
      <c r="E1924" s="1" t="str">
        <f>TEXT(FMData[[#This Row],[Show_Date]],"ddd")</f>
        <v>Sat</v>
      </c>
      <c r="F1924" t="s">
        <v>16</v>
      </c>
      <c r="G1924" t="s">
        <v>12</v>
      </c>
      <c r="H1924">
        <v>5</v>
      </c>
      <c r="I1924">
        <v>25</v>
      </c>
      <c r="J1924" t="s">
        <v>13</v>
      </c>
      <c r="K1924" t="s">
        <v>14</v>
      </c>
      <c r="L1924">
        <v>125</v>
      </c>
    </row>
    <row r="1925" spans="1:12" x14ac:dyDescent="0.3">
      <c r="A1925">
        <v>497</v>
      </c>
      <c r="B1925" t="s">
        <v>32</v>
      </c>
      <c r="C1925" s="1">
        <v>45921</v>
      </c>
      <c r="D1925" s="1" t="str">
        <f>TEXT(FMData[[#This Row],[Show_Date]],"mmm")</f>
        <v>Sep</v>
      </c>
      <c r="E1925" s="1" t="str">
        <f>TEXT(FMData[[#This Row],[Show_Date]],"ddd")</f>
        <v>Sun</v>
      </c>
      <c r="F1925" t="s">
        <v>16</v>
      </c>
      <c r="G1925" t="s">
        <v>12</v>
      </c>
      <c r="H1925">
        <v>1</v>
      </c>
      <c r="I1925">
        <v>25</v>
      </c>
      <c r="J1925" t="s">
        <v>21</v>
      </c>
      <c r="K1925" t="s">
        <v>18</v>
      </c>
      <c r="L1925">
        <v>25</v>
      </c>
    </row>
    <row r="1926" spans="1:12" x14ac:dyDescent="0.3">
      <c r="A1926">
        <v>913</v>
      </c>
      <c r="B1926" t="s">
        <v>15</v>
      </c>
      <c r="C1926" s="1">
        <v>45914</v>
      </c>
      <c r="D1926" s="1" t="str">
        <f>TEXT(FMData[[#This Row],[Show_Date]],"mmm")</f>
        <v>Sep</v>
      </c>
      <c r="E1926" s="1" t="str">
        <f>TEXT(FMData[[#This Row],[Show_Date]],"ddd")</f>
        <v>Sun</v>
      </c>
      <c r="F1926" t="s">
        <v>20</v>
      </c>
      <c r="G1926" t="s">
        <v>30</v>
      </c>
      <c r="H1926">
        <v>1</v>
      </c>
      <c r="I1926">
        <v>8</v>
      </c>
      <c r="J1926" t="s">
        <v>23</v>
      </c>
      <c r="K1926" t="s">
        <v>27</v>
      </c>
      <c r="L1926">
        <v>8</v>
      </c>
    </row>
    <row r="1927" spans="1:12" x14ac:dyDescent="0.3">
      <c r="A1927">
        <v>1457</v>
      </c>
      <c r="B1927" t="s">
        <v>10</v>
      </c>
      <c r="C1927" s="1">
        <v>45894</v>
      </c>
      <c r="D1927" s="1" t="str">
        <f>TEXT(FMData[[#This Row],[Show_Date]],"mmm")</f>
        <v>Aug</v>
      </c>
      <c r="E1927" s="1" t="str">
        <f>TEXT(FMData[[#This Row],[Show_Date]],"ddd")</f>
        <v>Mon</v>
      </c>
      <c r="F1927" t="s">
        <v>33</v>
      </c>
      <c r="G1927" t="s">
        <v>12</v>
      </c>
      <c r="H1927">
        <v>5</v>
      </c>
      <c r="I1927">
        <v>25</v>
      </c>
      <c r="J1927" t="s">
        <v>23</v>
      </c>
      <c r="K1927" t="s">
        <v>14</v>
      </c>
      <c r="L1927">
        <v>125</v>
      </c>
    </row>
    <row r="1928" spans="1:12" x14ac:dyDescent="0.3">
      <c r="A1928">
        <v>1129</v>
      </c>
      <c r="B1928" t="s">
        <v>10</v>
      </c>
      <c r="C1928" s="1">
        <v>45913</v>
      </c>
      <c r="D1928" s="1" t="str">
        <f>TEXT(FMData[[#This Row],[Show_Date]],"mmm")</f>
        <v>Sep</v>
      </c>
      <c r="E1928" s="1" t="str">
        <f>TEXT(FMData[[#This Row],[Show_Date]],"ddd")</f>
        <v>Sat</v>
      </c>
      <c r="F1928" t="s">
        <v>11</v>
      </c>
      <c r="G1928" t="s">
        <v>29</v>
      </c>
      <c r="H1928">
        <v>5</v>
      </c>
      <c r="I1928">
        <v>30</v>
      </c>
      <c r="J1928" t="s">
        <v>23</v>
      </c>
      <c r="K1928" t="s">
        <v>14</v>
      </c>
      <c r="L1928">
        <v>150</v>
      </c>
    </row>
    <row r="1929" spans="1:12" x14ac:dyDescent="0.3">
      <c r="A1929">
        <v>1718</v>
      </c>
      <c r="B1929" t="s">
        <v>32</v>
      </c>
      <c r="C1929" s="1">
        <v>45883</v>
      </c>
      <c r="D1929" s="1" t="str">
        <f>TEXT(FMData[[#This Row],[Show_Date]],"mmm")</f>
        <v>Aug</v>
      </c>
      <c r="E1929" s="1" t="str">
        <f>TEXT(FMData[[#This Row],[Show_Date]],"ddd")</f>
        <v>Thu</v>
      </c>
      <c r="F1929" t="s">
        <v>20</v>
      </c>
      <c r="G1929" t="s">
        <v>17</v>
      </c>
      <c r="H1929">
        <v>3</v>
      </c>
      <c r="I1929">
        <v>12</v>
      </c>
      <c r="J1929" t="s">
        <v>23</v>
      </c>
      <c r="K1929" t="s">
        <v>14</v>
      </c>
      <c r="L1929">
        <v>36</v>
      </c>
    </row>
    <row r="1930" spans="1:12" x14ac:dyDescent="0.3">
      <c r="A1930">
        <v>266</v>
      </c>
      <c r="B1930" t="s">
        <v>26</v>
      </c>
      <c r="C1930" s="1">
        <v>45865</v>
      </c>
      <c r="D1930" s="1" t="str">
        <f>TEXT(FMData[[#This Row],[Show_Date]],"mmm")</f>
        <v>Jul</v>
      </c>
      <c r="E1930" s="1" t="str">
        <f>TEXT(FMData[[#This Row],[Show_Date]],"ddd")</f>
        <v>Sun</v>
      </c>
      <c r="F1930" t="s">
        <v>33</v>
      </c>
      <c r="G1930" t="s">
        <v>12</v>
      </c>
      <c r="H1930">
        <v>4</v>
      </c>
      <c r="I1930">
        <v>25</v>
      </c>
      <c r="J1930" t="s">
        <v>23</v>
      </c>
      <c r="K1930" t="s">
        <v>14</v>
      </c>
      <c r="L1930">
        <v>100</v>
      </c>
    </row>
    <row r="1931" spans="1:12" x14ac:dyDescent="0.3">
      <c r="A1931">
        <v>240</v>
      </c>
      <c r="B1931" t="s">
        <v>19</v>
      </c>
      <c r="C1931" s="1">
        <v>45857</v>
      </c>
      <c r="D1931" s="1" t="str">
        <f>TEXT(FMData[[#This Row],[Show_Date]],"mmm")</f>
        <v>Jul</v>
      </c>
      <c r="E1931" s="1" t="str">
        <f>TEXT(FMData[[#This Row],[Show_Date]],"ddd")</f>
        <v>Sat</v>
      </c>
      <c r="F1931" t="s">
        <v>33</v>
      </c>
      <c r="G1931" t="s">
        <v>17</v>
      </c>
      <c r="H1931">
        <v>5</v>
      </c>
      <c r="I1931">
        <v>12</v>
      </c>
      <c r="J1931" t="s">
        <v>13</v>
      </c>
      <c r="K1931" t="s">
        <v>14</v>
      </c>
      <c r="L1931">
        <v>60</v>
      </c>
    </row>
    <row r="1932" spans="1:12" x14ac:dyDescent="0.3">
      <c r="A1932">
        <v>151</v>
      </c>
      <c r="B1932" t="s">
        <v>32</v>
      </c>
      <c r="C1932" s="1">
        <v>45880</v>
      </c>
      <c r="D1932" s="1" t="str">
        <f>TEXT(FMData[[#This Row],[Show_Date]],"mmm")</f>
        <v>Aug</v>
      </c>
      <c r="E1932" s="1" t="str">
        <f>TEXT(FMData[[#This Row],[Show_Date]],"ddd")</f>
        <v>Mon</v>
      </c>
      <c r="F1932" t="s">
        <v>33</v>
      </c>
      <c r="G1932" t="s">
        <v>17</v>
      </c>
      <c r="H1932">
        <v>2</v>
      </c>
      <c r="I1932">
        <v>12</v>
      </c>
      <c r="J1932" t="s">
        <v>23</v>
      </c>
      <c r="K1932" t="s">
        <v>18</v>
      </c>
      <c r="L1932">
        <v>24</v>
      </c>
    </row>
    <row r="1933" spans="1:12" x14ac:dyDescent="0.3">
      <c r="A1933">
        <v>1304</v>
      </c>
      <c r="B1933" t="s">
        <v>10</v>
      </c>
      <c r="C1933" s="1">
        <v>45869</v>
      </c>
      <c r="D1933" s="1" t="str">
        <f>TEXT(FMData[[#This Row],[Show_Date]],"mmm")</f>
        <v>Jul</v>
      </c>
      <c r="E1933" s="1" t="str">
        <f>TEXT(FMData[[#This Row],[Show_Date]],"ddd")</f>
        <v>Thu</v>
      </c>
      <c r="F1933" t="s">
        <v>11</v>
      </c>
      <c r="G1933" t="s">
        <v>17</v>
      </c>
      <c r="H1933">
        <v>1</v>
      </c>
      <c r="I1933">
        <v>12</v>
      </c>
      <c r="J1933" t="s">
        <v>21</v>
      </c>
      <c r="K1933" t="s">
        <v>14</v>
      </c>
      <c r="L1933">
        <v>12</v>
      </c>
    </row>
    <row r="1934" spans="1:12" x14ac:dyDescent="0.3">
      <c r="A1934">
        <v>464</v>
      </c>
      <c r="B1934" t="s">
        <v>24</v>
      </c>
      <c r="C1934" s="1">
        <v>45913</v>
      </c>
      <c r="D1934" s="1" t="str">
        <f>TEXT(FMData[[#This Row],[Show_Date]],"mmm")</f>
        <v>Sep</v>
      </c>
      <c r="E1934" s="1" t="str">
        <f>TEXT(FMData[[#This Row],[Show_Date]],"ddd")</f>
        <v>Sat</v>
      </c>
      <c r="F1934" t="s">
        <v>20</v>
      </c>
      <c r="G1934" t="s">
        <v>12</v>
      </c>
      <c r="H1934">
        <v>3</v>
      </c>
      <c r="I1934">
        <v>25</v>
      </c>
      <c r="J1934" t="s">
        <v>21</v>
      </c>
      <c r="K1934" t="s">
        <v>14</v>
      </c>
      <c r="L1934">
        <v>75</v>
      </c>
    </row>
    <row r="1935" spans="1:12" x14ac:dyDescent="0.3">
      <c r="A1935">
        <v>1743</v>
      </c>
      <c r="B1935" t="s">
        <v>26</v>
      </c>
      <c r="C1935" s="1">
        <v>45843</v>
      </c>
      <c r="D1935" s="1" t="str">
        <f>TEXT(FMData[[#This Row],[Show_Date]],"mmm")</f>
        <v>Jul</v>
      </c>
      <c r="E1935" s="1" t="str">
        <f>TEXT(FMData[[#This Row],[Show_Date]],"ddd")</f>
        <v>Sat</v>
      </c>
      <c r="F1935" t="s">
        <v>11</v>
      </c>
      <c r="G1935" t="s">
        <v>30</v>
      </c>
      <c r="H1935">
        <v>3</v>
      </c>
      <c r="I1935">
        <v>8</v>
      </c>
      <c r="J1935" t="s">
        <v>13</v>
      </c>
      <c r="K1935" t="s">
        <v>14</v>
      </c>
      <c r="L1935">
        <v>24</v>
      </c>
    </row>
    <row r="1936" spans="1:12" x14ac:dyDescent="0.3">
      <c r="A1936">
        <v>966</v>
      </c>
      <c r="B1936" t="s">
        <v>24</v>
      </c>
      <c r="C1936" s="1">
        <v>45892</v>
      </c>
      <c r="D1936" s="1" t="str">
        <f>TEXT(FMData[[#This Row],[Show_Date]],"mmm")</f>
        <v>Aug</v>
      </c>
      <c r="E1936" s="1" t="str">
        <f>TEXT(FMData[[#This Row],[Show_Date]],"ddd")</f>
        <v>Sat</v>
      </c>
      <c r="F1936" t="s">
        <v>11</v>
      </c>
      <c r="G1936" t="s">
        <v>30</v>
      </c>
      <c r="H1936">
        <v>3</v>
      </c>
      <c r="I1936">
        <v>8</v>
      </c>
      <c r="J1936" t="s">
        <v>21</v>
      </c>
      <c r="K1936" t="s">
        <v>14</v>
      </c>
      <c r="L1936">
        <v>24</v>
      </c>
    </row>
    <row r="1937" spans="1:12" x14ac:dyDescent="0.3">
      <c r="A1937">
        <v>445</v>
      </c>
      <c r="B1937" t="s">
        <v>31</v>
      </c>
      <c r="C1937" s="1">
        <v>45890</v>
      </c>
      <c r="D1937" s="1" t="str">
        <f>TEXT(FMData[[#This Row],[Show_Date]],"mmm")</f>
        <v>Aug</v>
      </c>
      <c r="E1937" s="1" t="str">
        <f>TEXT(FMData[[#This Row],[Show_Date]],"ddd")</f>
        <v>Thu</v>
      </c>
      <c r="F1937" t="s">
        <v>16</v>
      </c>
      <c r="G1937" t="s">
        <v>17</v>
      </c>
      <c r="H1937">
        <v>5</v>
      </c>
      <c r="I1937">
        <v>12</v>
      </c>
      <c r="J1937" t="s">
        <v>21</v>
      </c>
      <c r="K1937" t="s">
        <v>14</v>
      </c>
      <c r="L1937">
        <v>60</v>
      </c>
    </row>
    <row r="1938" spans="1:12" x14ac:dyDescent="0.3">
      <c r="A1938">
        <v>29</v>
      </c>
      <c r="B1938" t="s">
        <v>19</v>
      </c>
      <c r="C1938" s="1">
        <v>45877</v>
      </c>
      <c r="D1938" s="1" t="str">
        <f>TEXT(FMData[[#This Row],[Show_Date]],"mmm")</f>
        <v>Aug</v>
      </c>
      <c r="E1938" s="1" t="str">
        <f>TEXT(FMData[[#This Row],[Show_Date]],"ddd")</f>
        <v>Fri</v>
      </c>
      <c r="F1938" t="s">
        <v>20</v>
      </c>
      <c r="G1938" t="s">
        <v>17</v>
      </c>
      <c r="H1938">
        <v>4</v>
      </c>
      <c r="I1938">
        <v>12</v>
      </c>
      <c r="J1938" t="s">
        <v>13</v>
      </c>
      <c r="K1938" t="s">
        <v>18</v>
      </c>
      <c r="L1938">
        <v>48</v>
      </c>
    </row>
    <row r="1939" spans="1:12" x14ac:dyDescent="0.3">
      <c r="A1939">
        <v>205</v>
      </c>
      <c r="B1939" t="s">
        <v>31</v>
      </c>
      <c r="C1939" s="1">
        <v>45909</v>
      </c>
      <c r="D1939" s="1" t="str">
        <f>TEXT(FMData[[#This Row],[Show_Date]],"mmm")</f>
        <v>Sep</v>
      </c>
      <c r="E1939" s="1" t="str">
        <f>TEXT(FMData[[#This Row],[Show_Date]],"ddd")</f>
        <v>Tue</v>
      </c>
      <c r="F1939" t="s">
        <v>33</v>
      </c>
      <c r="G1939" t="s">
        <v>30</v>
      </c>
      <c r="H1939">
        <v>2</v>
      </c>
      <c r="I1939">
        <v>8</v>
      </c>
      <c r="J1939" t="s">
        <v>21</v>
      </c>
      <c r="K1939" t="s">
        <v>25</v>
      </c>
      <c r="L1939">
        <v>16</v>
      </c>
    </row>
    <row r="1940" spans="1:12" x14ac:dyDescent="0.3">
      <c r="A1940">
        <v>127</v>
      </c>
      <c r="B1940" t="s">
        <v>26</v>
      </c>
      <c r="C1940" s="1">
        <v>45906</v>
      </c>
      <c r="D1940" s="1" t="str">
        <f>TEXT(FMData[[#This Row],[Show_Date]],"mmm")</f>
        <v>Sep</v>
      </c>
      <c r="E1940" s="1" t="str">
        <f>TEXT(FMData[[#This Row],[Show_Date]],"ddd")</f>
        <v>Sat</v>
      </c>
      <c r="F1940" t="s">
        <v>33</v>
      </c>
      <c r="G1940" t="s">
        <v>12</v>
      </c>
      <c r="H1940">
        <v>4</v>
      </c>
      <c r="I1940">
        <v>25</v>
      </c>
      <c r="J1940" t="s">
        <v>13</v>
      </c>
      <c r="K1940" t="s">
        <v>25</v>
      </c>
      <c r="L1940">
        <v>100</v>
      </c>
    </row>
    <row r="1941" spans="1:12" x14ac:dyDescent="0.3">
      <c r="A1941">
        <v>531</v>
      </c>
      <c r="B1941" t="s">
        <v>24</v>
      </c>
      <c r="C1941" s="1">
        <v>45864</v>
      </c>
      <c r="D1941" s="1" t="str">
        <f>TEXT(FMData[[#This Row],[Show_Date]],"mmm")</f>
        <v>Jul</v>
      </c>
      <c r="E1941" s="1" t="str">
        <f>TEXT(FMData[[#This Row],[Show_Date]],"ddd")</f>
        <v>Sat</v>
      </c>
      <c r="F1941" t="s">
        <v>20</v>
      </c>
      <c r="G1941" t="s">
        <v>30</v>
      </c>
      <c r="H1941">
        <v>4</v>
      </c>
      <c r="I1941">
        <v>8</v>
      </c>
      <c r="J1941" t="s">
        <v>21</v>
      </c>
      <c r="K1941" t="s">
        <v>25</v>
      </c>
      <c r="L1941">
        <v>32</v>
      </c>
    </row>
    <row r="1942" spans="1:12" x14ac:dyDescent="0.3">
      <c r="A1942">
        <v>439</v>
      </c>
      <c r="B1942" t="s">
        <v>28</v>
      </c>
      <c r="C1942" s="1">
        <v>45864</v>
      </c>
      <c r="D1942" s="1" t="str">
        <f>TEXT(FMData[[#This Row],[Show_Date]],"mmm")</f>
        <v>Jul</v>
      </c>
      <c r="E1942" s="1" t="str">
        <f>TEXT(FMData[[#This Row],[Show_Date]],"ddd")</f>
        <v>Sat</v>
      </c>
      <c r="F1942" t="s">
        <v>11</v>
      </c>
      <c r="G1942" t="s">
        <v>12</v>
      </c>
      <c r="H1942">
        <v>4</v>
      </c>
      <c r="I1942">
        <v>25</v>
      </c>
      <c r="J1942" t="s">
        <v>23</v>
      </c>
      <c r="K1942" t="s">
        <v>18</v>
      </c>
      <c r="L1942">
        <v>100</v>
      </c>
    </row>
    <row r="1943" spans="1:12" x14ac:dyDescent="0.3">
      <c r="A1943">
        <v>673</v>
      </c>
      <c r="B1943" t="s">
        <v>10</v>
      </c>
      <c r="C1943" s="1">
        <v>45889</v>
      </c>
      <c r="D1943" s="1" t="str">
        <f>TEXT(FMData[[#This Row],[Show_Date]],"mmm")</f>
        <v>Aug</v>
      </c>
      <c r="E1943" s="1" t="str">
        <f>TEXT(FMData[[#This Row],[Show_Date]],"ddd")</f>
        <v>Wed</v>
      </c>
      <c r="F1943" t="s">
        <v>20</v>
      </c>
      <c r="G1943" t="s">
        <v>30</v>
      </c>
      <c r="H1943">
        <v>1</v>
      </c>
      <c r="I1943">
        <v>8</v>
      </c>
      <c r="J1943" t="s">
        <v>23</v>
      </c>
      <c r="K1943" t="s">
        <v>27</v>
      </c>
      <c r="L1943">
        <v>8</v>
      </c>
    </row>
    <row r="1944" spans="1:12" x14ac:dyDescent="0.3">
      <c r="A1944">
        <v>902</v>
      </c>
      <c r="B1944" t="s">
        <v>31</v>
      </c>
      <c r="C1944" s="1">
        <v>45919</v>
      </c>
      <c r="D1944" s="1" t="str">
        <f>TEXT(FMData[[#This Row],[Show_Date]],"mmm")</f>
        <v>Sep</v>
      </c>
      <c r="E1944" s="1" t="str">
        <f>TEXT(FMData[[#This Row],[Show_Date]],"ddd")</f>
        <v>Fri</v>
      </c>
      <c r="F1944" t="s">
        <v>20</v>
      </c>
      <c r="G1944" t="s">
        <v>30</v>
      </c>
      <c r="H1944">
        <v>2</v>
      </c>
      <c r="I1944">
        <v>8</v>
      </c>
      <c r="J1944" t="s">
        <v>23</v>
      </c>
      <c r="K1944" t="s">
        <v>18</v>
      </c>
      <c r="L1944">
        <v>16</v>
      </c>
    </row>
    <row r="1945" spans="1:12" x14ac:dyDescent="0.3">
      <c r="A1945">
        <v>1615</v>
      </c>
      <c r="B1945" t="s">
        <v>10</v>
      </c>
      <c r="C1945" s="1">
        <v>45925</v>
      </c>
      <c r="D1945" s="1" t="str">
        <f>TEXT(FMData[[#This Row],[Show_Date]],"mmm")</f>
        <v>Sep</v>
      </c>
      <c r="E1945" s="1" t="str">
        <f>TEXT(FMData[[#This Row],[Show_Date]],"ddd")</f>
        <v>Thu</v>
      </c>
      <c r="F1945" t="s">
        <v>16</v>
      </c>
      <c r="G1945" t="s">
        <v>17</v>
      </c>
      <c r="H1945">
        <v>5</v>
      </c>
      <c r="I1945">
        <v>12</v>
      </c>
      <c r="J1945" t="s">
        <v>13</v>
      </c>
      <c r="K1945" t="s">
        <v>18</v>
      </c>
      <c r="L1945">
        <v>60</v>
      </c>
    </row>
    <row r="1946" spans="1:12" x14ac:dyDescent="0.3">
      <c r="A1946">
        <v>1912</v>
      </c>
      <c r="B1946" t="s">
        <v>10</v>
      </c>
      <c r="C1946" s="1">
        <v>45843</v>
      </c>
      <c r="D1946" s="1" t="str">
        <f>TEXT(FMData[[#This Row],[Show_Date]],"mmm")</f>
        <v>Jul</v>
      </c>
      <c r="E1946" s="1" t="str">
        <f>TEXT(FMData[[#This Row],[Show_Date]],"ddd")</f>
        <v>Sat</v>
      </c>
      <c r="F1946" t="s">
        <v>20</v>
      </c>
      <c r="G1946" t="s">
        <v>17</v>
      </c>
      <c r="H1946">
        <v>1</v>
      </c>
      <c r="I1946">
        <v>12</v>
      </c>
      <c r="J1946" t="s">
        <v>21</v>
      </c>
      <c r="K1946" t="s">
        <v>27</v>
      </c>
      <c r="L1946">
        <v>12</v>
      </c>
    </row>
    <row r="1947" spans="1:12" x14ac:dyDescent="0.3">
      <c r="A1947">
        <v>1020</v>
      </c>
      <c r="B1947" t="s">
        <v>15</v>
      </c>
      <c r="C1947" s="1">
        <v>45873</v>
      </c>
      <c r="D1947" s="1" t="str">
        <f>TEXT(FMData[[#This Row],[Show_Date]],"mmm")</f>
        <v>Aug</v>
      </c>
      <c r="E1947" s="1" t="str">
        <f>TEXT(FMData[[#This Row],[Show_Date]],"ddd")</f>
        <v>Mon</v>
      </c>
      <c r="F1947" t="s">
        <v>11</v>
      </c>
      <c r="G1947" t="s">
        <v>30</v>
      </c>
      <c r="H1947">
        <v>4</v>
      </c>
      <c r="I1947">
        <v>8</v>
      </c>
      <c r="J1947" t="s">
        <v>23</v>
      </c>
      <c r="K1947" t="s">
        <v>18</v>
      </c>
      <c r="L1947">
        <v>32</v>
      </c>
    </row>
    <row r="1948" spans="1:12" x14ac:dyDescent="0.3">
      <c r="A1948">
        <v>1645</v>
      </c>
      <c r="B1948" t="s">
        <v>24</v>
      </c>
      <c r="C1948" s="1">
        <v>45871</v>
      </c>
      <c r="D1948" s="1" t="str">
        <f>TEXT(FMData[[#This Row],[Show_Date]],"mmm")</f>
        <v>Aug</v>
      </c>
      <c r="E1948" s="1" t="str">
        <f>TEXT(FMData[[#This Row],[Show_Date]],"ddd")</f>
        <v>Sat</v>
      </c>
      <c r="F1948" t="s">
        <v>20</v>
      </c>
      <c r="G1948" t="s">
        <v>30</v>
      </c>
      <c r="H1948">
        <v>4</v>
      </c>
      <c r="I1948">
        <v>8</v>
      </c>
      <c r="J1948" t="s">
        <v>23</v>
      </c>
      <c r="K1948" t="s">
        <v>14</v>
      </c>
      <c r="L1948">
        <v>32</v>
      </c>
    </row>
    <row r="1949" spans="1:12" x14ac:dyDescent="0.3">
      <c r="A1949">
        <v>1495</v>
      </c>
      <c r="B1949" t="s">
        <v>10</v>
      </c>
      <c r="C1949" s="1">
        <v>45845</v>
      </c>
      <c r="D1949" s="1" t="str">
        <f>TEXT(FMData[[#This Row],[Show_Date]],"mmm")</f>
        <v>Jul</v>
      </c>
      <c r="E1949" s="1" t="str">
        <f>TEXT(FMData[[#This Row],[Show_Date]],"ddd")</f>
        <v>Mon</v>
      </c>
      <c r="F1949" t="s">
        <v>11</v>
      </c>
      <c r="G1949" t="s">
        <v>30</v>
      </c>
      <c r="H1949">
        <v>3</v>
      </c>
      <c r="I1949">
        <v>8</v>
      </c>
      <c r="J1949" t="s">
        <v>21</v>
      </c>
      <c r="K1949" t="s">
        <v>25</v>
      </c>
      <c r="L1949">
        <v>24</v>
      </c>
    </row>
    <row r="1950" spans="1:12" x14ac:dyDescent="0.3">
      <c r="A1950">
        <v>709</v>
      </c>
      <c r="B1950" t="s">
        <v>19</v>
      </c>
      <c r="C1950" s="1">
        <v>45914</v>
      </c>
      <c r="D1950" s="1" t="str">
        <f>TEXT(FMData[[#This Row],[Show_Date]],"mmm")</f>
        <v>Sep</v>
      </c>
      <c r="E1950" s="1" t="str">
        <f>TEXT(FMData[[#This Row],[Show_Date]],"ddd")</f>
        <v>Sun</v>
      </c>
      <c r="F1950" t="s">
        <v>16</v>
      </c>
      <c r="G1950" t="s">
        <v>17</v>
      </c>
      <c r="H1950">
        <v>5</v>
      </c>
      <c r="I1950">
        <v>12</v>
      </c>
      <c r="J1950" t="s">
        <v>13</v>
      </c>
      <c r="K1950" t="s">
        <v>14</v>
      </c>
      <c r="L1950">
        <v>60</v>
      </c>
    </row>
    <row r="1951" spans="1:12" x14ac:dyDescent="0.3">
      <c r="A1951">
        <v>356</v>
      </c>
      <c r="B1951" t="s">
        <v>28</v>
      </c>
      <c r="C1951" s="1">
        <v>45913</v>
      </c>
      <c r="D1951" s="1" t="str">
        <f>TEXT(FMData[[#This Row],[Show_Date]],"mmm")</f>
        <v>Sep</v>
      </c>
      <c r="E1951" s="1" t="str">
        <f>TEXT(FMData[[#This Row],[Show_Date]],"ddd")</f>
        <v>Sat</v>
      </c>
      <c r="F1951" t="s">
        <v>11</v>
      </c>
      <c r="G1951" t="s">
        <v>17</v>
      </c>
      <c r="H1951">
        <v>2</v>
      </c>
      <c r="I1951">
        <v>12</v>
      </c>
      <c r="J1951" t="s">
        <v>21</v>
      </c>
      <c r="K1951" t="s">
        <v>27</v>
      </c>
      <c r="L1951">
        <v>24</v>
      </c>
    </row>
    <row r="1952" spans="1:12" x14ac:dyDescent="0.3">
      <c r="A1952">
        <v>1166</v>
      </c>
      <c r="B1952" t="s">
        <v>26</v>
      </c>
      <c r="C1952" s="1">
        <v>45857</v>
      </c>
      <c r="D1952" s="1" t="str">
        <f>TEXT(FMData[[#This Row],[Show_Date]],"mmm")</f>
        <v>Jul</v>
      </c>
      <c r="E1952" s="1" t="str">
        <f>TEXT(FMData[[#This Row],[Show_Date]],"ddd")</f>
        <v>Sat</v>
      </c>
      <c r="F1952" t="s">
        <v>33</v>
      </c>
      <c r="G1952" t="s">
        <v>17</v>
      </c>
      <c r="H1952">
        <v>2</v>
      </c>
      <c r="I1952">
        <v>12</v>
      </c>
      <c r="J1952" t="s">
        <v>23</v>
      </c>
      <c r="K1952" t="s">
        <v>25</v>
      </c>
      <c r="L1952">
        <v>24</v>
      </c>
    </row>
    <row r="1953" spans="1:12" x14ac:dyDescent="0.3">
      <c r="A1953">
        <v>468</v>
      </c>
      <c r="B1953" t="s">
        <v>24</v>
      </c>
      <c r="C1953" s="1">
        <v>45849</v>
      </c>
      <c r="D1953" s="1" t="str">
        <f>TEXT(FMData[[#This Row],[Show_Date]],"mmm")</f>
        <v>Jul</v>
      </c>
      <c r="E1953" s="1" t="str">
        <f>TEXT(FMData[[#This Row],[Show_Date]],"ddd")</f>
        <v>Fri</v>
      </c>
      <c r="F1953" t="s">
        <v>33</v>
      </c>
      <c r="G1953" t="s">
        <v>17</v>
      </c>
      <c r="H1953">
        <v>5</v>
      </c>
      <c r="I1953">
        <v>12</v>
      </c>
      <c r="J1953" t="s">
        <v>23</v>
      </c>
      <c r="K1953" t="s">
        <v>14</v>
      </c>
      <c r="L1953">
        <v>60</v>
      </c>
    </row>
    <row r="1954" spans="1:12" x14ac:dyDescent="0.3">
      <c r="A1954">
        <v>1971</v>
      </c>
      <c r="B1954" t="s">
        <v>24</v>
      </c>
      <c r="C1954" s="1">
        <v>45916</v>
      </c>
      <c r="D1954" s="1" t="str">
        <f>TEXT(FMData[[#This Row],[Show_Date]],"mmm")</f>
        <v>Sep</v>
      </c>
      <c r="E1954" s="1" t="str">
        <f>TEXT(FMData[[#This Row],[Show_Date]],"ddd")</f>
        <v>Tue</v>
      </c>
      <c r="F1954" t="s">
        <v>16</v>
      </c>
      <c r="G1954" t="s">
        <v>29</v>
      </c>
      <c r="H1954">
        <v>3</v>
      </c>
      <c r="I1954">
        <v>30</v>
      </c>
      <c r="J1954" t="s">
        <v>21</v>
      </c>
      <c r="K1954" t="s">
        <v>14</v>
      </c>
      <c r="L1954">
        <v>90</v>
      </c>
    </row>
    <row r="1955" spans="1:12" x14ac:dyDescent="0.3">
      <c r="A1955">
        <v>1704</v>
      </c>
      <c r="B1955" t="s">
        <v>32</v>
      </c>
      <c r="C1955" s="1">
        <v>45885</v>
      </c>
      <c r="D1955" s="1" t="str">
        <f>TEXT(FMData[[#This Row],[Show_Date]],"mmm")</f>
        <v>Aug</v>
      </c>
      <c r="E1955" s="1" t="str">
        <f>TEXT(FMData[[#This Row],[Show_Date]],"ddd")</f>
        <v>Sat</v>
      </c>
      <c r="F1955" t="s">
        <v>20</v>
      </c>
      <c r="G1955" t="s">
        <v>22</v>
      </c>
      <c r="H1955">
        <v>4</v>
      </c>
      <c r="I1955">
        <v>20</v>
      </c>
      <c r="J1955" t="s">
        <v>23</v>
      </c>
      <c r="K1955" t="s">
        <v>14</v>
      </c>
      <c r="L1955">
        <v>80</v>
      </c>
    </row>
    <row r="1956" spans="1:12" x14ac:dyDescent="0.3">
      <c r="A1956">
        <v>623</v>
      </c>
      <c r="B1956" t="s">
        <v>28</v>
      </c>
      <c r="C1956" s="1">
        <v>45844</v>
      </c>
      <c r="D1956" s="1" t="str">
        <f>TEXT(FMData[[#This Row],[Show_Date]],"mmm")</f>
        <v>Jul</v>
      </c>
      <c r="E1956" s="1" t="str">
        <f>TEXT(FMData[[#This Row],[Show_Date]],"ddd")</f>
        <v>Sun</v>
      </c>
      <c r="F1956" t="s">
        <v>16</v>
      </c>
      <c r="G1956" t="s">
        <v>17</v>
      </c>
      <c r="H1956">
        <v>5</v>
      </c>
      <c r="I1956">
        <v>12</v>
      </c>
      <c r="J1956" t="s">
        <v>23</v>
      </c>
      <c r="K1956" t="s">
        <v>14</v>
      </c>
      <c r="L1956">
        <v>60</v>
      </c>
    </row>
    <row r="1957" spans="1:12" x14ac:dyDescent="0.3">
      <c r="A1957">
        <v>757</v>
      </c>
      <c r="B1957" t="s">
        <v>26</v>
      </c>
      <c r="C1957" s="1">
        <v>45899</v>
      </c>
      <c r="D1957" s="1" t="str">
        <f>TEXT(FMData[[#This Row],[Show_Date]],"mmm")</f>
        <v>Aug</v>
      </c>
      <c r="E1957" s="1" t="str">
        <f>TEXT(FMData[[#This Row],[Show_Date]],"ddd")</f>
        <v>Sat</v>
      </c>
      <c r="F1957" t="s">
        <v>33</v>
      </c>
      <c r="G1957" t="s">
        <v>17</v>
      </c>
      <c r="H1957">
        <v>3</v>
      </c>
      <c r="I1957">
        <v>12</v>
      </c>
      <c r="J1957" t="s">
        <v>13</v>
      </c>
      <c r="K1957" t="s">
        <v>14</v>
      </c>
      <c r="L1957">
        <v>36</v>
      </c>
    </row>
    <row r="1958" spans="1:12" x14ac:dyDescent="0.3">
      <c r="A1958">
        <v>1691</v>
      </c>
      <c r="B1958" t="s">
        <v>10</v>
      </c>
      <c r="C1958" s="1">
        <v>45850</v>
      </c>
      <c r="D1958" s="1" t="str">
        <f>TEXT(FMData[[#This Row],[Show_Date]],"mmm")</f>
        <v>Jul</v>
      </c>
      <c r="E1958" s="1" t="str">
        <f>TEXT(FMData[[#This Row],[Show_Date]],"ddd")</f>
        <v>Sat</v>
      </c>
      <c r="F1958" t="s">
        <v>20</v>
      </c>
      <c r="G1958" t="s">
        <v>22</v>
      </c>
      <c r="H1958">
        <v>4</v>
      </c>
      <c r="I1958">
        <v>20</v>
      </c>
      <c r="J1958" t="s">
        <v>23</v>
      </c>
      <c r="K1958" t="s">
        <v>27</v>
      </c>
      <c r="L1958">
        <v>80</v>
      </c>
    </row>
    <row r="1959" spans="1:12" x14ac:dyDescent="0.3">
      <c r="A1959">
        <v>882</v>
      </c>
      <c r="B1959" t="s">
        <v>10</v>
      </c>
      <c r="C1959" s="1">
        <v>45843</v>
      </c>
      <c r="D1959" s="1" t="str">
        <f>TEXT(FMData[[#This Row],[Show_Date]],"mmm")</f>
        <v>Jul</v>
      </c>
      <c r="E1959" s="1" t="str">
        <f>TEXT(FMData[[#This Row],[Show_Date]],"ddd")</f>
        <v>Sat</v>
      </c>
      <c r="F1959" t="s">
        <v>33</v>
      </c>
      <c r="G1959" t="s">
        <v>22</v>
      </c>
      <c r="H1959">
        <v>1</v>
      </c>
      <c r="I1959">
        <v>20</v>
      </c>
      <c r="J1959" t="s">
        <v>21</v>
      </c>
      <c r="K1959" t="s">
        <v>14</v>
      </c>
      <c r="L1959">
        <v>20</v>
      </c>
    </row>
    <row r="1960" spans="1:12" x14ac:dyDescent="0.3">
      <c r="A1960">
        <v>641</v>
      </c>
      <c r="B1960" t="s">
        <v>10</v>
      </c>
      <c r="C1960" s="1">
        <v>45927</v>
      </c>
      <c r="D1960" s="1" t="str">
        <f>TEXT(FMData[[#This Row],[Show_Date]],"mmm")</f>
        <v>Sep</v>
      </c>
      <c r="E1960" s="1" t="str">
        <f>TEXT(FMData[[#This Row],[Show_Date]],"ddd")</f>
        <v>Sat</v>
      </c>
      <c r="F1960" t="s">
        <v>11</v>
      </c>
      <c r="G1960" t="s">
        <v>17</v>
      </c>
      <c r="H1960">
        <v>3</v>
      </c>
      <c r="I1960">
        <v>12</v>
      </c>
      <c r="J1960" t="s">
        <v>23</v>
      </c>
      <c r="K1960" t="s">
        <v>14</v>
      </c>
      <c r="L1960">
        <v>36</v>
      </c>
    </row>
    <row r="1961" spans="1:12" x14ac:dyDescent="0.3">
      <c r="A1961">
        <v>1091</v>
      </c>
      <c r="B1961" t="s">
        <v>31</v>
      </c>
      <c r="C1961" s="1">
        <v>45871</v>
      </c>
      <c r="D1961" s="1" t="str">
        <f>TEXT(FMData[[#This Row],[Show_Date]],"mmm")</f>
        <v>Aug</v>
      </c>
      <c r="E1961" s="1" t="str">
        <f>TEXT(FMData[[#This Row],[Show_Date]],"ddd")</f>
        <v>Sat</v>
      </c>
      <c r="F1961" t="s">
        <v>16</v>
      </c>
      <c r="G1961" t="s">
        <v>17</v>
      </c>
      <c r="H1961">
        <v>2</v>
      </c>
      <c r="I1961">
        <v>12</v>
      </c>
      <c r="J1961" t="s">
        <v>23</v>
      </c>
      <c r="K1961" t="s">
        <v>18</v>
      </c>
      <c r="L1961">
        <v>24</v>
      </c>
    </row>
    <row r="1962" spans="1:12" x14ac:dyDescent="0.3">
      <c r="A1962">
        <v>36</v>
      </c>
      <c r="B1962" t="s">
        <v>15</v>
      </c>
      <c r="C1962" s="1">
        <v>45914</v>
      </c>
      <c r="D1962" s="1" t="str">
        <f>TEXT(FMData[[#This Row],[Show_Date]],"mmm")</f>
        <v>Sep</v>
      </c>
      <c r="E1962" s="1" t="str">
        <f>TEXT(FMData[[#This Row],[Show_Date]],"ddd")</f>
        <v>Sun</v>
      </c>
      <c r="F1962" t="s">
        <v>20</v>
      </c>
      <c r="G1962" t="s">
        <v>17</v>
      </c>
      <c r="H1962">
        <v>3</v>
      </c>
      <c r="I1962">
        <v>12</v>
      </c>
      <c r="J1962" t="s">
        <v>21</v>
      </c>
      <c r="K1962" t="s">
        <v>27</v>
      </c>
      <c r="L1962">
        <v>36</v>
      </c>
    </row>
    <row r="1963" spans="1:12" x14ac:dyDescent="0.3">
      <c r="A1963">
        <v>81</v>
      </c>
      <c r="B1963" t="s">
        <v>28</v>
      </c>
      <c r="C1963" s="1">
        <v>45908</v>
      </c>
      <c r="D1963" s="1" t="str">
        <f>TEXT(FMData[[#This Row],[Show_Date]],"mmm")</f>
        <v>Sep</v>
      </c>
      <c r="E1963" s="1" t="str">
        <f>TEXT(FMData[[#This Row],[Show_Date]],"ddd")</f>
        <v>Mon</v>
      </c>
      <c r="F1963" t="s">
        <v>33</v>
      </c>
      <c r="G1963" t="s">
        <v>17</v>
      </c>
      <c r="H1963">
        <v>2</v>
      </c>
      <c r="I1963">
        <v>12</v>
      </c>
      <c r="J1963" t="s">
        <v>23</v>
      </c>
      <c r="K1963" t="s">
        <v>27</v>
      </c>
      <c r="L1963">
        <v>24</v>
      </c>
    </row>
    <row r="1964" spans="1:12" x14ac:dyDescent="0.3">
      <c r="A1964">
        <v>1075</v>
      </c>
      <c r="B1964" t="s">
        <v>24</v>
      </c>
      <c r="C1964" s="1">
        <v>45857</v>
      </c>
      <c r="D1964" s="1" t="str">
        <f>TEXT(FMData[[#This Row],[Show_Date]],"mmm")</f>
        <v>Jul</v>
      </c>
      <c r="E1964" s="1" t="str">
        <f>TEXT(FMData[[#This Row],[Show_Date]],"ddd")</f>
        <v>Sat</v>
      </c>
      <c r="F1964" t="s">
        <v>11</v>
      </c>
      <c r="G1964" t="s">
        <v>12</v>
      </c>
      <c r="H1964">
        <v>2</v>
      </c>
      <c r="I1964">
        <v>25</v>
      </c>
      <c r="J1964" t="s">
        <v>23</v>
      </c>
      <c r="K1964" t="s">
        <v>18</v>
      </c>
      <c r="L1964">
        <v>50</v>
      </c>
    </row>
    <row r="1965" spans="1:12" x14ac:dyDescent="0.3">
      <c r="A1965">
        <v>1911</v>
      </c>
      <c r="B1965" t="s">
        <v>31</v>
      </c>
      <c r="C1965" s="1">
        <v>45900</v>
      </c>
      <c r="D1965" s="1" t="str">
        <f>TEXT(FMData[[#This Row],[Show_Date]],"mmm")</f>
        <v>Aug</v>
      </c>
      <c r="E1965" s="1" t="str">
        <f>TEXT(FMData[[#This Row],[Show_Date]],"ddd")</f>
        <v>Sun</v>
      </c>
      <c r="F1965" t="s">
        <v>16</v>
      </c>
      <c r="G1965" t="s">
        <v>17</v>
      </c>
      <c r="H1965">
        <v>5</v>
      </c>
      <c r="I1965">
        <v>12</v>
      </c>
      <c r="J1965" t="s">
        <v>23</v>
      </c>
      <c r="K1965" t="s">
        <v>25</v>
      </c>
      <c r="L1965">
        <v>60</v>
      </c>
    </row>
    <row r="1966" spans="1:12" x14ac:dyDescent="0.3">
      <c r="A1966">
        <v>916</v>
      </c>
      <c r="B1966" t="s">
        <v>10</v>
      </c>
      <c r="C1966" s="1">
        <v>45899</v>
      </c>
      <c r="D1966" s="1" t="str">
        <f>TEXT(FMData[[#This Row],[Show_Date]],"mmm")</f>
        <v>Aug</v>
      </c>
      <c r="E1966" s="1" t="str">
        <f>TEXT(FMData[[#This Row],[Show_Date]],"ddd")</f>
        <v>Sat</v>
      </c>
      <c r="F1966" t="s">
        <v>33</v>
      </c>
      <c r="G1966" t="s">
        <v>30</v>
      </c>
      <c r="H1966">
        <v>5</v>
      </c>
      <c r="I1966">
        <v>8</v>
      </c>
      <c r="J1966" t="s">
        <v>13</v>
      </c>
      <c r="K1966" t="s">
        <v>14</v>
      </c>
      <c r="L1966">
        <v>40</v>
      </c>
    </row>
    <row r="1967" spans="1:12" x14ac:dyDescent="0.3">
      <c r="A1967">
        <v>1910</v>
      </c>
      <c r="B1967" t="s">
        <v>15</v>
      </c>
      <c r="C1967" s="1">
        <v>45885</v>
      </c>
      <c r="D1967" s="1" t="str">
        <f>TEXT(FMData[[#This Row],[Show_Date]],"mmm")</f>
        <v>Aug</v>
      </c>
      <c r="E1967" s="1" t="str">
        <f>TEXT(FMData[[#This Row],[Show_Date]],"ddd")</f>
        <v>Sat</v>
      </c>
      <c r="F1967" t="s">
        <v>33</v>
      </c>
      <c r="G1967" t="s">
        <v>17</v>
      </c>
      <c r="H1967">
        <v>5</v>
      </c>
      <c r="I1967">
        <v>12</v>
      </c>
      <c r="J1967" t="s">
        <v>23</v>
      </c>
      <c r="K1967" t="s">
        <v>18</v>
      </c>
      <c r="L1967">
        <v>60</v>
      </c>
    </row>
    <row r="1968" spans="1:12" x14ac:dyDescent="0.3">
      <c r="A1968">
        <v>416</v>
      </c>
      <c r="B1968" t="s">
        <v>24</v>
      </c>
      <c r="C1968" s="1">
        <v>45906</v>
      </c>
      <c r="D1968" s="1" t="str">
        <f>TEXT(FMData[[#This Row],[Show_Date]],"mmm")</f>
        <v>Sep</v>
      </c>
      <c r="E1968" s="1" t="str">
        <f>TEXT(FMData[[#This Row],[Show_Date]],"ddd")</f>
        <v>Sat</v>
      </c>
      <c r="F1968" t="s">
        <v>20</v>
      </c>
      <c r="G1968" t="s">
        <v>29</v>
      </c>
      <c r="H1968">
        <v>1</v>
      </c>
      <c r="I1968">
        <v>30</v>
      </c>
      <c r="J1968" t="s">
        <v>21</v>
      </c>
      <c r="K1968" t="s">
        <v>25</v>
      </c>
      <c r="L1968">
        <v>30</v>
      </c>
    </row>
    <row r="1969" spans="1:12" x14ac:dyDescent="0.3">
      <c r="A1969">
        <v>1375</v>
      </c>
      <c r="B1969" t="s">
        <v>32</v>
      </c>
      <c r="C1969" s="1">
        <v>45843</v>
      </c>
      <c r="D1969" s="1" t="str">
        <f>TEXT(FMData[[#This Row],[Show_Date]],"mmm")</f>
        <v>Jul</v>
      </c>
      <c r="E1969" s="1" t="str">
        <f>TEXT(FMData[[#This Row],[Show_Date]],"ddd")</f>
        <v>Sat</v>
      </c>
      <c r="F1969" t="s">
        <v>20</v>
      </c>
      <c r="G1969" t="s">
        <v>22</v>
      </c>
      <c r="H1969">
        <v>5</v>
      </c>
      <c r="I1969">
        <v>20</v>
      </c>
      <c r="J1969" t="s">
        <v>23</v>
      </c>
      <c r="K1969" t="s">
        <v>27</v>
      </c>
      <c r="L1969">
        <v>100</v>
      </c>
    </row>
    <row r="1970" spans="1:12" x14ac:dyDescent="0.3">
      <c r="A1970">
        <v>396</v>
      </c>
      <c r="B1970" t="s">
        <v>31</v>
      </c>
      <c r="C1970" s="1">
        <v>45926</v>
      </c>
      <c r="D1970" s="1" t="str">
        <f>TEXT(FMData[[#This Row],[Show_Date]],"mmm")</f>
        <v>Sep</v>
      </c>
      <c r="E1970" s="1" t="str">
        <f>TEXT(FMData[[#This Row],[Show_Date]],"ddd")</f>
        <v>Fri</v>
      </c>
      <c r="F1970" t="s">
        <v>16</v>
      </c>
      <c r="G1970" t="s">
        <v>17</v>
      </c>
      <c r="H1970">
        <v>2</v>
      </c>
      <c r="I1970">
        <v>12</v>
      </c>
      <c r="J1970" t="s">
        <v>13</v>
      </c>
      <c r="K1970" t="s">
        <v>18</v>
      </c>
      <c r="L1970">
        <v>24</v>
      </c>
    </row>
    <row r="1971" spans="1:12" x14ac:dyDescent="0.3">
      <c r="A1971">
        <v>1863</v>
      </c>
      <c r="B1971" t="s">
        <v>32</v>
      </c>
      <c r="C1971" s="1">
        <v>45850</v>
      </c>
      <c r="D1971" s="1" t="str">
        <f>TEXT(FMData[[#This Row],[Show_Date]],"mmm")</f>
        <v>Jul</v>
      </c>
      <c r="E1971" s="1" t="str">
        <f>TEXT(FMData[[#This Row],[Show_Date]],"ddd")</f>
        <v>Sat</v>
      </c>
      <c r="F1971" t="s">
        <v>11</v>
      </c>
      <c r="G1971" t="s">
        <v>17</v>
      </c>
      <c r="H1971">
        <v>2</v>
      </c>
      <c r="I1971">
        <v>12</v>
      </c>
      <c r="J1971" t="s">
        <v>13</v>
      </c>
      <c r="K1971" t="s">
        <v>18</v>
      </c>
      <c r="L1971">
        <v>24</v>
      </c>
    </row>
    <row r="1972" spans="1:12" x14ac:dyDescent="0.3">
      <c r="A1972">
        <v>1505</v>
      </c>
      <c r="B1972" t="s">
        <v>28</v>
      </c>
      <c r="C1972" s="1">
        <v>45875</v>
      </c>
      <c r="D1972" s="1" t="str">
        <f>TEXT(FMData[[#This Row],[Show_Date]],"mmm")</f>
        <v>Aug</v>
      </c>
      <c r="E1972" s="1" t="str">
        <f>TEXT(FMData[[#This Row],[Show_Date]],"ddd")</f>
        <v>Wed</v>
      </c>
      <c r="F1972" t="s">
        <v>33</v>
      </c>
      <c r="G1972" t="s">
        <v>22</v>
      </c>
      <c r="H1972">
        <v>4</v>
      </c>
      <c r="I1972">
        <v>20</v>
      </c>
      <c r="J1972" t="s">
        <v>21</v>
      </c>
      <c r="K1972" t="s">
        <v>25</v>
      </c>
      <c r="L1972">
        <v>80</v>
      </c>
    </row>
    <row r="1973" spans="1:12" x14ac:dyDescent="0.3">
      <c r="A1973">
        <v>1894</v>
      </c>
      <c r="B1973" t="s">
        <v>32</v>
      </c>
      <c r="C1973" s="1">
        <v>45857</v>
      </c>
      <c r="D1973" s="1" t="str">
        <f>TEXT(FMData[[#This Row],[Show_Date]],"mmm")</f>
        <v>Jul</v>
      </c>
      <c r="E1973" s="1" t="str">
        <f>TEXT(FMData[[#This Row],[Show_Date]],"ddd")</f>
        <v>Sat</v>
      </c>
      <c r="F1973" t="s">
        <v>33</v>
      </c>
      <c r="G1973" t="s">
        <v>17</v>
      </c>
      <c r="H1973">
        <v>4</v>
      </c>
      <c r="I1973">
        <v>12</v>
      </c>
      <c r="J1973" t="s">
        <v>23</v>
      </c>
      <c r="K1973" t="s">
        <v>25</v>
      </c>
      <c r="L1973">
        <v>48</v>
      </c>
    </row>
    <row r="1974" spans="1:12" x14ac:dyDescent="0.3">
      <c r="A1974">
        <v>1780</v>
      </c>
      <c r="B1974" t="s">
        <v>19</v>
      </c>
      <c r="C1974" s="1">
        <v>45887</v>
      </c>
      <c r="D1974" s="1" t="str">
        <f>TEXT(FMData[[#This Row],[Show_Date]],"mmm")</f>
        <v>Aug</v>
      </c>
      <c r="E1974" s="1" t="str">
        <f>TEXT(FMData[[#This Row],[Show_Date]],"ddd")</f>
        <v>Mon</v>
      </c>
      <c r="F1974" t="s">
        <v>16</v>
      </c>
      <c r="G1974" t="s">
        <v>22</v>
      </c>
      <c r="H1974">
        <v>4</v>
      </c>
      <c r="I1974">
        <v>20</v>
      </c>
      <c r="J1974" t="s">
        <v>13</v>
      </c>
      <c r="K1974" t="s">
        <v>25</v>
      </c>
      <c r="L1974">
        <v>80</v>
      </c>
    </row>
    <row r="1975" spans="1:12" x14ac:dyDescent="0.3">
      <c r="A1975">
        <v>349</v>
      </c>
      <c r="B1975" t="s">
        <v>19</v>
      </c>
      <c r="C1975" s="1">
        <v>45914</v>
      </c>
      <c r="D1975" s="1" t="str">
        <f>TEXT(FMData[[#This Row],[Show_Date]],"mmm")</f>
        <v>Sep</v>
      </c>
      <c r="E1975" s="1" t="str">
        <f>TEXT(FMData[[#This Row],[Show_Date]],"ddd")</f>
        <v>Sun</v>
      </c>
      <c r="F1975" t="s">
        <v>16</v>
      </c>
      <c r="G1975" t="s">
        <v>12</v>
      </c>
      <c r="H1975">
        <v>3</v>
      </c>
      <c r="I1975">
        <v>25</v>
      </c>
      <c r="J1975" t="s">
        <v>13</v>
      </c>
      <c r="K1975" t="s">
        <v>25</v>
      </c>
      <c r="L1975">
        <v>75</v>
      </c>
    </row>
    <row r="1976" spans="1:12" x14ac:dyDescent="0.3">
      <c r="A1976">
        <v>1991</v>
      </c>
      <c r="B1976" t="s">
        <v>31</v>
      </c>
      <c r="C1976" s="1">
        <v>45874</v>
      </c>
      <c r="D1976" s="1" t="str">
        <f>TEXT(FMData[[#This Row],[Show_Date]],"mmm")</f>
        <v>Aug</v>
      </c>
      <c r="E1976" s="1" t="str">
        <f>TEXT(FMData[[#This Row],[Show_Date]],"ddd")</f>
        <v>Tue</v>
      </c>
      <c r="F1976" t="s">
        <v>16</v>
      </c>
      <c r="G1976" t="s">
        <v>17</v>
      </c>
      <c r="H1976">
        <v>5</v>
      </c>
      <c r="I1976">
        <v>12</v>
      </c>
      <c r="J1976" t="s">
        <v>21</v>
      </c>
      <c r="K1976" t="s">
        <v>14</v>
      </c>
      <c r="L1976">
        <v>60</v>
      </c>
    </row>
    <row r="1977" spans="1:12" x14ac:dyDescent="0.3">
      <c r="A1977">
        <v>429</v>
      </c>
      <c r="B1977" t="s">
        <v>24</v>
      </c>
      <c r="C1977" s="1">
        <v>45902</v>
      </c>
      <c r="D1977" s="1" t="str">
        <f>TEXT(FMData[[#This Row],[Show_Date]],"mmm")</f>
        <v>Sep</v>
      </c>
      <c r="E1977" s="1" t="str">
        <f>TEXT(FMData[[#This Row],[Show_Date]],"ddd")</f>
        <v>Tue</v>
      </c>
      <c r="F1977" t="s">
        <v>33</v>
      </c>
      <c r="G1977" t="s">
        <v>17</v>
      </c>
      <c r="H1977">
        <v>3</v>
      </c>
      <c r="I1977">
        <v>12</v>
      </c>
      <c r="J1977" t="s">
        <v>21</v>
      </c>
      <c r="K1977" t="s">
        <v>25</v>
      </c>
      <c r="L1977">
        <v>36</v>
      </c>
    </row>
    <row r="1978" spans="1:12" x14ac:dyDescent="0.3">
      <c r="A1978">
        <v>1879</v>
      </c>
      <c r="B1978" t="s">
        <v>31</v>
      </c>
      <c r="C1978" s="1">
        <v>45844</v>
      </c>
      <c r="D1978" s="1" t="str">
        <f>TEXT(FMData[[#This Row],[Show_Date]],"mmm")</f>
        <v>Jul</v>
      </c>
      <c r="E1978" s="1" t="str">
        <f>TEXT(FMData[[#This Row],[Show_Date]],"ddd")</f>
        <v>Sun</v>
      </c>
      <c r="F1978" t="s">
        <v>20</v>
      </c>
      <c r="G1978" t="s">
        <v>12</v>
      </c>
      <c r="H1978">
        <v>3</v>
      </c>
      <c r="I1978">
        <v>25</v>
      </c>
      <c r="J1978" t="s">
        <v>23</v>
      </c>
      <c r="K1978" t="s">
        <v>14</v>
      </c>
      <c r="L1978">
        <v>75</v>
      </c>
    </row>
    <row r="1979" spans="1:12" x14ac:dyDescent="0.3">
      <c r="A1979">
        <v>538</v>
      </c>
      <c r="B1979" t="s">
        <v>28</v>
      </c>
      <c r="C1979" s="1">
        <v>45871</v>
      </c>
      <c r="D1979" s="1" t="str">
        <f>TEXT(FMData[[#This Row],[Show_Date]],"mmm")</f>
        <v>Aug</v>
      </c>
      <c r="E1979" s="1" t="str">
        <f>TEXT(FMData[[#This Row],[Show_Date]],"ddd")</f>
        <v>Sat</v>
      </c>
      <c r="F1979" t="s">
        <v>20</v>
      </c>
      <c r="G1979" t="s">
        <v>17</v>
      </c>
      <c r="H1979">
        <v>5</v>
      </c>
      <c r="I1979">
        <v>12</v>
      </c>
      <c r="J1979" t="s">
        <v>21</v>
      </c>
      <c r="K1979" t="s">
        <v>25</v>
      </c>
      <c r="L1979">
        <v>60</v>
      </c>
    </row>
    <row r="1980" spans="1:12" x14ac:dyDescent="0.3">
      <c r="A1980">
        <v>413</v>
      </c>
      <c r="B1980" t="s">
        <v>10</v>
      </c>
      <c r="C1980" s="1">
        <v>45854</v>
      </c>
      <c r="D1980" s="1" t="str">
        <f>TEXT(FMData[[#This Row],[Show_Date]],"mmm")</f>
        <v>Jul</v>
      </c>
      <c r="E1980" s="1" t="str">
        <f>TEXT(FMData[[#This Row],[Show_Date]],"ddd")</f>
        <v>Wed</v>
      </c>
      <c r="F1980" t="s">
        <v>20</v>
      </c>
      <c r="G1980" t="s">
        <v>17</v>
      </c>
      <c r="H1980">
        <v>5</v>
      </c>
      <c r="I1980">
        <v>12</v>
      </c>
      <c r="J1980" t="s">
        <v>13</v>
      </c>
      <c r="K1980" t="s">
        <v>25</v>
      </c>
      <c r="L1980">
        <v>60</v>
      </c>
    </row>
    <row r="1981" spans="1:12" x14ac:dyDescent="0.3">
      <c r="A1981">
        <v>713</v>
      </c>
      <c r="B1981" t="s">
        <v>24</v>
      </c>
      <c r="C1981" s="1">
        <v>45851</v>
      </c>
      <c r="D1981" s="1" t="str">
        <f>TEXT(FMData[[#This Row],[Show_Date]],"mmm")</f>
        <v>Jul</v>
      </c>
      <c r="E1981" s="1" t="str">
        <f>TEXT(FMData[[#This Row],[Show_Date]],"ddd")</f>
        <v>Sun</v>
      </c>
      <c r="F1981" t="s">
        <v>20</v>
      </c>
      <c r="G1981" t="s">
        <v>17</v>
      </c>
      <c r="H1981">
        <v>5</v>
      </c>
      <c r="I1981">
        <v>12</v>
      </c>
      <c r="J1981" t="s">
        <v>23</v>
      </c>
      <c r="K1981" t="s">
        <v>14</v>
      </c>
      <c r="L1981">
        <v>60</v>
      </c>
    </row>
    <row r="1982" spans="1:12" x14ac:dyDescent="0.3">
      <c r="A1982">
        <v>1120</v>
      </c>
      <c r="B1982" t="s">
        <v>10</v>
      </c>
      <c r="C1982" s="1">
        <v>45867</v>
      </c>
      <c r="D1982" s="1" t="str">
        <f>TEXT(FMData[[#This Row],[Show_Date]],"mmm")</f>
        <v>Jul</v>
      </c>
      <c r="E1982" s="1" t="str">
        <f>TEXT(FMData[[#This Row],[Show_Date]],"ddd")</f>
        <v>Tue</v>
      </c>
      <c r="F1982" t="s">
        <v>16</v>
      </c>
      <c r="G1982" t="s">
        <v>17</v>
      </c>
      <c r="H1982">
        <v>5</v>
      </c>
      <c r="I1982">
        <v>12</v>
      </c>
      <c r="J1982" t="s">
        <v>21</v>
      </c>
      <c r="K1982" t="s">
        <v>14</v>
      </c>
      <c r="L1982">
        <v>60</v>
      </c>
    </row>
    <row r="1983" spans="1:12" x14ac:dyDescent="0.3">
      <c r="A1983">
        <v>561</v>
      </c>
      <c r="B1983" t="s">
        <v>31</v>
      </c>
      <c r="C1983" s="1">
        <v>45921</v>
      </c>
      <c r="D1983" s="1" t="str">
        <f>TEXT(FMData[[#This Row],[Show_Date]],"mmm")</f>
        <v>Sep</v>
      </c>
      <c r="E1983" s="1" t="str">
        <f>TEXT(FMData[[#This Row],[Show_Date]],"ddd")</f>
        <v>Sun</v>
      </c>
      <c r="F1983" t="s">
        <v>20</v>
      </c>
      <c r="G1983" t="s">
        <v>30</v>
      </c>
      <c r="H1983">
        <v>1</v>
      </c>
      <c r="I1983">
        <v>8</v>
      </c>
      <c r="J1983" t="s">
        <v>21</v>
      </c>
      <c r="K1983" t="s">
        <v>25</v>
      </c>
      <c r="L1983">
        <v>8</v>
      </c>
    </row>
    <row r="1984" spans="1:12" x14ac:dyDescent="0.3">
      <c r="A1984">
        <v>1</v>
      </c>
      <c r="B1984" t="s">
        <v>28</v>
      </c>
      <c r="C1984" s="1">
        <v>45905</v>
      </c>
      <c r="D1984" s="1" t="str">
        <f>TEXT(FMData[[#This Row],[Show_Date]],"mmm")</f>
        <v>Sep</v>
      </c>
      <c r="E1984" s="1" t="str">
        <f>TEXT(FMData[[#This Row],[Show_Date]],"ddd")</f>
        <v>Fri</v>
      </c>
      <c r="F1984" t="s">
        <v>11</v>
      </c>
      <c r="G1984" t="s">
        <v>17</v>
      </c>
      <c r="H1984">
        <v>2</v>
      </c>
      <c r="I1984">
        <v>12</v>
      </c>
      <c r="J1984" t="s">
        <v>21</v>
      </c>
      <c r="K1984" t="s">
        <v>18</v>
      </c>
      <c r="L1984">
        <v>24</v>
      </c>
    </row>
    <row r="1985" spans="1:12" x14ac:dyDescent="0.3">
      <c r="A1985">
        <v>647</v>
      </c>
      <c r="B1985" t="s">
        <v>15</v>
      </c>
      <c r="C1985" s="1">
        <v>45921</v>
      </c>
      <c r="D1985" s="1" t="str">
        <f>TEXT(FMData[[#This Row],[Show_Date]],"mmm")</f>
        <v>Sep</v>
      </c>
      <c r="E1985" s="1" t="str">
        <f>TEXT(FMData[[#This Row],[Show_Date]],"ddd")</f>
        <v>Sun</v>
      </c>
      <c r="F1985" t="s">
        <v>20</v>
      </c>
      <c r="G1985" t="s">
        <v>29</v>
      </c>
      <c r="H1985">
        <v>3</v>
      </c>
      <c r="I1985">
        <v>30</v>
      </c>
      <c r="J1985" t="s">
        <v>13</v>
      </c>
      <c r="K1985" t="s">
        <v>27</v>
      </c>
      <c r="L1985">
        <v>90</v>
      </c>
    </row>
    <row r="1986" spans="1:12" x14ac:dyDescent="0.3">
      <c r="A1986">
        <v>1793</v>
      </c>
      <c r="B1986" t="s">
        <v>28</v>
      </c>
      <c r="C1986" s="1">
        <v>45899</v>
      </c>
      <c r="D1986" s="1" t="str">
        <f>TEXT(FMData[[#This Row],[Show_Date]],"mmm")</f>
        <v>Aug</v>
      </c>
      <c r="E1986" s="1" t="str">
        <f>TEXT(FMData[[#This Row],[Show_Date]],"ddd")</f>
        <v>Sat</v>
      </c>
      <c r="F1986" t="s">
        <v>11</v>
      </c>
      <c r="G1986" t="s">
        <v>12</v>
      </c>
      <c r="H1986">
        <v>3</v>
      </c>
      <c r="I1986">
        <v>25</v>
      </c>
      <c r="J1986" t="s">
        <v>13</v>
      </c>
      <c r="K1986" t="s">
        <v>14</v>
      </c>
      <c r="L1986">
        <v>75</v>
      </c>
    </row>
    <row r="1987" spans="1:12" x14ac:dyDescent="0.3">
      <c r="A1987">
        <v>1551</v>
      </c>
      <c r="B1987" t="s">
        <v>15</v>
      </c>
      <c r="C1987" s="1">
        <v>45841</v>
      </c>
      <c r="D1987" s="1" t="str">
        <f>TEXT(FMData[[#This Row],[Show_Date]],"mmm")</f>
        <v>Jul</v>
      </c>
      <c r="E1987" s="1" t="str">
        <f>TEXT(FMData[[#This Row],[Show_Date]],"ddd")</f>
        <v>Thu</v>
      </c>
      <c r="F1987" t="s">
        <v>33</v>
      </c>
      <c r="G1987" t="s">
        <v>22</v>
      </c>
      <c r="H1987">
        <v>2</v>
      </c>
      <c r="I1987">
        <v>20</v>
      </c>
      <c r="J1987" t="s">
        <v>21</v>
      </c>
      <c r="K1987" t="s">
        <v>25</v>
      </c>
      <c r="L1987">
        <v>40</v>
      </c>
    </row>
    <row r="1988" spans="1:12" x14ac:dyDescent="0.3">
      <c r="A1988">
        <v>195</v>
      </c>
      <c r="B1988" t="s">
        <v>28</v>
      </c>
      <c r="C1988" s="1">
        <v>45892</v>
      </c>
      <c r="D1988" s="1" t="str">
        <f>TEXT(FMData[[#This Row],[Show_Date]],"mmm")</f>
        <v>Aug</v>
      </c>
      <c r="E1988" s="1" t="str">
        <f>TEXT(FMData[[#This Row],[Show_Date]],"ddd")</f>
        <v>Sat</v>
      </c>
      <c r="F1988" t="s">
        <v>33</v>
      </c>
      <c r="G1988" t="s">
        <v>17</v>
      </c>
      <c r="H1988">
        <v>4</v>
      </c>
      <c r="I1988">
        <v>12</v>
      </c>
      <c r="J1988" t="s">
        <v>21</v>
      </c>
      <c r="K1988" t="s">
        <v>14</v>
      </c>
      <c r="L1988">
        <v>48</v>
      </c>
    </row>
    <row r="1989" spans="1:12" x14ac:dyDescent="0.3">
      <c r="A1989">
        <v>139</v>
      </c>
      <c r="B1989" t="s">
        <v>28</v>
      </c>
      <c r="C1989" s="1">
        <v>45842</v>
      </c>
      <c r="D1989" s="1" t="str">
        <f>TEXT(FMData[[#This Row],[Show_Date]],"mmm")</f>
        <v>Jul</v>
      </c>
      <c r="E1989" s="1" t="str">
        <f>TEXT(FMData[[#This Row],[Show_Date]],"ddd")</f>
        <v>Fri</v>
      </c>
      <c r="F1989" t="s">
        <v>20</v>
      </c>
      <c r="G1989" t="s">
        <v>17</v>
      </c>
      <c r="H1989">
        <v>4</v>
      </c>
      <c r="I1989">
        <v>12</v>
      </c>
      <c r="J1989" t="s">
        <v>21</v>
      </c>
      <c r="K1989" t="s">
        <v>27</v>
      </c>
      <c r="L1989">
        <v>48</v>
      </c>
    </row>
    <row r="1990" spans="1:12" x14ac:dyDescent="0.3">
      <c r="A1990">
        <v>1062</v>
      </c>
      <c r="B1990" t="s">
        <v>15</v>
      </c>
      <c r="C1990" s="1">
        <v>45872</v>
      </c>
      <c r="D1990" s="1" t="str">
        <f>TEXT(FMData[[#This Row],[Show_Date]],"mmm")</f>
        <v>Aug</v>
      </c>
      <c r="E1990" s="1" t="str">
        <f>TEXT(FMData[[#This Row],[Show_Date]],"ddd")</f>
        <v>Sun</v>
      </c>
      <c r="F1990" t="s">
        <v>20</v>
      </c>
      <c r="G1990" t="s">
        <v>17</v>
      </c>
      <c r="H1990">
        <v>1</v>
      </c>
      <c r="I1990">
        <v>12</v>
      </c>
      <c r="J1990" t="s">
        <v>21</v>
      </c>
      <c r="K1990" t="s">
        <v>14</v>
      </c>
      <c r="L1990">
        <v>12</v>
      </c>
    </row>
    <row r="1991" spans="1:12" x14ac:dyDescent="0.3">
      <c r="A1991">
        <v>1720</v>
      </c>
      <c r="B1991" t="s">
        <v>24</v>
      </c>
      <c r="C1991" s="1">
        <v>45853</v>
      </c>
      <c r="D1991" s="1" t="str">
        <f>TEXT(FMData[[#This Row],[Show_Date]],"mmm")</f>
        <v>Jul</v>
      </c>
      <c r="E1991" s="1" t="str">
        <f>TEXT(FMData[[#This Row],[Show_Date]],"ddd")</f>
        <v>Tue</v>
      </c>
      <c r="F1991" t="s">
        <v>20</v>
      </c>
      <c r="G1991" t="s">
        <v>17</v>
      </c>
      <c r="H1991">
        <v>1</v>
      </c>
      <c r="I1991">
        <v>12</v>
      </c>
      <c r="J1991" t="s">
        <v>21</v>
      </c>
      <c r="K1991" t="s">
        <v>14</v>
      </c>
      <c r="L1991">
        <v>12</v>
      </c>
    </row>
    <row r="1992" spans="1:12" x14ac:dyDescent="0.3">
      <c r="A1992">
        <v>235</v>
      </c>
      <c r="B1992" t="s">
        <v>31</v>
      </c>
      <c r="C1992" s="1">
        <v>45856</v>
      </c>
      <c r="D1992" s="1" t="str">
        <f>TEXT(FMData[[#This Row],[Show_Date]],"mmm")</f>
        <v>Jul</v>
      </c>
      <c r="E1992" s="1" t="str">
        <f>TEXT(FMData[[#This Row],[Show_Date]],"ddd")</f>
        <v>Fri</v>
      </c>
      <c r="F1992" t="s">
        <v>33</v>
      </c>
      <c r="G1992" t="s">
        <v>30</v>
      </c>
      <c r="H1992">
        <v>5</v>
      </c>
      <c r="I1992">
        <v>8</v>
      </c>
      <c r="J1992" t="s">
        <v>21</v>
      </c>
      <c r="K1992" t="s">
        <v>25</v>
      </c>
      <c r="L1992">
        <v>40</v>
      </c>
    </row>
    <row r="1993" spans="1:12" x14ac:dyDescent="0.3">
      <c r="A1993">
        <v>1488</v>
      </c>
      <c r="B1993" t="s">
        <v>24</v>
      </c>
      <c r="C1993" s="1">
        <v>45923</v>
      </c>
      <c r="D1993" s="1" t="str">
        <f>TEXT(FMData[[#This Row],[Show_Date]],"mmm")</f>
        <v>Sep</v>
      </c>
      <c r="E1993" s="1" t="str">
        <f>TEXT(FMData[[#This Row],[Show_Date]],"ddd")</f>
        <v>Tue</v>
      </c>
      <c r="F1993" t="s">
        <v>11</v>
      </c>
      <c r="G1993" t="s">
        <v>17</v>
      </c>
      <c r="H1993">
        <v>4</v>
      </c>
      <c r="I1993">
        <v>12</v>
      </c>
      <c r="J1993" t="s">
        <v>21</v>
      </c>
      <c r="K1993" t="s">
        <v>18</v>
      </c>
      <c r="L1993">
        <v>48</v>
      </c>
    </row>
    <row r="1994" spans="1:12" x14ac:dyDescent="0.3">
      <c r="A1994">
        <v>303</v>
      </c>
      <c r="B1994" t="s">
        <v>32</v>
      </c>
      <c r="C1994" s="1">
        <v>45866</v>
      </c>
      <c r="D1994" s="1" t="str">
        <f>TEXT(FMData[[#This Row],[Show_Date]],"mmm")</f>
        <v>Jul</v>
      </c>
      <c r="E1994" s="1" t="str">
        <f>TEXT(FMData[[#This Row],[Show_Date]],"ddd")</f>
        <v>Mon</v>
      </c>
      <c r="F1994" t="s">
        <v>11</v>
      </c>
      <c r="G1994" t="s">
        <v>12</v>
      </c>
      <c r="H1994">
        <v>5</v>
      </c>
      <c r="I1994">
        <v>25</v>
      </c>
      <c r="J1994" t="s">
        <v>23</v>
      </c>
      <c r="K1994" t="s">
        <v>18</v>
      </c>
      <c r="L1994">
        <v>125</v>
      </c>
    </row>
    <row r="1995" spans="1:12" x14ac:dyDescent="0.3">
      <c r="A1995">
        <v>604</v>
      </c>
      <c r="B1995" t="s">
        <v>10</v>
      </c>
      <c r="C1995" s="1">
        <v>45872</v>
      </c>
      <c r="D1995" s="1" t="str">
        <f>TEXT(FMData[[#This Row],[Show_Date]],"mmm")</f>
        <v>Aug</v>
      </c>
      <c r="E1995" s="1" t="str">
        <f>TEXT(FMData[[#This Row],[Show_Date]],"ddd")</f>
        <v>Sun</v>
      </c>
      <c r="F1995" t="s">
        <v>33</v>
      </c>
      <c r="G1995" t="s">
        <v>17</v>
      </c>
      <c r="H1995">
        <v>1</v>
      </c>
      <c r="I1995">
        <v>12</v>
      </c>
      <c r="J1995" t="s">
        <v>13</v>
      </c>
      <c r="K1995" t="s">
        <v>25</v>
      </c>
      <c r="L1995">
        <v>12</v>
      </c>
    </row>
    <row r="1996" spans="1:12" x14ac:dyDescent="0.3">
      <c r="A1996">
        <v>1751</v>
      </c>
      <c r="B1996" t="s">
        <v>31</v>
      </c>
      <c r="C1996" s="1">
        <v>45928</v>
      </c>
      <c r="D1996" s="1" t="str">
        <f>TEXT(FMData[[#This Row],[Show_Date]],"mmm")</f>
        <v>Sep</v>
      </c>
      <c r="E1996" s="1" t="str">
        <f>TEXT(FMData[[#This Row],[Show_Date]],"ddd")</f>
        <v>Sun</v>
      </c>
      <c r="F1996" t="s">
        <v>11</v>
      </c>
      <c r="G1996" t="s">
        <v>22</v>
      </c>
      <c r="H1996">
        <v>2</v>
      </c>
      <c r="I1996">
        <v>20</v>
      </c>
      <c r="J1996" t="s">
        <v>21</v>
      </c>
      <c r="K1996" t="s">
        <v>18</v>
      </c>
      <c r="L1996">
        <v>40</v>
      </c>
    </row>
    <row r="1997" spans="1:12" x14ac:dyDescent="0.3">
      <c r="A1997">
        <v>503</v>
      </c>
      <c r="B1997" t="s">
        <v>15</v>
      </c>
      <c r="C1997" s="1">
        <v>45880</v>
      </c>
      <c r="D1997" s="1" t="str">
        <f>TEXT(FMData[[#This Row],[Show_Date]],"mmm")</f>
        <v>Aug</v>
      </c>
      <c r="E1997" s="1" t="str">
        <f>TEXT(FMData[[#This Row],[Show_Date]],"ddd")</f>
        <v>Mon</v>
      </c>
      <c r="F1997" t="s">
        <v>33</v>
      </c>
      <c r="G1997" t="s">
        <v>12</v>
      </c>
      <c r="H1997">
        <v>1</v>
      </c>
      <c r="I1997">
        <v>25</v>
      </c>
      <c r="J1997" t="s">
        <v>21</v>
      </c>
      <c r="K1997" t="s">
        <v>18</v>
      </c>
      <c r="L1997">
        <v>25</v>
      </c>
    </row>
    <row r="1998" spans="1:12" x14ac:dyDescent="0.3">
      <c r="A1998">
        <v>1433</v>
      </c>
      <c r="B1998" t="s">
        <v>10</v>
      </c>
      <c r="C1998" s="1">
        <v>45903</v>
      </c>
      <c r="D1998" s="1" t="str">
        <f>TEXT(FMData[[#This Row],[Show_Date]],"mmm")</f>
        <v>Sep</v>
      </c>
      <c r="E1998" s="1" t="str">
        <f>TEXT(FMData[[#This Row],[Show_Date]],"ddd")</f>
        <v>Wed</v>
      </c>
      <c r="F1998" t="s">
        <v>33</v>
      </c>
      <c r="G1998" t="s">
        <v>30</v>
      </c>
      <c r="H1998">
        <v>5</v>
      </c>
      <c r="I1998">
        <v>8</v>
      </c>
      <c r="J1998" t="s">
        <v>13</v>
      </c>
      <c r="K1998" t="s">
        <v>27</v>
      </c>
      <c r="L1998">
        <v>40</v>
      </c>
    </row>
    <row r="1999" spans="1:12" x14ac:dyDescent="0.3">
      <c r="A1999">
        <v>1872</v>
      </c>
      <c r="B1999" t="s">
        <v>15</v>
      </c>
      <c r="C1999" s="1">
        <v>45872</v>
      </c>
      <c r="D1999" s="1" t="str">
        <f>TEXT(FMData[[#This Row],[Show_Date]],"mmm")</f>
        <v>Aug</v>
      </c>
      <c r="E1999" s="1" t="str">
        <f>TEXT(FMData[[#This Row],[Show_Date]],"ddd")</f>
        <v>Sun</v>
      </c>
      <c r="F1999" t="s">
        <v>11</v>
      </c>
      <c r="G1999" t="s">
        <v>17</v>
      </c>
      <c r="H1999">
        <v>4</v>
      </c>
      <c r="I1999">
        <v>12</v>
      </c>
      <c r="J1999" t="s">
        <v>21</v>
      </c>
      <c r="K1999" t="s">
        <v>18</v>
      </c>
      <c r="L1999">
        <v>48</v>
      </c>
    </row>
    <row r="2000" spans="1:12" x14ac:dyDescent="0.3">
      <c r="A2000">
        <v>600</v>
      </c>
      <c r="B2000" t="s">
        <v>10</v>
      </c>
      <c r="C2000" s="1">
        <v>45906</v>
      </c>
      <c r="D2000" s="1" t="str">
        <f>TEXT(FMData[[#This Row],[Show_Date]],"mmm")</f>
        <v>Sep</v>
      </c>
      <c r="E2000" s="1" t="str">
        <f>TEXT(FMData[[#This Row],[Show_Date]],"ddd")</f>
        <v>Sat</v>
      </c>
      <c r="F2000" t="s">
        <v>11</v>
      </c>
      <c r="G2000" t="s">
        <v>17</v>
      </c>
      <c r="H2000">
        <v>3</v>
      </c>
      <c r="I2000">
        <v>12</v>
      </c>
      <c r="J2000" t="s">
        <v>23</v>
      </c>
      <c r="K2000" t="s">
        <v>18</v>
      </c>
      <c r="L2000">
        <v>36</v>
      </c>
    </row>
    <row r="2001" spans="1:12" x14ac:dyDescent="0.3">
      <c r="A2001">
        <v>1885</v>
      </c>
      <c r="B2001" t="s">
        <v>24</v>
      </c>
      <c r="C2001" s="1">
        <v>45891</v>
      </c>
      <c r="D2001" s="1" t="str">
        <f>TEXT(FMData[[#This Row],[Show_Date]],"mmm")</f>
        <v>Aug</v>
      </c>
      <c r="E2001" s="1" t="str">
        <f>TEXT(FMData[[#This Row],[Show_Date]],"ddd")</f>
        <v>Fri</v>
      </c>
      <c r="F2001" t="s">
        <v>20</v>
      </c>
      <c r="G2001" t="s">
        <v>22</v>
      </c>
      <c r="H2001">
        <v>2</v>
      </c>
      <c r="I2001">
        <v>20</v>
      </c>
      <c r="J2001" t="s">
        <v>21</v>
      </c>
      <c r="K2001" t="s">
        <v>18</v>
      </c>
      <c r="L2001">
        <v>40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58F15-195F-4254-9C33-5C88AD12D7C2}">
  <dimension ref="A1"/>
  <sheetViews>
    <sheetView showGridLines="0" topLeftCell="E1" zoomScale="71" zoomScaleNormal="71" workbookViewId="0">
      <selection activeCell="N39" sqref="N39"/>
    </sheetView>
  </sheetViews>
  <sheetFormatPr defaultColWidth="8.77734375" defaultRowHeight="14.4" x14ac:dyDescent="0.3"/>
  <cols>
    <col min="1" max="16384" width="8.777343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Data (2)</vt:lpstr>
      <vt:lpstr>Pivot</vt:lpstr>
      <vt:lpstr>Lightmode dashboard</vt:lpstr>
      <vt:lpstr>Sheet4</vt:lpstr>
      <vt:lpstr>Data</vt:lpstr>
      <vt:lpstr>Darkmode Dashboard</vt:lpstr>
      <vt:lpstr>Orders</vt:lpstr>
      <vt:lpstr>OrdersMoM</vt:lpstr>
      <vt:lpstr>QtyMoM</vt:lpstr>
      <vt:lpstr>Quanity</vt:lpstr>
      <vt:lpstr>Revenue</vt:lpstr>
      <vt:lpstr>RevenueMoM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Amaka Daniels</dc:creator>
  <cp:lastModifiedBy>Rosemary Afrasor</cp:lastModifiedBy>
  <dcterms:created xsi:type="dcterms:W3CDTF">2025-10-09T09:01:56Z</dcterms:created>
  <dcterms:modified xsi:type="dcterms:W3CDTF">2026-04-27T17:21:49Z</dcterms:modified>
</cp:coreProperties>
</file>